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Repos\trikit\Reference\"/>
    </mc:Choice>
  </mc:AlternateContent>
  <bookViews>
    <workbookView xWindow="-12" yWindow="6540" windowWidth="25212" windowHeight="6120" tabRatio="895" firstSheet="1" activeTab="8"/>
  </bookViews>
  <sheets>
    <sheet name="RiskSerializationData" sheetId="36" state="hidden" r:id="rId1"/>
    <sheet name="Notes" sheetId="24" r:id="rId2"/>
    <sheet name="Impact of Tail" sheetId="37" r:id="rId3"/>
    <sheet name="Summary" sheetId="28" r:id="rId4"/>
    <sheet name="Group by AY" sheetId="31" r:id="rId5"/>
    <sheet name="Inputs" sheetId="12" r:id="rId6"/>
    <sheet name="Incurred Bootstrap" sheetId="1" r:id="rId7"/>
    <sheet name="Paid Bootstrap" sheetId="25" r:id="rId8"/>
    <sheet name="BE-WS Summary" sheetId="23" r:id="rId9"/>
    <sheet name="Paid TriData" sheetId="22" r:id="rId10"/>
    <sheet name="Inc TriData" sheetId="35" r:id="rId11"/>
  </sheets>
  <functionGroups builtInGroupCount="18"/>
  <definedNames>
    <definedName name="_AtRisk_FitDataRange_FIT_1789D_4D188" hidden="1">#REF!</definedName>
    <definedName name="_AtRisk_FitDataRange_FIT_292CE_846D5" hidden="1">#REF!</definedName>
    <definedName name="_AtRisk_FitDataRange_FIT_2BFA8_C9D4B" hidden="1">#REF!</definedName>
    <definedName name="_AtRisk_FitDataRange_FIT_2C46_AFB57" hidden="1">#REF!</definedName>
    <definedName name="_AtRisk_FitDataRange_FIT_322BC_97A9E" hidden="1">#REF!</definedName>
    <definedName name="_AtRisk_FitDataRange_FIT_38C84_A2680" hidden="1">#REF!</definedName>
    <definedName name="_AtRisk_FitDataRange_FIT_3AD03_E47EA" hidden="1">#REF!</definedName>
    <definedName name="_AtRisk_FitDataRange_FIT_45B68_62F03" hidden="1">#REF!</definedName>
    <definedName name="_AtRisk_FitDataRange_FIT_4672A_EE719" hidden="1">#REF!</definedName>
    <definedName name="_AtRisk_FitDataRange_FIT_479D2_23917" hidden="1">#REF!</definedName>
    <definedName name="_AtRisk_FitDataRange_FIT_4A068_DD82F" hidden="1">#REF!</definedName>
    <definedName name="_AtRisk_FitDataRange_FIT_593EE_109E0" hidden="1">#REF!</definedName>
    <definedName name="_AtRisk_FitDataRange_FIT_68F5B_9C55E" hidden="1">#REF!</definedName>
    <definedName name="_AtRisk_FitDataRange_FIT_69624_591C5" hidden="1">#REF!</definedName>
    <definedName name="_AtRisk_FitDataRange_FIT_7A920_2BA91" hidden="1">#REF!</definedName>
    <definedName name="_AtRisk_FitDataRange_FIT_856DA_5EFB1" hidden="1">#REF!</definedName>
    <definedName name="_AtRisk_FitDataRange_FIT_85CAF_D30A5" hidden="1">#REF!</definedName>
    <definedName name="_AtRisk_FitDataRange_FIT_99433_A8EEB" hidden="1">#REF!</definedName>
    <definedName name="_AtRisk_FitDataRange_FIT_9976D_9E5FA" hidden="1">#REF!</definedName>
    <definedName name="_AtRisk_FitDataRange_FIT_ABBCC_F2C2E" hidden="1">#REF!</definedName>
    <definedName name="_AtRisk_FitDataRange_FIT_B19F_4B20A" hidden="1">#REF!</definedName>
    <definedName name="_AtRisk_FitDataRange_FIT_C2F6A_8F031" hidden="1">#REF!</definedName>
    <definedName name="_AtRisk_FitDataRange_FIT_C417E_55C52" hidden="1">#REF!</definedName>
    <definedName name="_AtRisk_FitDataRange_FIT_C9C44_50FF" hidden="1">#REF!</definedName>
    <definedName name="_AtRisk_FitDataRange_FIT_CBCD1_AC7F7" hidden="1">#REF!</definedName>
    <definedName name="_AtRisk_FitDataRange_FIT_CF974_C7B13" hidden="1">#REF!</definedName>
    <definedName name="_AtRisk_FitDataRange_FIT_D4FFF_9A1C4" hidden="1">#REF!</definedName>
    <definedName name="_AtRisk_FitDataRange_FIT_DA182_27606" hidden="1">#REF!</definedName>
    <definedName name="_AtRisk_FitDataRange_FIT_E6242_92774" hidden="1">#REF!</definedName>
    <definedName name="_AtRisk_FitDataRange_FIT_F3FFE_681DC" hidden="1">#REF!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001" hidden="1">"S01 - Auto"</definedName>
    <definedName name="_AtRisk_SimSetting_SimName002" hidden="1">"S02 - Workers Comp"</definedName>
    <definedName name="_AtRisk_SimSetting_SimName003" hidden="1">"S03 - Large Casualty WC"</definedName>
    <definedName name="_AtRisk_SimSetting_SimName004" hidden="1">"S04 - Defense-Based Acts"</definedName>
    <definedName name="_AtRisk_SimSetting_SimName005" hidden="1">"S05 - Package Liability"</definedName>
    <definedName name="_AtRisk_SimSetting_SimName006" hidden="1">"S06 - Casualty"</definedName>
    <definedName name="_AtRisk_SimSetting_SimName007" hidden="1">"S07 - Umbrella"</definedName>
    <definedName name="_AtRisk_SimSetting_SimName008" hidden="1">"S08 - Wexford"</definedName>
    <definedName name="_AtRisk_SimSetting_SimName009" hidden="1">"S09 - Large Property"</definedName>
    <definedName name="_AtRisk_SimSetting_SimName010" hidden="1">"S10 - Property"</definedName>
    <definedName name="_AtRisk_SimSetting_SimName011" hidden="1">"S11 - Ocean Marine"</definedName>
    <definedName name="_AtRisk_SimSetting_SimName012" hidden="1">"S12 - WC Ded"</definedName>
    <definedName name="_AtRisk_SimSetting_SimName013" hidden="1">"S13 - Third Party Ded"</definedName>
    <definedName name="_AtRisk_SimSetting_SimName014" hidden="1">"S14 - Aging Services"</definedName>
    <definedName name="_AtRisk_SimSetting_SimName015" hidden="1">"S15 - Ind Practitioners"</definedName>
    <definedName name="_AtRisk_SimSetting_SimName016" hidden="1">"S16 - Facilities Primary"</definedName>
    <definedName name="_AtRisk_SimSetting_SimName017" hidden="1">"S17 - Facilities Excess"</definedName>
    <definedName name="_AtRisk_SimSetting_SimName018" hidden="1">"S18 - Life Sciences"</definedName>
    <definedName name="_AtRisk_SimSetting_SimName019" hidden="1">"S19 - Architects &amp; Engineers"</definedName>
    <definedName name="_AtRisk_SimSetting_SimName020" hidden="1">"S20 - Program Lawyers"</definedName>
    <definedName name="_AtRisk_SimSetting_SimName021" hidden="1">"S21 - Lawyers Large"</definedName>
    <definedName name="_AtRisk_SimSetting_SimName022" hidden="1">"S22 - Professional E&amp;O"</definedName>
    <definedName name="_AtRisk_SimSetting_SimName023" hidden="1">"S23 - Other E&amp;O"</definedName>
    <definedName name="_AtRisk_SimSetting_SimName024" hidden="1">"S24 - Public D&amp;O"</definedName>
    <definedName name="_AtRisk_SimSetting_SimName025" hidden="1">"S25 - Private D&amp;O"</definedName>
    <definedName name="_AtRisk_SimSetting_SimName026" hidden="1">"S26 - Fidelity"</definedName>
    <definedName name="_AtRisk_SimSetting_SimName027" hidden="1">"A06 -Surety"</definedName>
    <definedName name="_AtRisk_SimSetting_SimName028" hidden="1">"C-X"</definedName>
    <definedName name="_AtRisk_SimSetting_SimName029" hidden="1">"D-X"</definedName>
    <definedName name="_AtRisk_SimSetting_SimName030" hidden="1">"F1-X"</definedName>
    <definedName name="_AtRisk_SimSetting_SimName031" hidden="1">"H1-2X"</definedName>
    <definedName name="_AtRisk_SimSetting_SimName032" hidden="1">"R1-X"</definedName>
    <definedName name="_AtRisk_SimSetting_SimName033" hidden="1">"Ded-Auto"</definedName>
    <definedName name="_AtRisk_SimSetting_SimName034" hidden="1">"Ded-WCI"</definedName>
    <definedName name="_AtRisk_SimSetting_SimName035" hidden="1">"Ded-WCM"</definedName>
    <definedName name="_AtRisk_SimSetting_SimName036" hidden="1">"Ded-MedMal"</definedName>
    <definedName name="_AtRisk_SimSetting_SimName037" hidden="1">"Ded-GL"</definedName>
    <definedName name="_AtRisk_SimSetting_SimName038" hidden="1">"Ded-Prod"</definedName>
    <definedName name="_AtRisk_SimSetting_SimNameCount" hidden="1">27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8" hidden="1">'BE-WS Summary'!$A$2:$K$716</definedName>
    <definedName name="_xlnm._FilterDatabase" localSheetId="10" hidden="1">'Inc TriData'!$A$2:$AX$716</definedName>
    <definedName name="_xlnm._FilterDatabase" localSheetId="9" hidden="1">'Paid TriData'!$A$2:$Y$716</definedName>
    <definedName name="BEWSSummary">'BE-WS Summary'!$C$3:$H$716</definedName>
    <definedName name="Group">Inputs!$D$2</definedName>
    <definedName name="GroupNo" localSheetId="4">'Group by AY'!$A$2</definedName>
    <definedName name="IncTriData">'Inc TriData'!$C$3:$W$716</definedName>
    <definedName name="PaidTriData">'Paid TriData'!$C$3:$W$716</definedName>
    <definedName name="Pal_Workbook_GUID" hidden="1">"AUQUYAD7AKUGY4WDSW85LX97"</definedName>
    <definedName name="_xlnm.Print_Area" localSheetId="6">'Incurred Bootstrap'!$A$1:$U$266</definedName>
    <definedName name="_xlnm.Print_Area" localSheetId="7">'Paid Bootstrap'!$A$2:$O$225</definedName>
    <definedName name="_xlnm.Print_Titles" localSheetId="6">'Incurred Bootstrap'!$A:$A,'Incurred Bootstrap'!$1:$8</definedName>
    <definedName name="Rate">Inputs!$I$5</definedName>
    <definedName name="Residuals" localSheetId="7">'Paid Bootstrap'!#REF!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25000</definedName>
    <definedName name="RiskNumSimulations" hidden="1">26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ow.Breaks">'Incurred Bootstrap'!$W$110:$W$128</definedName>
    <definedName name="TailPayout">'Paid Bootstrap'!$BE$199:$BE$219</definedName>
    <definedName name="TriData" localSheetId="10">'Inc TriData'!$C$3:$W$716</definedName>
  </definedNames>
  <calcPr calcId="152511" calcMode="autoNoTable"/>
  <fileRecoveryPr autoRecover="0"/>
</workbook>
</file>

<file path=xl/calcChain.xml><?xml version="1.0" encoding="utf-8"?>
<calcChain xmlns="http://schemas.openxmlformats.org/spreadsheetml/2006/main">
  <c r="G507" i="23" l="1"/>
  <c r="I696" i="23"/>
  <c r="G696" i="23"/>
  <c r="I675" i="23"/>
  <c r="G675" i="23" s="1"/>
  <c r="I654" i="23"/>
  <c r="G654" i="23"/>
  <c r="I633" i="23"/>
  <c r="G633" i="23" s="1"/>
  <c r="I612" i="23"/>
  <c r="G612" i="23"/>
  <c r="I591" i="23"/>
  <c r="F591" i="23" s="1"/>
  <c r="I570" i="23"/>
  <c r="G570" i="23"/>
  <c r="I549" i="23"/>
  <c r="G549" i="23" s="1"/>
  <c r="I528" i="23"/>
  <c r="G528" i="23"/>
  <c r="I507" i="23"/>
  <c r="F507" i="23" s="1"/>
  <c r="H507" i="23" s="1"/>
  <c r="I486" i="23"/>
  <c r="G486" i="23"/>
  <c r="I465" i="23"/>
  <c r="G465" i="23" s="1"/>
  <c r="I444" i="23"/>
  <c r="G444" i="23"/>
  <c r="I423" i="23"/>
  <c r="G423" i="23" s="1"/>
  <c r="I402" i="23"/>
  <c r="G402" i="23"/>
  <c r="I381" i="23"/>
  <c r="I360" i="23"/>
  <c r="G360" i="23"/>
  <c r="I339" i="23"/>
  <c r="I318" i="23"/>
  <c r="G318" i="23"/>
  <c r="I297" i="23"/>
  <c r="I276" i="23"/>
  <c r="G276" i="23"/>
  <c r="I255" i="23"/>
  <c r="I234" i="23"/>
  <c r="F234" i="23" s="1"/>
  <c r="H234" i="23" s="1"/>
  <c r="I213" i="23"/>
  <c r="I192" i="23"/>
  <c r="F192" i="23"/>
  <c r="H192" i="23" s="1"/>
  <c r="I171" i="23"/>
  <c r="F171" i="23"/>
  <c r="H171" i="23"/>
  <c r="I150" i="23"/>
  <c r="F150" i="23" s="1"/>
  <c r="H150" i="23" s="1"/>
  <c r="I129" i="23"/>
  <c r="G129" i="23" s="1"/>
  <c r="I108" i="23"/>
  <c r="F108" i="23"/>
  <c r="H108" i="23"/>
  <c r="I87" i="23"/>
  <c r="G87" i="23" s="1"/>
  <c r="I66" i="23"/>
  <c r="F66" i="23"/>
  <c r="H66" i="23" s="1"/>
  <c r="I45" i="23"/>
  <c r="G45" i="23"/>
  <c r="I24" i="23"/>
  <c r="I3" i="23"/>
  <c r="G3" i="23"/>
  <c r="F45" i="23"/>
  <c r="H45" i="23"/>
  <c r="H423" i="23"/>
  <c r="F423" i="23"/>
  <c r="F465" i="23"/>
  <c r="H465" i="23" s="1"/>
  <c r="F549" i="23"/>
  <c r="F633" i="23"/>
  <c r="F276" i="23"/>
  <c r="H276" i="23" s="1"/>
  <c r="F318" i="23"/>
  <c r="F360" i="23"/>
  <c r="H360" i="23"/>
  <c r="F402" i="23"/>
  <c r="H402" i="23" s="1"/>
  <c r="F444" i="23"/>
  <c r="H444" i="23"/>
  <c r="F486" i="23"/>
  <c r="H486" i="23" s="1"/>
  <c r="F528" i="23"/>
  <c r="H528" i="23" s="1"/>
  <c r="F570" i="23"/>
  <c r="H570" i="23" s="1"/>
  <c r="F612" i="23"/>
  <c r="F654" i="23"/>
  <c r="F696" i="23"/>
  <c r="G66" i="23"/>
  <c r="G192" i="23"/>
  <c r="G234" i="23"/>
  <c r="G150" i="23"/>
  <c r="G108" i="23"/>
  <c r="G171" i="23"/>
  <c r="H318" i="23"/>
  <c r="F129" i="23"/>
  <c r="H129" i="23" s="1"/>
  <c r="F87" i="23"/>
  <c r="H87" i="23" s="1"/>
  <c r="F3" i="23"/>
  <c r="H3" i="23" s="1"/>
  <c r="AE38" i="1"/>
  <c r="AB38" i="1"/>
  <c r="AN3" i="36"/>
  <c r="C158" i="22"/>
  <c r="C152" i="22"/>
  <c r="C162" i="35"/>
  <c r="B31" i="12"/>
  <c r="B56" i="12"/>
  <c r="H152" i="23"/>
  <c r="H153" i="23"/>
  <c r="H6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22" i="23"/>
  <c r="H170" i="23"/>
  <c r="H151" i="23"/>
  <c r="H261" i="23"/>
  <c r="H262" i="23"/>
  <c r="C5" i="28"/>
  <c r="D5" i="28"/>
  <c r="D8" i="28" s="1"/>
  <c r="C5" i="37" s="1"/>
  <c r="E5" i="28"/>
  <c r="F5" i="28"/>
  <c r="F8" i="28" s="1"/>
  <c r="C7" i="37" s="1"/>
  <c r="G5" i="28"/>
  <c r="H5" i="28"/>
  <c r="H8" i="28" s="1"/>
  <c r="C9" i="37" s="1"/>
  <c r="I5" i="28"/>
  <c r="J5" i="28"/>
  <c r="J8" i="28"/>
  <c r="C11" i="37" s="1"/>
  <c r="K5" i="28"/>
  <c r="L5" i="28"/>
  <c r="L8" i="28" s="1"/>
  <c r="C13" i="37" s="1"/>
  <c r="M5" i="28"/>
  <c r="M7" i="28"/>
  <c r="N5" i="28"/>
  <c r="N8" i="28"/>
  <c r="C15" i="37" s="1"/>
  <c r="O5" i="28"/>
  <c r="O8" i="28"/>
  <c r="C16" i="37" s="1"/>
  <c r="P5" i="28"/>
  <c r="Q5" i="28"/>
  <c r="Q8" i="28" s="1"/>
  <c r="C18" i="37" s="1"/>
  <c r="R5" i="28"/>
  <c r="R8" i="28"/>
  <c r="C19" i="37" s="1"/>
  <c r="S5" i="28"/>
  <c r="S8" i="28"/>
  <c r="C20" i="37" s="1"/>
  <c r="T5" i="28"/>
  <c r="T8" i="28"/>
  <c r="C21" i="37" s="1"/>
  <c r="U5" i="28"/>
  <c r="U8" i="28"/>
  <c r="C22" i="37" s="1"/>
  <c r="V5" i="28"/>
  <c r="V7" i="28"/>
  <c r="W5" i="28"/>
  <c r="W8" i="28"/>
  <c r="C24" i="37" s="1"/>
  <c r="X5" i="28"/>
  <c r="Y5" i="28"/>
  <c r="Y7" i="28" s="1"/>
  <c r="Z5" i="28"/>
  <c r="Z7" i="28" s="1"/>
  <c r="AA5" i="28"/>
  <c r="AA8" i="28" s="1"/>
  <c r="C28" i="37" s="1"/>
  <c r="AB5" i="28"/>
  <c r="AA7" i="28"/>
  <c r="AC7" i="28"/>
  <c r="AC8" i="28"/>
  <c r="B32" i="28"/>
  <c r="B33" i="28"/>
  <c r="B34" i="28" s="1"/>
  <c r="B35" i="28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4" i="28"/>
  <c r="B55" i="28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D11" i="12"/>
  <c r="E11" i="12" s="1"/>
  <c r="F11" i="12" s="1"/>
  <c r="G11" i="12" s="1"/>
  <c r="H11" i="12" s="1"/>
  <c r="I11" i="12" s="1"/>
  <c r="J11" i="12" s="1"/>
  <c r="K11" i="12" s="1"/>
  <c r="L11" i="12" s="1"/>
  <c r="M11" i="12" s="1"/>
  <c r="N11" i="12" s="1"/>
  <c r="O11" i="12" s="1"/>
  <c r="P11" i="12" s="1"/>
  <c r="Q11" i="12" s="1"/>
  <c r="R11" i="12" s="1"/>
  <c r="S11" i="12" s="1"/>
  <c r="T11" i="12" s="1"/>
  <c r="U11" i="12" s="1"/>
  <c r="V11" i="12" s="1"/>
  <c r="W11" i="12" s="1"/>
  <c r="B30" i="12"/>
  <c r="B29" i="12" s="1"/>
  <c r="B28" i="12" s="1"/>
  <c r="B27" i="12" s="1"/>
  <c r="B26" i="12" s="1"/>
  <c r="D36" i="12"/>
  <c r="E36" i="12" s="1"/>
  <c r="F36" i="12" s="1"/>
  <c r="G36" i="12" s="1"/>
  <c r="H36" i="12" s="1"/>
  <c r="I36" i="12" s="1"/>
  <c r="J36" i="12" s="1"/>
  <c r="K36" i="12" s="1"/>
  <c r="L36" i="12" s="1"/>
  <c r="M36" i="12" s="1"/>
  <c r="N36" i="12" s="1"/>
  <c r="O36" i="12" s="1"/>
  <c r="P36" i="12" s="1"/>
  <c r="Q36" i="12" s="1"/>
  <c r="R36" i="12" s="1"/>
  <c r="S36" i="12" s="1"/>
  <c r="T36" i="12"/>
  <c r="U36" i="12" s="1"/>
  <c r="V36" i="12" s="1"/>
  <c r="W36" i="12" s="1"/>
  <c r="A1" i="1"/>
  <c r="A4" i="1"/>
  <c r="C8" i="1"/>
  <c r="AD180" i="1"/>
  <c r="AB181" i="1"/>
  <c r="B197" i="1"/>
  <c r="A1" i="25"/>
  <c r="A4" i="25"/>
  <c r="C8" i="25"/>
  <c r="AW180" i="25"/>
  <c r="AU181" i="25"/>
  <c r="AU182" i="25"/>
  <c r="B197" i="25"/>
  <c r="A267" i="25"/>
  <c r="A270" i="25"/>
  <c r="H4" i="23"/>
  <c r="H5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3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7" i="23"/>
  <c r="H68" i="23"/>
  <c r="H69" i="23"/>
  <c r="H70" i="23"/>
  <c r="H71" i="23"/>
  <c r="H72" i="23"/>
  <c r="H73" i="23"/>
  <c r="H74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H207" i="23"/>
  <c r="H208" i="23"/>
  <c r="H209" i="23"/>
  <c r="H210" i="23"/>
  <c r="H211" i="23"/>
  <c r="H212" i="23"/>
  <c r="H214" i="23"/>
  <c r="H215" i="23"/>
  <c r="H216" i="23"/>
  <c r="H217" i="23"/>
  <c r="H218" i="23"/>
  <c r="H219" i="23"/>
  <c r="H220" i="23"/>
  <c r="H221" i="23"/>
  <c r="H222" i="23"/>
  <c r="H223" i="23"/>
  <c r="H224" i="23"/>
  <c r="H225" i="23"/>
  <c r="H226" i="23"/>
  <c r="H227" i="23"/>
  <c r="H228" i="23"/>
  <c r="H229" i="23"/>
  <c r="H230" i="23"/>
  <c r="H231" i="23"/>
  <c r="H232" i="23"/>
  <c r="H233" i="23"/>
  <c r="H319" i="23"/>
  <c r="H320" i="23"/>
  <c r="H321" i="23"/>
  <c r="H322" i="23"/>
  <c r="H323" i="23"/>
  <c r="H324" i="23"/>
  <c r="H325" i="23"/>
  <c r="H326" i="23"/>
  <c r="H327" i="23"/>
  <c r="H328" i="23"/>
  <c r="H329" i="23"/>
  <c r="H330" i="23"/>
  <c r="H331" i="23"/>
  <c r="H332" i="23"/>
  <c r="H333" i="23"/>
  <c r="H334" i="23"/>
  <c r="H335" i="23"/>
  <c r="H336" i="23"/>
  <c r="H337" i="23"/>
  <c r="H338" i="23"/>
  <c r="H340" i="23"/>
  <c r="H341" i="23"/>
  <c r="H342" i="23"/>
  <c r="H343" i="23"/>
  <c r="H344" i="23"/>
  <c r="H345" i="23"/>
  <c r="H346" i="23"/>
  <c r="H347" i="23"/>
  <c r="H348" i="23"/>
  <c r="H349" i="23"/>
  <c r="H350" i="23"/>
  <c r="H351" i="23"/>
  <c r="H352" i="23"/>
  <c r="H353" i="23"/>
  <c r="H354" i="23"/>
  <c r="H355" i="23"/>
  <c r="H356" i="23"/>
  <c r="H357" i="23"/>
  <c r="H358" i="23"/>
  <c r="H359" i="23"/>
  <c r="H361" i="23"/>
  <c r="H362" i="23"/>
  <c r="H363" i="23"/>
  <c r="H364" i="23"/>
  <c r="H365" i="23"/>
  <c r="H366" i="23"/>
  <c r="H367" i="23"/>
  <c r="H368" i="23"/>
  <c r="H369" i="23"/>
  <c r="H370" i="23"/>
  <c r="H371" i="23"/>
  <c r="H372" i="23"/>
  <c r="H373" i="23"/>
  <c r="H374" i="23"/>
  <c r="H375" i="23"/>
  <c r="H376" i="23"/>
  <c r="H377" i="23"/>
  <c r="H378" i="23"/>
  <c r="H379" i="23"/>
  <c r="H380" i="23"/>
  <c r="H382" i="23"/>
  <c r="H383" i="23"/>
  <c r="H384" i="23"/>
  <c r="H385" i="23"/>
  <c r="H386" i="23"/>
  <c r="H387" i="23"/>
  <c r="H388" i="23"/>
  <c r="H389" i="23"/>
  <c r="H390" i="23"/>
  <c r="H391" i="23"/>
  <c r="H392" i="23"/>
  <c r="H393" i="23"/>
  <c r="H394" i="23"/>
  <c r="H395" i="23"/>
  <c r="H396" i="23"/>
  <c r="H397" i="23"/>
  <c r="H398" i="23"/>
  <c r="H399" i="23"/>
  <c r="H400" i="23"/>
  <c r="H401" i="23"/>
  <c r="H403" i="23"/>
  <c r="H404" i="23"/>
  <c r="H405" i="23"/>
  <c r="H406" i="23"/>
  <c r="H407" i="23"/>
  <c r="H408" i="23"/>
  <c r="H409" i="23"/>
  <c r="H410" i="23"/>
  <c r="H411" i="23"/>
  <c r="H412" i="23"/>
  <c r="H413" i="23"/>
  <c r="H414" i="23"/>
  <c r="H415" i="23"/>
  <c r="H416" i="23"/>
  <c r="H417" i="23"/>
  <c r="H418" i="23"/>
  <c r="H419" i="23"/>
  <c r="H420" i="23"/>
  <c r="H421" i="23"/>
  <c r="H422" i="23"/>
  <c r="H424" i="23"/>
  <c r="H425" i="23"/>
  <c r="H426" i="23"/>
  <c r="H427" i="23"/>
  <c r="H428" i="23"/>
  <c r="H429" i="23"/>
  <c r="H430" i="23"/>
  <c r="H431" i="23"/>
  <c r="H432" i="23"/>
  <c r="H433" i="23"/>
  <c r="H434" i="23"/>
  <c r="H435" i="23"/>
  <c r="H436" i="23"/>
  <c r="H437" i="23"/>
  <c r="H438" i="23"/>
  <c r="H439" i="23"/>
  <c r="H440" i="23"/>
  <c r="H441" i="23"/>
  <c r="H442" i="23"/>
  <c r="H443" i="23"/>
  <c r="H445" i="23"/>
  <c r="H446" i="23"/>
  <c r="H447" i="23"/>
  <c r="H448" i="23"/>
  <c r="H449" i="23"/>
  <c r="H450" i="23"/>
  <c r="H451" i="23"/>
  <c r="H452" i="23"/>
  <c r="H453" i="23"/>
  <c r="H454" i="23"/>
  <c r="H455" i="23"/>
  <c r="H456" i="23"/>
  <c r="H457" i="23"/>
  <c r="H458" i="23"/>
  <c r="H459" i="23"/>
  <c r="H460" i="23"/>
  <c r="H461" i="23"/>
  <c r="H462" i="23"/>
  <c r="H463" i="23"/>
  <c r="H464" i="23"/>
  <c r="H466" i="23"/>
  <c r="H467" i="23"/>
  <c r="H468" i="23"/>
  <c r="H469" i="23"/>
  <c r="H470" i="23"/>
  <c r="H471" i="23"/>
  <c r="H472" i="23"/>
  <c r="H473" i="23"/>
  <c r="H474" i="23"/>
  <c r="H475" i="23"/>
  <c r="H476" i="23"/>
  <c r="H477" i="23"/>
  <c r="H478" i="23"/>
  <c r="H479" i="23"/>
  <c r="H480" i="23"/>
  <c r="H481" i="23"/>
  <c r="H482" i="23"/>
  <c r="H483" i="23"/>
  <c r="H484" i="23"/>
  <c r="H485" i="23"/>
  <c r="H487" i="23"/>
  <c r="H488" i="23"/>
  <c r="H489" i="23"/>
  <c r="H490" i="23"/>
  <c r="H491" i="23"/>
  <c r="H492" i="23"/>
  <c r="H493" i="23"/>
  <c r="H494" i="23"/>
  <c r="H495" i="23"/>
  <c r="H496" i="23"/>
  <c r="H497" i="23"/>
  <c r="H498" i="23"/>
  <c r="H499" i="23"/>
  <c r="H500" i="23"/>
  <c r="H501" i="23"/>
  <c r="H502" i="23"/>
  <c r="H503" i="23"/>
  <c r="H504" i="23"/>
  <c r="H505" i="23"/>
  <c r="H506" i="23"/>
  <c r="H508" i="23"/>
  <c r="H509" i="23"/>
  <c r="H510" i="23"/>
  <c r="H511" i="23"/>
  <c r="H512" i="23"/>
  <c r="H513" i="23"/>
  <c r="H514" i="23"/>
  <c r="H515" i="23"/>
  <c r="H516" i="23"/>
  <c r="H517" i="23"/>
  <c r="H518" i="23"/>
  <c r="H519" i="23"/>
  <c r="H520" i="23"/>
  <c r="H521" i="23"/>
  <c r="H522" i="23"/>
  <c r="H523" i="23"/>
  <c r="H524" i="23"/>
  <c r="H525" i="23"/>
  <c r="H526" i="23"/>
  <c r="H527" i="23"/>
  <c r="H529" i="23"/>
  <c r="H530" i="23"/>
  <c r="H531" i="23"/>
  <c r="H532" i="23"/>
  <c r="H533" i="23"/>
  <c r="H534" i="23"/>
  <c r="H535" i="23"/>
  <c r="H536" i="23"/>
  <c r="H537" i="23"/>
  <c r="H538" i="23"/>
  <c r="H539" i="23"/>
  <c r="H540" i="23"/>
  <c r="H541" i="23"/>
  <c r="H542" i="23"/>
  <c r="H543" i="23"/>
  <c r="H544" i="23"/>
  <c r="H545" i="23"/>
  <c r="H546" i="23"/>
  <c r="H547" i="23"/>
  <c r="H548" i="23"/>
  <c r="H235" i="23"/>
  <c r="H236" i="23"/>
  <c r="H237" i="23"/>
  <c r="H238" i="23"/>
  <c r="H239" i="23"/>
  <c r="H240" i="23"/>
  <c r="H241" i="23"/>
  <c r="H242" i="23"/>
  <c r="H243" i="23"/>
  <c r="H244" i="23"/>
  <c r="H245" i="23"/>
  <c r="H246" i="23"/>
  <c r="H247" i="23"/>
  <c r="H248" i="23"/>
  <c r="H249" i="23"/>
  <c r="H250" i="23"/>
  <c r="H251" i="23"/>
  <c r="H252" i="23"/>
  <c r="H253" i="23"/>
  <c r="H254" i="23"/>
  <c r="H256" i="23"/>
  <c r="H257" i="23"/>
  <c r="H258" i="23"/>
  <c r="H259" i="23"/>
  <c r="H260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298" i="23"/>
  <c r="H299" i="23"/>
  <c r="H300" i="23"/>
  <c r="H301" i="23"/>
  <c r="H302" i="23"/>
  <c r="H303" i="23"/>
  <c r="H304" i="23"/>
  <c r="H305" i="23"/>
  <c r="H306" i="23"/>
  <c r="H307" i="23"/>
  <c r="H308" i="23"/>
  <c r="H309" i="23"/>
  <c r="H310" i="23"/>
  <c r="H311" i="23"/>
  <c r="H312" i="23"/>
  <c r="H313" i="23"/>
  <c r="H314" i="23"/>
  <c r="H315" i="23"/>
  <c r="H316" i="23"/>
  <c r="H317" i="23"/>
  <c r="H549" i="23"/>
  <c r="H550" i="23"/>
  <c r="H551" i="23"/>
  <c r="H552" i="23"/>
  <c r="H553" i="23"/>
  <c r="H554" i="23"/>
  <c r="H555" i="23"/>
  <c r="H556" i="23"/>
  <c r="H557" i="23"/>
  <c r="H558" i="23"/>
  <c r="H559" i="23"/>
  <c r="H560" i="23"/>
  <c r="H561" i="23"/>
  <c r="H562" i="23"/>
  <c r="H563" i="23"/>
  <c r="H564" i="23"/>
  <c r="H565" i="23"/>
  <c r="H566" i="23"/>
  <c r="H567" i="23"/>
  <c r="H568" i="23"/>
  <c r="H569" i="23"/>
  <c r="H571" i="23"/>
  <c r="H572" i="23"/>
  <c r="H573" i="23"/>
  <c r="H574" i="23"/>
  <c r="H575" i="23"/>
  <c r="H576" i="23"/>
  <c r="H577" i="23"/>
  <c r="H578" i="23"/>
  <c r="H579" i="23"/>
  <c r="H580" i="23"/>
  <c r="H581" i="23"/>
  <c r="H582" i="23"/>
  <c r="H583" i="23"/>
  <c r="H584" i="23"/>
  <c r="H585" i="23"/>
  <c r="H586" i="23"/>
  <c r="H587" i="23"/>
  <c r="H588" i="23"/>
  <c r="H589" i="23"/>
  <c r="H590" i="23"/>
  <c r="H591" i="23"/>
  <c r="H592" i="23"/>
  <c r="H593" i="23"/>
  <c r="H594" i="23"/>
  <c r="H595" i="23"/>
  <c r="H596" i="23"/>
  <c r="H597" i="23"/>
  <c r="H598" i="23"/>
  <c r="H599" i="23"/>
  <c r="H600" i="23"/>
  <c r="H601" i="23"/>
  <c r="H602" i="23"/>
  <c r="H603" i="23"/>
  <c r="H604" i="23"/>
  <c r="H605" i="23"/>
  <c r="H606" i="23"/>
  <c r="H607" i="23"/>
  <c r="H608" i="23"/>
  <c r="H609" i="23"/>
  <c r="H610" i="23"/>
  <c r="H611" i="23"/>
  <c r="H612" i="23"/>
  <c r="H613" i="23"/>
  <c r="H614" i="23"/>
  <c r="H615" i="23"/>
  <c r="H616" i="23"/>
  <c r="H617" i="23"/>
  <c r="H618" i="23"/>
  <c r="H619" i="23"/>
  <c r="H620" i="23"/>
  <c r="H621" i="23"/>
  <c r="H622" i="23"/>
  <c r="H623" i="23"/>
  <c r="H624" i="23"/>
  <c r="H625" i="23"/>
  <c r="H626" i="23"/>
  <c r="H627" i="23"/>
  <c r="H628" i="23"/>
  <c r="H629" i="23"/>
  <c r="H630" i="23"/>
  <c r="H631" i="23"/>
  <c r="H632" i="23"/>
  <c r="H633" i="23"/>
  <c r="H634" i="23"/>
  <c r="H635" i="23"/>
  <c r="H636" i="23"/>
  <c r="H637" i="23"/>
  <c r="H638" i="23"/>
  <c r="H639" i="23"/>
  <c r="H640" i="23"/>
  <c r="H641" i="23"/>
  <c r="H642" i="23"/>
  <c r="H643" i="23"/>
  <c r="H644" i="23"/>
  <c r="H645" i="23"/>
  <c r="H646" i="23"/>
  <c r="H647" i="23"/>
  <c r="H648" i="23"/>
  <c r="H649" i="23"/>
  <c r="H650" i="23"/>
  <c r="H651" i="23"/>
  <c r="H652" i="23"/>
  <c r="H653" i="23"/>
  <c r="H654" i="23"/>
  <c r="H655" i="23"/>
  <c r="H656" i="23"/>
  <c r="H657" i="23"/>
  <c r="H658" i="23"/>
  <c r="H659" i="23"/>
  <c r="H660" i="23"/>
  <c r="H661" i="23"/>
  <c r="H662" i="23"/>
  <c r="H663" i="23"/>
  <c r="H664" i="23"/>
  <c r="H665" i="23"/>
  <c r="H666" i="23"/>
  <c r="H667" i="23"/>
  <c r="H668" i="23"/>
  <c r="H669" i="23"/>
  <c r="H670" i="23"/>
  <c r="H671" i="23"/>
  <c r="H672" i="23"/>
  <c r="H673" i="23"/>
  <c r="H674" i="23"/>
  <c r="H676" i="23"/>
  <c r="H677" i="23"/>
  <c r="H678" i="23"/>
  <c r="H679" i="23"/>
  <c r="H680" i="23"/>
  <c r="H681" i="23"/>
  <c r="H682" i="23"/>
  <c r="H683" i="23"/>
  <c r="H684" i="23"/>
  <c r="H685" i="23"/>
  <c r="H686" i="23"/>
  <c r="H687" i="23"/>
  <c r="H688" i="23"/>
  <c r="H689" i="23"/>
  <c r="H690" i="23"/>
  <c r="H691" i="23"/>
  <c r="H692" i="23"/>
  <c r="H693" i="23"/>
  <c r="H694" i="23"/>
  <c r="H695" i="23"/>
  <c r="H696" i="23"/>
  <c r="H697" i="23"/>
  <c r="H698" i="23"/>
  <c r="H699" i="23"/>
  <c r="H700" i="23"/>
  <c r="H701" i="23"/>
  <c r="H702" i="23"/>
  <c r="H703" i="23"/>
  <c r="H704" i="23"/>
  <c r="H705" i="23"/>
  <c r="H706" i="23"/>
  <c r="H707" i="23"/>
  <c r="H708" i="23"/>
  <c r="H709" i="23"/>
  <c r="H710" i="23"/>
  <c r="H711" i="23"/>
  <c r="H712" i="23"/>
  <c r="H713" i="23"/>
  <c r="H714" i="23"/>
  <c r="H715" i="23"/>
  <c r="H716" i="23"/>
  <c r="Y150" i="35"/>
  <c r="Y151" i="35"/>
  <c r="Y152" i="35"/>
  <c r="Y153" i="35"/>
  <c r="Y154" i="35"/>
  <c r="Y155" i="35"/>
  <c r="Y156" i="35"/>
  <c r="Y157" i="35"/>
  <c r="Y158" i="35"/>
  <c r="Y159" i="35"/>
  <c r="Y160" i="35"/>
  <c r="Y161" i="35"/>
  <c r="Y162" i="35"/>
  <c r="Y163" i="35"/>
  <c r="Y164" i="35"/>
  <c r="Y165" i="35"/>
  <c r="Y166" i="35"/>
  <c r="Y167" i="35"/>
  <c r="Y168" i="35"/>
  <c r="Y169" i="35"/>
  <c r="Y170" i="35"/>
  <c r="Y171" i="35"/>
  <c r="Y172" i="35"/>
  <c r="Y173" i="35"/>
  <c r="Y174" i="35"/>
  <c r="Y175" i="35"/>
  <c r="Y176" i="35"/>
  <c r="Y177" i="35"/>
  <c r="Y178" i="35"/>
  <c r="Y179" i="35"/>
  <c r="Y180" i="35"/>
  <c r="Y181" i="35"/>
  <c r="Y182" i="35"/>
  <c r="Y183" i="35"/>
  <c r="Y184" i="35"/>
  <c r="Y185" i="35"/>
  <c r="Y186" i="35"/>
  <c r="Y187" i="35"/>
  <c r="Y188" i="35"/>
  <c r="Y189" i="35"/>
  <c r="Y190" i="35"/>
  <c r="Y191" i="35"/>
  <c r="Y213" i="35"/>
  <c r="Y214" i="35"/>
  <c r="Y215" i="35"/>
  <c r="Y216" i="35"/>
  <c r="Y217" i="35"/>
  <c r="Y218" i="35"/>
  <c r="Y219" i="35"/>
  <c r="Y220" i="35"/>
  <c r="Y221" i="35"/>
  <c r="Y222" i="35"/>
  <c r="Y223" i="35"/>
  <c r="Y224" i="35"/>
  <c r="Y225" i="35"/>
  <c r="Y226" i="35"/>
  <c r="Y227" i="35"/>
  <c r="Y228" i="35"/>
  <c r="Y229" i="35"/>
  <c r="Y230" i="35"/>
  <c r="Y231" i="35"/>
  <c r="Y232" i="35"/>
  <c r="Y233" i="35"/>
  <c r="B25" i="12"/>
  <c r="B24" i="12" s="1"/>
  <c r="B23" i="12" s="1"/>
  <c r="B22" i="12" s="1"/>
  <c r="B21" i="12" s="1"/>
  <c r="B20" i="12" s="1"/>
  <c r="B19" i="12" s="1"/>
  <c r="B18" i="12" s="1"/>
  <c r="B17" i="12"/>
  <c r="B16" i="12" s="1"/>
  <c r="B15" i="12" s="1"/>
  <c r="B14" i="12" s="1"/>
  <c r="B13" i="12" s="1"/>
  <c r="B12" i="12" s="1"/>
  <c r="A3" i="31"/>
  <c r="S7" i="28"/>
  <c r="Q7" i="28"/>
  <c r="C7" i="28"/>
  <c r="C8" i="28"/>
  <c r="C4" i="37" s="1"/>
  <c r="Y8" i="28"/>
  <c r="C26" i="37" s="1"/>
  <c r="C197" i="25"/>
  <c r="B221" i="25"/>
  <c r="B32" i="1"/>
  <c r="B109" i="1" s="1"/>
  <c r="C197" i="1"/>
  <c r="D8" i="1"/>
  <c r="C32" i="1" s="1"/>
  <c r="C109" i="1" s="1"/>
  <c r="H7" i="28"/>
  <c r="D197" i="1"/>
  <c r="F7" i="28"/>
  <c r="W7" i="28"/>
  <c r="R7" i="28"/>
  <c r="D7" i="28"/>
  <c r="AW181" i="25"/>
  <c r="B32" i="25"/>
  <c r="B109" i="25" s="1"/>
  <c r="D8" i="25"/>
  <c r="X8" i="28"/>
  <c r="C25" i="37" s="1"/>
  <c r="X7" i="28"/>
  <c r="N7" i="28"/>
  <c r="M8" i="28"/>
  <c r="C14" i="37" s="1"/>
  <c r="K8" i="28"/>
  <c r="C12" i="37" s="1"/>
  <c r="K7" i="28"/>
  <c r="E8" i="1"/>
  <c r="L7" i="28"/>
  <c r="D197" i="25"/>
  <c r="C221" i="25"/>
  <c r="E8" i="25"/>
  <c r="C32" i="25"/>
  <c r="C109" i="25" s="1"/>
  <c r="F8" i="1"/>
  <c r="E197" i="1"/>
  <c r="D221" i="1" s="1"/>
  <c r="P8" i="28"/>
  <c r="C17" i="37" s="1"/>
  <c r="P7" i="28"/>
  <c r="B55" i="12"/>
  <c r="B80" i="12" s="1"/>
  <c r="A25" i="31" s="1"/>
  <c r="C25" i="31" s="1"/>
  <c r="U7" i="28"/>
  <c r="O7" i="28"/>
  <c r="A27" i="25"/>
  <c r="A263" i="25" s="1"/>
  <c r="B54" i="12"/>
  <c r="A26" i="25" s="1"/>
  <c r="A170" i="25" s="1"/>
  <c r="B79" i="12"/>
  <c r="B53" i="12"/>
  <c r="B78" i="12" s="1"/>
  <c r="A23" i="31" s="1"/>
  <c r="A26" i="1"/>
  <c r="A170" i="1" s="1"/>
  <c r="A193" i="25"/>
  <c r="A51" i="25"/>
  <c r="A74" i="25"/>
  <c r="A127" i="25"/>
  <c r="A215" i="25" s="1"/>
  <c r="A239" i="25" s="1"/>
  <c r="A73" i="25"/>
  <c r="A192" i="25"/>
  <c r="A50" i="25"/>
  <c r="A95" i="25"/>
  <c r="A262" i="25"/>
  <c r="A95" i="1"/>
  <c r="A192" i="1"/>
  <c r="A262" i="1"/>
  <c r="A73" i="1"/>
  <c r="A148" i="1"/>
  <c r="A127" i="1"/>
  <c r="A215" i="1" s="1"/>
  <c r="A239" i="1" s="1"/>
  <c r="B25" i="31"/>
  <c r="A25" i="1"/>
  <c r="A147" i="1" s="1"/>
  <c r="A25" i="25"/>
  <c r="A24" i="31"/>
  <c r="A191" i="1"/>
  <c r="A49" i="1"/>
  <c r="A261" i="1"/>
  <c r="A49" i="25"/>
  <c r="A126" i="25"/>
  <c r="A214" i="25" s="1"/>
  <c r="A238" i="25" s="1"/>
  <c r="A261" i="25"/>
  <c r="Z8" i="28"/>
  <c r="C27" i="37" s="1"/>
  <c r="T7" i="28"/>
  <c r="J7" i="28"/>
  <c r="V8" i="28"/>
  <c r="C23" i="37" s="1"/>
  <c r="E2" i="12"/>
  <c r="AF170" i="1" l="1"/>
  <c r="AF171" i="1" s="1"/>
  <c r="AF169" i="1" s="1"/>
  <c r="AF175" i="1" s="1"/>
  <c r="AH175" i="1" s="1"/>
  <c r="F339" i="23"/>
  <c r="H339" i="23" s="1"/>
  <c r="G339" i="23"/>
  <c r="G8" i="1"/>
  <c r="F197" i="1"/>
  <c r="E32" i="1"/>
  <c r="E109" i="1" s="1"/>
  <c r="F24" i="23"/>
  <c r="H24" i="23" s="1"/>
  <c r="G24" i="23"/>
  <c r="C24" i="31"/>
  <c r="B24" i="31"/>
  <c r="F213" i="23"/>
  <c r="H213" i="23" s="1"/>
  <c r="G213" i="23"/>
  <c r="A147" i="25"/>
  <c r="A72" i="25"/>
  <c r="A169" i="25"/>
  <c r="A94" i="25"/>
  <c r="A191" i="25"/>
  <c r="C23" i="31"/>
  <c r="B23" i="31"/>
  <c r="C221" i="1"/>
  <c r="B221" i="1"/>
  <c r="AW182" i="25"/>
  <c r="AU183" i="25"/>
  <c r="A169" i="1"/>
  <c r="A126" i="1"/>
  <c r="A214" i="1" s="1"/>
  <c r="A238" i="1" s="1"/>
  <c r="B52" i="12"/>
  <c r="A50" i="1"/>
  <c r="A148" i="25"/>
  <c r="A149" i="25"/>
  <c r="A27" i="1"/>
  <c r="G7" i="28"/>
  <c r="G8" i="28"/>
  <c r="C8" i="37" s="1"/>
  <c r="G297" i="23"/>
  <c r="F297" i="23"/>
  <c r="H297" i="23" s="1"/>
  <c r="A94" i="1"/>
  <c r="A72" i="1"/>
  <c r="F8" i="25"/>
  <c r="D32" i="25"/>
  <c r="D109" i="25" s="1"/>
  <c r="E197" i="25"/>
  <c r="AB7" i="28"/>
  <c r="AB8" i="28"/>
  <c r="C29" i="37" s="1"/>
  <c r="A28" i="25"/>
  <c r="A28" i="1"/>
  <c r="B81" i="12"/>
  <c r="A26" i="31" s="1"/>
  <c r="G255" i="23"/>
  <c r="F255" i="23"/>
  <c r="H255" i="23" s="1"/>
  <c r="A128" i="25"/>
  <c r="A216" i="25" s="1"/>
  <c r="A171" i="25"/>
  <c r="A96" i="25"/>
  <c r="E221" i="1"/>
  <c r="AD181" i="1"/>
  <c r="AB182" i="1"/>
  <c r="I7" i="28"/>
  <c r="I8" i="28"/>
  <c r="C10" i="37" s="1"/>
  <c r="E7" i="28"/>
  <c r="E8" i="28"/>
  <c r="C6" i="37" s="1"/>
  <c r="G381" i="23"/>
  <c r="F381" i="23"/>
  <c r="H381" i="23" s="1"/>
  <c r="G591" i="23"/>
  <c r="F675" i="23"/>
  <c r="H675" i="23" s="1"/>
  <c r="D32" i="1"/>
  <c r="D109" i="1" s="1"/>
  <c r="AY170" i="25"/>
  <c r="F2" i="12"/>
  <c r="Q14" i="12" s="1"/>
  <c r="P11" i="1" s="1"/>
  <c r="A217" i="25" l="1"/>
  <c r="A240" i="25"/>
  <c r="A264" i="1"/>
  <c r="A150" i="1"/>
  <c r="A194" i="1"/>
  <c r="A97" i="1"/>
  <c r="A172" i="1"/>
  <c r="A75" i="1"/>
  <c r="D221" i="25"/>
  <c r="AU184" i="25"/>
  <c r="AW183" i="25"/>
  <c r="G197" i="1"/>
  <c r="H8" i="1"/>
  <c r="G32" i="1"/>
  <c r="G109" i="1" s="1"/>
  <c r="F32" i="1"/>
  <c r="F109" i="1" s="1"/>
  <c r="A172" i="25"/>
  <c r="A150" i="25"/>
  <c r="A264" i="25"/>
  <c r="A97" i="25"/>
  <c r="A75" i="25"/>
  <c r="A194" i="25"/>
  <c r="A263" i="1"/>
  <c r="A193" i="1"/>
  <c r="A74" i="1"/>
  <c r="A171" i="1"/>
  <c r="A51" i="1"/>
  <c r="A149" i="1"/>
  <c r="A128" i="1"/>
  <c r="A216" i="1" s="1"/>
  <c r="A96" i="1"/>
  <c r="A24" i="1"/>
  <c r="B51" i="12"/>
  <c r="M51" i="12" s="1"/>
  <c r="B77" i="12"/>
  <c r="A22" i="31" s="1"/>
  <c r="A24" i="25"/>
  <c r="AD182" i="1"/>
  <c r="AB183" i="1"/>
  <c r="B26" i="31"/>
  <c r="C26" i="31"/>
  <c r="F197" i="25"/>
  <c r="G8" i="25"/>
  <c r="F32" i="25" s="1"/>
  <c r="F109" i="25" s="1"/>
  <c r="E32" i="25"/>
  <c r="E109" i="25" s="1"/>
  <c r="F221" i="1"/>
  <c r="I22" i="12"/>
  <c r="H19" i="1" s="1"/>
  <c r="H12" i="12"/>
  <c r="G9" i="1" s="1"/>
  <c r="I25" i="12"/>
  <c r="H22" i="1" s="1"/>
  <c r="C27" i="12"/>
  <c r="B24" i="1" s="1"/>
  <c r="C56" i="12"/>
  <c r="B28" i="25" s="1"/>
  <c r="U17" i="12"/>
  <c r="D13" i="12"/>
  <c r="S15" i="12"/>
  <c r="R12" i="1" s="1"/>
  <c r="F19" i="12"/>
  <c r="E16" i="1" s="1"/>
  <c r="J15" i="12"/>
  <c r="I12" i="1" s="1"/>
  <c r="M13" i="12"/>
  <c r="L10" i="1" s="1"/>
  <c r="C17" i="12"/>
  <c r="N12" i="12"/>
  <c r="M9" i="1" s="1"/>
  <c r="J16" i="12"/>
  <c r="I13" i="1" s="1"/>
  <c r="T23" i="12"/>
  <c r="C21" i="12"/>
  <c r="O20" i="12"/>
  <c r="K22" i="12"/>
  <c r="M18" i="12"/>
  <c r="L15" i="1" s="1"/>
  <c r="G21" i="12"/>
  <c r="F18" i="1" s="1"/>
  <c r="D25" i="12"/>
  <c r="C22" i="1" s="1"/>
  <c r="P19" i="12"/>
  <c r="C12" i="12"/>
  <c r="J13" i="12"/>
  <c r="I10" i="1" s="1"/>
  <c r="F22" i="12"/>
  <c r="E19" i="1" s="1"/>
  <c r="L18" i="12"/>
  <c r="K15" i="1" s="1"/>
  <c r="O19" i="12"/>
  <c r="N16" i="1" s="1"/>
  <c r="J14" i="12"/>
  <c r="I11" i="1" s="1"/>
  <c r="E25" i="12"/>
  <c r="D22" i="1" s="1"/>
  <c r="C46" i="1" s="1"/>
  <c r="I20" i="12"/>
  <c r="H17" i="1" s="1"/>
  <c r="H14" i="12"/>
  <c r="G11" i="1" s="1"/>
  <c r="H17" i="12"/>
  <c r="G14" i="1" s="1"/>
  <c r="H22" i="12"/>
  <c r="G19" i="1" s="1"/>
  <c r="H26" i="12"/>
  <c r="G23" i="1" s="1"/>
  <c r="G16" i="12"/>
  <c r="F13" i="1" s="1"/>
  <c r="G20" i="12"/>
  <c r="F17" i="1" s="1"/>
  <c r="L12" i="12"/>
  <c r="K9" i="1" s="1"/>
  <c r="R13" i="12"/>
  <c r="Q10" i="1" s="1"/>
  <c r="M12" i="12"/>
  <c r="L9" i="1" s="1"/>
  <c r="Q19" i="12"/>
  <c r="E19" i="12"/>
  <c r="D16" i="1" s="1"/>
  <c r="O22" i="12"/>
  <c r="F20" i="12"/>
  <c r="E17" i="1" s="1"/>
  <c r="I18" i="12"/>
  <c r="H15" i="1" s="1"/>
  <c r="D23" i="12"/>
  <c r="C20" i="1" s="1"/>
  <c r="O13" i="12"/>
  <c r="N10" i="1" s="1"/>
  <c r="R17" i="12"/>
  <c r="C20" i="12"/>
  <c r="C14" i="12"/>
  <c r="B11" i="1" s="1"/>
  <c r="D15" i="12"/>
  <c r="C12" i="1" s="1"/>
  <c r="T20" i="12"/>
  <c r="Q22" i="12"/>
  <c r="E6" i="12"/>
  <c r="M14" i="12"/>
  <c r="L11" i="1" s="1"/>
  <c r="D6" i="12"/>
  <c r="T12" i="12"/>
  <c r="S9" i="1" s="1"/>
  <c r="O15" i="12"/>
  <c r="N12" i="1" s="1"/>
  <c r="L13" i="12"/>
  <c r="K10" i="1" s="1"/>
  <c r="D81" i="12"/>
  <c r="S12" i="12"/>
  <c r="R9" i="1" s="1"/>
  <c r="S21" i="12"/>
  <c r="S17" i="12"/>
  <c r="P12" i="12"/>
  <c r="O9" i="1" s="1"/>
  <c r="Q21" i="12"/>
  <c r="U12" i="12"/>
  <c r="T9" i="1" s="1"/>
  <c r="U15" i="12"/>
  <c r="N20" i="12"/>
  <c r="M17" i="1" s="1"/>
  <c r="R15" i="12"/>
  <c r="Q12" i="1" s="1"/>
  <c r="V20" i="12"/>
  <c r="C30" i="12"/>
  <c r="B27" i="1" s="1"/>
  <c r="F17" i="12"/>
  <c r="E14" i="1" s="1"/>
  <c r="F25" i="12"/>
  <c r="E22" i="1" s="1"/>
  <c r="I14" i="12"/>
  <c r="H11" i="1" s="1"/>
  <c r="P22" i="12"/>
  <c r="T16" i="12"/>
  <c r="O54" i="12"/>
  <c r="D14" i="12"/>
  <c r="C11" i="1" s="1"/>
  <c r="B35" i="1" s="1"/>
  <c r="O16" i="12"/>
  <c r="N13" i="1" s="1"/>
  <c r="M22" i="12"/>
  <c r="E14" i="12"/>
  <c r="D11" i="1" s="1"/>
  <c r="N15" i="12"/>
  <c r="M12" i="1" s="1"/>
  <c r="U13" i="12"/>
  <c r="K20" i="12"/>
  <c r="J17" i="1" s="1"/>
  <c r="Q15" i="12"/>
  <c r="P12" i="1" s="1"/>
  <c r="R12" i="12"/>
  <c r="Q9" i="1" s="1"/>
  <c r="C31" i="12"/>
  <c r="B28" i="1" s="1"/>
  <c r="O12" i="12"/>
  <c r="N9" i="1" s="1"/>
  <c r="H13" i="12"/>
  <c r="G10" i="1" s="1"/>
  <c r="H18" i="12"/>
  <c r="G15" i="1" s="1"/>
  <c r="H23" i="12"/>
  <c r="G20" i="1" s="1"/>
  <c r="G12" i="12"/>
  <c r="F9" i="1" s="1"/>
  <c r="F33" i="1" s="1"/>
  <c r="G17" i="12"/>
  <c r="F14" i="1" s="1"/>
  <c r="G23" i="12"/>
  <c r="F20" i="1" s="1"/>
  <c r="L23" i="12"/>
  <c r="J17" i="12"/>
  <c r="I14" i="1" s="1"/>
  <c r="T21" i="12"/>
  <c r="L21" i="12"/>
  <c r="K18" i="1" s="1"/>
  <c r="C19" i="12"/>
  <c r="K23" i="12"/>
  <c r="M16" i="12"/>
  <c r="L13" i="1" s="1"/>
  <c r="Q18" i="12"/>
  <c r="D21" i="12"/>
  <c r="C18" i="1" s="1"/>
  <c r="V16" i="12"/>
  <c r="D20" i="12"/>
  <c r="C17" i="1" s="1"/>
  <c r="I16" i="12"/>
  <c r="H13" i="1" s="1"/>
  <c r="S18" i="12"/>
  <c r="D12" i="12"/>
  <c r="C9" i="1" s="1"/>
  <c r="R20" i="12"/>
  <c r="J21" i="12"/>
  <c r="I18" i="1" s="1"/>
  <c r="E18" i="12"/>
  <c r="D15" i="1" s="1"/>
  <c r="J24" i="12"/>
  <c r="V18" i="12"/>
  <c r="K14" i="12"/>
  <c r="J11" i="1" s="1"/>
  <c r="D27" i="12"/>
  <c r="C24" i="1" s="1"/>
  <c r="I17" i="12"/>
  <c r="H14" i="1" s="1"/>
  <c r="C22" i="12"/>
  <c r="B19" i="1" s="1"/>
  <c r="O14" i="12"/>
  <c r="N11" i="1" s="1"/>
  <c r="M53" i="1" s="1"/>
  <c r="L16" i="12"/>
  <c r="K13" i="1" s="1"/>
  <c r="I21" i="12"/>
  <c r="H18" i="1" s="1"/>
  <c r="R16" i="12"/>
  <c r="Q13" i="1" s="1"/>
  <c r="J18" i="12"/>
  <c r="I15" i="1" s="1"/>
  <c r="C29" i="12"/>
  <c r="T13" i="12"/>
  <c r="S10" i="1" s="1"/>
  <c r="T19" i="12"/>
  <c r="K15" i="12"/>
  <c r="J12" i="1" s="1"/>
  <c r="I36" i="1" s="1"/>
  <c r="K13" i="12"/>
  <c r="J10" i="1" s="1"/>
  <c r="K21" i="12"/>
  <c r="J18" i="1" s="1"/>
  <c r="J22" i="12"/>
  <c r="I19" i="1" s="1"/>
  <c r="R19" i="12"/>
  <c r="F27" i="12"/>
  <c r="E24" i="1" s="1"/>
  <c r="S19" i="12"/>
  <c r="M19" i="12"/>
  <c r="L16" i="1" s="1"/>
  <c r="M21" i="12"/>
  <c r="F18" i="12"/>
  <c r="E15" i="1" s="1"/>
  <c r="D39" i="1" s="1"/>
  <c r="L14" i="12"/>
  <c r="K11" i="1" s="1"/>
  <c r="V21" i="12"/>
  <c r="N21" i="12"/>
  <c r="E13" i="12"/>
  <c r="D10" i="1" s="1"/>
  <c r="R54" i="12"/>
  <c r="I54" i="12"/>
  <c r="U18" i="12"/>
  <c r="V14" i="12"/>
  <c r="H54" i="12"/>
  <c r="N54" i="12"/>
  <c r="S16" i="12"/>
  <c r="D55" i="12"/>
  <c r="E24" i="12"/>
  <c r="D21" i="1" s="1"/>
  <c r="H21" i="12"/>
  <c r="G18" i="1" s="1"/>
  <c r="F42" i="1" s="1"/>
  <c r="F28" i="12"/>
  <c r="O21" i="12"/>
  <c r="O18" i="12"/>
  <c r="N15" i="1" s="1"/>
  <c r="G25" i="12"/>
  <c r="F22" i="1" s="1"/>
  <c r="E46" i="1" s="1"/>
  <c r="F12" i="12"/>
  <c r="E9" i="1" s="1"/>
  <c r="T22" i="12"/>
  <c r="Q17" i="12"/>
  <c r="P14" i="1" s="1"/>
  <c r="Q13" i="12"/>
  <c r="P10" i="1" s="1"/>
  <c r="P15" i="12"/>
  <c r="O12" i="1" s="1"/>
  <c r="N36" i="1" s="1"/>
  <c r="N22" i="12"/>
  <c r="L17" i="12"/>
  <c r="K14" i="1" s="1"/>
  <c r="H15" i="12"/>
  <c r="G12" i="1" s="1"/>
  <c r="H19" i="12"/>
  <c r="G16" i="1" s="1"/>
  <c r="H24" i="12"/>
  <c r="G21" i="1" s="1"/>
  <c r="G13" i="12"/>
  <c r="F10" i="1" s="1"/>
  <c r="G18" i="12"/>
  <c r="F15" i="1" s="1"/>
  <c r="G24" i="12"/>
  <c r="F21" i="1" s="1"/>
  <c r="D56" i="12"/>
  <c r="K19" i="12"/>
  <c r="J16" i="1" s="1"/>
  <c r="U16" i="12"/>
  <c r="L19" i="12"/>
  <c r="K16" i="1" s="1"/>
  <c r="E28" i="12"/>
  <c r="D25" i="1" s="1"/>
  <c r="L15" i="12"/>
  <c r="K12" i="1" s="1"/>
  <c r="V23" i="12"/>
  <c r="F21" i="12"/>
  <c r="E18" i="1" s="1"/>
  <c r="K18" i="12"/>
  <c r="J15" i="1" s="1"/>
  <c r="K17" i="12"/>
  <c r="J14" i="1" s="1"/>
  <c r="I38" i="1" s="1"/>
  <c r="T18" i="12"/>
  <c r="S13" i="12"/>
  <c r="R10" i="1" s="1"/>
  <c r="Q34" i="1" s="1"/>
  <c r="C55" i="12"/>
  <c r="B27" i="25" s="1"/>
  <c r="T17" i="12"/>
  <c r="R21" i="12"/>
  <c r="I15" i="12"/>
  <c r="H12" i="1" s="1"/>
  <c r="H36" i="1" s="1"/>
  <c r="N13" i="12"/>
  <c r="M10" i="1" s="1"/>
  <c r="C24" i="12"/>
  <c r="E20" i="12"/>
  <c r="D17" i="1" s="1"/>
  <c r="C41" i="1" s="1"/>
  <c r="D4" i="12"/>
  <c r="D30" i="12"/>
  <c r="C27" i="1" s="1"/>
  <c r="N17" i="12"/>
  <c r="M14" i="1" s="1"/>
  <c r="U14" i="12"/>
  <c r="I24" i="12"/>
  <c r="H21" i="1" s="1"/>
  <c r="G45" i="1" s="1"/>
  <c r="E22" i="12"/>
  <c r="D19" i="1" s="1"/>
  <c r="V12" i="12"/>
  <c r="I19" i="12"/>
  <c r="H16" i="1" s="1"/>
  <c r="D17" i="12"/>
  <c r="C14" i="1" s="1"/>
  <c r="C28" i="12"/>
  <c r="B25" i="1" s="1"/>
  <c r="V13" i="12"/>
  <c r="I12" i="12"/>
  <c r="H9" i="1" s="1"/>
  <c r="G33" i="1" s="1"/>
  <c r="G27" i="12"/>
  <c r="F24" i="1" s="1"/>
  <c r="E29" i="12"/>
  <c r="D26" i="1" s="1"/>
  <c r="F23" i="12"/>
  <c r="E20" i="1" s="1"/>
  <c r="Q23" i="12"/>
  <c r="D28" i="12"/>
  <c r="C25" i="1" s="1"/>
  <c r="B49" i="1" s="1"/>
  <c r="U23" i="12"/>
  <c r="C15" i="12"/>
  <c r="I13" i="12"/>
  <c r="H10" i="1" s="1"/>
  <c r="G34" i="1" s="1"/>
  <c r="F16" i="12"/>
  <c r="E13" i="1" s="1"/>
  <c r="H25" i="12"/>
  <c r="G22" i="1" s="1"/>
  <c r="P20" i="12"/>
  <c r="I23" i="12"/>
  <c r="H20" i="1" s="1"/>
  <c r="G44" i="1" s="1"/>
  <c r="G22" i="12"/>
  <c r="F19" i="1" s="1"/>
  <c r="E43" i="1" s="1"/>
  <c r="N14" i="12"/>
  <c r="M11" i="1" s="1"/>
  <c r="L35" i="1" s="1"/>
  <c r="G15" i="12"/>
  <c r="F12" i="1" s="1"/>
  <c r="E17" i="12"/>
  <c r="D14" i="1" s="1"/>
  <c r="F15" i="12"/>
  <c r="E12" i="1" s="1"/>
  <c r="C23" i="12"/>
  <c r="B20" i="1" s="1"/>
  <c r="E26" i="12"/>
  <c r="D23" i="1" s="1"/>
  <c r="J12" i="12"/>
  <c r="I9" i="1" s="1"/>
  <c r="H33" i="1" s="1"/>
  <c r="J20" i="12"/>
  <c r="I17" i="1" s="1"/>
  <c r="H41" i="1" s="1"/>
  <c r="Q16" i="12"/>
  <c r="P13" i="1" s="1"/>
  <c r="J23" i="12"/>
  <c r="I20" i="1" s="1"/>
  <c r="O23" i="12"/>
  <c r="Q20" i="12"/>
  <c r="C54" i="12"/>
  <c r="B26" i="25" s="1"/>
  <c r="E12" i="12"/>
  <c r="D9" i="1" s="1"/>
  <c r="C33" i="1" s="1"/>
  <c r="Q54" i="12"/>
  <c r="U21" i="12"/>
  <c r="L20" i="12"/>
  <c r="K17" i="1" s="1"/>
  <c r="V54" i="12"/>
  <c r="K54" i="12"/>
  <c r="N23" i="12"/>
  <c r="F81" i="12"/>
  <c r="T54" i="12"/>
  <c r="F80" i="12"/>
  <c r="D53" i="12"/>
  <c r="C25" i="25" s="1"/>
  <c r="C79" i="12"/>
  <c r="J52" i="12"/>
  <c r="K52" i="12"/>
  <c r="C51" i="12"/>
  <c r="B23" i="25" s="1"/>
  <c r="N53" i="12"/>
  <c r="V52" i="12"/>
  <c r="F77" i="12"/>
  <c r="E53" i="12"/>
  <c r="D25" i="25" s="1"/>
  <c r="Q52" i="12"/>
  <c r="N52" i="12"/>
  <c r="L53" i="12"/>
  <c r="L51" i="12"/>
  <c r="I53" i="12"/>
  <c r="D52" i="12"/>
  <c r="C24" i="25" s="1"/>
  <c r="F13" i="12"/>
  <c r="E10" i="1" s="1"/>
  <c r="D34" i="1" s="1"/>
  <c r="P18" i="12"/>
  <c r="H16" i="12"/>
  <c r="G13" i="1" s="1"/>
  <c r="G19" i="12"/>
  <c r="F16" i="1" s="1"/>
  <c r="E27" i="12"/>
  <c r="D24" i="1" s="1"/>
  <c r="C48" i="1" s="1"/>
  <c r="P17" i="12"/>
  <c r="O14" i="1" s="1"/>
  <c r="E23" i="12"/>
  <c r="D20" i="1" s="1"/>
  <c r="C44" i="1" s="1"/>
  <c r="M20" i="12"/>
  <c r="L17" i="1" s="1"/>
  <c r="K41" i="1" s="1"/>
  <c r="V17" i="12"/>
  <c r="M15" i="12"/>
  <c r="L12" i="1" s="1"/>
  <c r="U19" i="12"/>
  <c r="C16" i="12"/>
  <c r="K12" i="12"/>
  <c r="J9" i="1" s="1"/>
  <c r="E16" i="12"/>
  <c r="D13" i="1" s="1"/>
  <c r="S20" i="12"/>
  <c r="R14" i="12"/>
  <c r="Q11" i="1" s="1"/>
  <c r="G80" i="12"/>
  <c r="U20" i="12"/>
  <c r="F54" i="12"/>
  <c r="D29" i="12"/>
  <c r="C26" i="1" s="1"/>
  <c r="P13" i="12"/>
  <c r="O10" i="1" s="1"/>
  <c r="N34" i="1" s="1"/>
  <c r="P54" i="12"/>
  <c r="D80" i="12"/>
  <c r="V22" i="12"/>
  <c r="C81" i="12"/>
  <c r="U54" i="12"/>
  <c r="H53" i="12"/>
  <c r="C78" i="12"/>
  <c r="U52" i="12"/>
  <c r="P53" i="12"/>
  <c r="G79" i="12"/>
  <c r="P52" i="12"/>
  <c r="O53" i="12"/>
  <c r="T52" i="12"/>
  <c r="F14" i="12"/>
  <c r="E11" i="1" s="1"/>
  <c r="D35" i="1" s="1"/>
  <c r="L22" i="12"/>
  <c r="D16" i="12"/>
  <c r="C13" i="1" s="1"/>
  <c r="H20" i="12"/>
  <c r="G17" i="1" s="1"/>
  <c r="G26" i="12"/>
  <c r="F23" i="1" s="1"/>
  <c r="C25" i="12"/>
  <c r="C18" i="12"/>
  <c r="B15" i="1" s="1"/>
  <c r="U22" i="12"/>
  <c r="S14" i="12"/>
  <c r="R11" i="1" s="1"/>
  <c r="O17" i="12"/>
  <c r="N14" i="1" s="1"/>
  <c r="P16" i="12"/>
  <c r="O13" i="1" s="1"/>
  <c r="N37" i="1" s="1"/>
  <c r="N16" i="12"/>
  <c r="M13" i="1" s="1"/>
  <c r="R18" i="12"/>
  <c r="K16" i="12"/>
  <c r="J13" i="1" s="1"/>
  <c r="I37" i="1" s="1"/>
  <c r="S22" i="12"/>
  <c r="P14" i="12"/>
  <c r="O11" i="1" s="1"/>
  <c r="D19" i="12"/>
  <c r="C16" i="1" s="1"/>
  <c r="P21" i="12"/>
  <c r="T14" i="12"/>
  <c r="S11" i="1" s="1"/>
  <c r="E15" i="12"/>
  <c r="D12" i="1" s="1"/>
  <c r="C36" i="1" s="1"/>
  <c r="D54" i="12"/>
  <c r="C26" i="25" s="1"/>
  <c r="E21" i="12"/>
  <c r="D18" i="1" s="1"/>
  <c r="C42" i="1" s="1"/>
  <c r="M17" i="12"/>
  <c r="L14" i="1" s="1"/>
  <c r="J54" i="12"/>
  <c r="D18" i="12"/>
  <c r="C15" i="1" s="1"/>
  <c r="D24" i="12"/>
  <c r="C21" i="1" s="1"/>
  <c r="G81" i="12"/>
  <c r="S54" i="12"/>
  <c r="U53" i="12"/>
  <c r="C53" i="12"/>
  <c r="B25" i="25" s="1"/>
  <c r="D78" i="12"/>
  <c r="H52" i="12"/>
  <c r="K53" i="12"/>
  <c r="G78" i="12"/>
  <c r="S52" i="12"/>
  <c r="G53" i="12"/>
  <c r="L52" i="12"/>
  <c r="C77" i="12"/>
  <c r="T53" i="12"/>
  <c r="O52" i="12"/>
  <c r="Q53" i="12"/>
  <c r="F79" i="12"/>
  <c r="M52" i="12"/>
  <c r="D77" i="12"/>
  <c r="Q12" i="12"/>
  <c r="P9" i="1" s="1"/>
  <c r="N19" i="12"/>
  <c r="M16" i="1" s="1"/>
  <c r="C13" i="12"/>
  <c r="D26" i="12"/>
  <c r="C23" i="1" s="1"/>
  <c r="M54" i="12"/>
  <c r="G52" i="12"/>
  <c r="I52" i="12"/>
  <c r="R52" i="12"/>
  <c r="V53" i="12"/>
  <c r="J53" i="12"/>
  <c r="M23" i="12"/>
  <c r="F24" i="12"/>
  <c r="E21" i="1" s="1"/>
  <c r="E54" i="12"/>
  <c r="L54" i="12"/>
  <c r="F52" i="12"/>
  <c r="E24" i="25" s="1"/>
  <c r="G51" i="12"/>
  <c r="F23" i="25" s="1"/>
  <c r="E52" i="12"/>
  <c r="D24" i="25" s="1"/>
  <c r="C48" i="25" s="1"/>
  <c r="F78" i="12"/>
  <c r="F26" i="12"/>
  <c r="E23" i="1" s="1"/>
  <c r="V19" i="12"/>
  <c r="C80" i="12"/>
  <c r="M53" i="12"/>
  <c r="G77" i="12"/>
  <c r="C52" i="12"/>
  <c r="B24" i="25" s="1"/>
  <c r="T15" i="12"/>
  <c r="N18" i="12"/>
  <c r="M15" i="1" s="1"/>
  <c r="J19" i="12"/>
  <c r="I16" i="1" s="1"/>
  <c r="G54" i="12"/>
  <c r="F53" i="12"/>
  <c r="D79" i="12"/>
  <c r="R53" i="12"/>
  <c r="S53" i="12"/>
  <c r="R23" i="12"/>
  <c r="D22" i="12"/>
  <c r="C19" i="1" s="1"/>
  <c r="V15" i="12"/>
  <c r="C26" i="12"/>
  <c r="B23" i="1" s="1"/>
  <c r="G14" i="12"/>
  <c r="F11" i="1" s="1"/>
  <c r="S23" i="12"/>
  <c r="AY171" i="25"/>
  <c r="AX170" i="25"/>
  <c r="I81" i="12"/>
  <c r="J81" i="12" s="1"/>
  <c r="O35" i="1"/>
  <c r="P35" i="1"/>
  <c r="B14" i="1"/>
  <c r="B18" i="1"/>
  <c r="B42" i="1" s="1"/>
  <c r="J19" i="1"/>
  <c r="S51" i="12" l="1"/>
  <c r="E51" i="12"/>
  <c r="D23" i="25" s="1"/>
  <c r="C47" i="25" s="1"/>
  <c r="R51" i="12"/>
  <c r="F51" i="12"/>
  <c r="E23" i="25" s="1"/>
  <c r="D47" i="25" s="1"/>
  <c r="D51" i="12"/>
  <c r="C23" i="25" s="1"/>
  <c r="I51" i="12"/>
  <c r="U51" i="12"/>
  <c r="H51" i="12"/>
  <c r="G23" i="25" s="1"/>
  <c r="N51" i="12"/>
  <c r="A190" i="1"/>
  <c r="A146" i="1"/>
  <c r="A93" i="1"/>
  <c r="A168" i="1"/>
  <c r="A48" i="1"/>
  <c r="A71" i="1"/>
  <c r="A260" i="1"/>
  <c r="A125" i="1"/>
  <c r="A213" i="1" s="1"/>
  <c r="A237" i="1" s="1"/>
  <c r="AW184" i="25"/>
  <c r="AU185" i="25"/>
  <c r="B38" i="1"/>
  <c r="O51" i="12"/>
  <c r="J51" i="12"/>
  <c r="V51" i="12"/>
  <c r="P51" i="12"/>
  <c r="N35" i="1"/>
  <c r="Q51" i="12"/>
  <c r="T51" i="12"/>
  <c r="M33" i="1"/>
  <c r="A48" i="25"/>
  <c r="A168" i="25"/>
  <c r="A146" i="25"/>
  <c r="A260" i="25"/>
  <c r="A71" i="25"/>
  <c r="A190" i="25"/>
  <c r="A93" i="25"/>
  <c r="A125" i="25"/>
  <c r="A213" i="25" s="1"/>
  <c r="A237" i="25" s="1"/>
  <c r="H197" i="1"/>
  <c r="I8" i="1"/>
  <c r="H32" i="1"/>
  <c r="H109" i="1" s="1"/>
  <c r="E221" i="25"/>
  <c r="G197" i="25"/>
  <c r="H8" i="25"/>
  <c r="G32" i="25"/>
  <c r="G109" i="25" s="1"/>
  <c r="AD183" i="1"/>
  <c r="AB184" i="1"/>
  <c r="A23" i="1"/>
  <c r="B76" i="12"/>
  <c r="A23" i="25"/>
  <c r="B50" i="12"/>
  <c r="B47" i="1"/>
  <c r="K51" i="12"/>
  <c r="B22" i="31"/>
  <c r="C22" i="31"/>
  <c r="A240" i="1"/>
  <c r="A217" i="1"/>
  <c r="G221" i="1"/>
  <c r="L33" i="1"/>
  <c r="L34" i="1"/>
  <c r="X14" i="12"/>
  <c r="Y14" i="12" s="1"/>
  <c r="K34" i="1"/>
  <c r="C10" i="1"/>
  <c r="L39" i="1"/>
  <c r="O33" i="1"/>
  <c r="D45" i="1"/>
  <c r="P53" i="1"/>
  <c r="X21" i="12"/>
  <c r="X27" i="12"/>
  <c r="X28" i="12"/>
  <c r="X22" i="12"/>
  <c r="L53" i="1"/>
  <c r="X31" i="12"/>
  <c r="O53" i="1"/>
  <c r="B48" i="1"/>
  <c r="X30" i="12"/>
  <c r="F53" i="1"/>
  <c r="H40" i="1"/>
  <c r="L40" i="1"/>
  <c r="L37" i="1"/>
  <c r="F41" i="1"/>
  <c r="I33" i="1"/>
  <c r="H44" i="1"/>
  <c r="G38" i="1"/>
  <c r="X23" i="12"/>
  <c r="F46" i="1"/>
  <c r="I34" i="1"/>
  <c r="X17" i="12"/>
  <c r="E47" i="25"/>
  <c r="G36" i="1"/>
  <c r="H39" i="1"/>
  <c r="I35" i="1"/>
  <c r="B50" i="25"/>
  <c r="D47" i="1"/>
  <c r="X26" i="12"/>
  <c r="K38" i="1"/>
  <c r="J41" i="1"/>
  <c r="M38" i="1"/>
  <c r="F37" i="1"/>
  <c r="G35" i="1"/>
  <c r="G42" i="1"/>
  <c r="F39" i="1"/>
  <c r="K36" i="1"/>
  <c r="D37" i="1"/>
  <c r="B47" i="25"/>
  <c r="D46" i="1"/>
  <c r="E36" i="1"/>
  <c r="J36" i="1"/>
  <c r="J35" i="1"/>
  <c r="I42" i="1"/>
  <c r="K33" i="1"/>
  <c r="K39" i="1"/>
  <c r="X18" i="12"/>
  <c r="Q35" i="1"/>
  <c r="E39" i="1"/>
  <c r="D48" i="25"/>
  <c r="X13" i="12"/>
  <c r="B10" i="1"/>
  <c r="B39" i="1"/>
  <c r="E47" i="1"/>
  <c r="C37" i="1"/>
  <c r="N38" i="1"/>
  <c r="O15" i="1"/>
  <c r="C49" i="25"/>
  <c r="C38" i="1"/>
  <c r="G40" i="1"/>
  <c r="F36" i="1"/>
  <c r="O34" i="1"/>
  <c r="K40" i="1"/>
  <c r="Q60" i="1"/>
  <c r="P60" i="1" s="1"/>
  <c r="P37" i="1"/>
  <c r="K37" i="1"/>
  <c r="E38" i="1"/>
  <c r="F34" i="1"/>
  <c r="O36" i="1"/>
  <c r="C35" i="1"/>
  <c r="P36" i="1"/>
  <c r="Q33" i="1"/>
  <c r="R53" i="1"/>
  <c r="R33" i="1"/>
  <c r="X20" i="12"/>
  <c r="B17" i="1"/>
  <c r="B41" i="1" s="1"/>
  <c r="G39" i="1"/>
  <c r="E41" i="1"/>
  <c r="F38" i="1"/>
  <c r="H35" i="1"/>
  <c r="H34" i="1"/>
  <c r="E42" i="1"/>
  <c r="F24" i="25"/>
  <c r="C47" i="1"/>
  <c r="B12" i="1"/>
  <c r="X15" i="12"/>
  <c r="D44" i="1"/>
  <c r="U9" i="1"/>
  <c r="L38" i="1"/>
  <c r="X24" i="12"/>
  <c r="B21" i="1"/>
  <c r="B45" i="1" s="1"/>
  <c r="I40" i="1"/>
  <c r="E34" i="1"/>
  <c r="J38" i="1"/>
  <c r="O38" i="1"/>
  <c r="P61" i="1"/>
  <c r="M39" i="1"/>
  <c r="C45" i="1"/>
  <c r="R34" i="1"/>
  <c r="I21" i="1"/>
  <c r="J20" i="1"/>
  <c r="H38" i="1"/>
  <c r="E33" i="1"/>
  <c r="I41" i="1"/>
  <c r="D38" i="1"/>
  <c r="M64" i="1"/>
  <c r="L64" i="1" s="1"/>
  <c r="L41" i="1"/>
  <c r="N33" i="1"/>
  <c r="D41" i="1"/>
  <c r="E37" i="1"/>
  <c r="M40" i="1"/>
  <c r="N63" i="1"/>
  <c r="M63" i="1" s="1"/>
  <c r="B9" i="1"/>
  <c r="B33" i="1" s="1"/>
  <c r="X12" i="12"/>
  <c r="Y12" i="12" s="1"/>
  <c r="Y31" i="12"/>
  <c r="D26" i="25"/>
  <c r="I79" i="12"/>
  <c r="J79" i="12" s="1"/>
  <c r="S58" i="1"/>
  <c r="R35" i="1"/>
  <c r="B13" i="1"/>
  <c r="B37" i="1" s="1"/>
  <c r="X16" i="12"/>
  <c r="B48" i="25"/>
  <c r="O37" i="1"/>
  <c r="C50" i="1"/>
  <c r="D73" i="1"/>
  <c r="Z262" i="1"/>
  <c r="C74" i="1"/>
  <c r="Z263" i="1"/>
  <c r="B51" i="1"/>
  <c r="I39" i="1"/>
  <c r="C49" i="1"/>
  <c r="F45" i="1"/>
  <c r="C27" i="25"/>
  <c r="I80" i="12"/>
  <c r="J80" i="12" s="1"/>
  <c r="D48" i="1"/>
  <c r="X29" i="12"/>
  <c r="B26" i="1"/>
  <c r="B50" i="1" s="1"/>
  <c r="J37" i="1"/>
  <c r="C39" i="1"/>
  <c r="B16" i="1"/>
  <c r="B40" i="1" s="1"/>
  <c r="X19" i="12"/>
  <c r="Y20" i="12" s="1"/>
  <c r="F44" i="1"/>
  <c r="Z264" i="1"/>
  <c r="B75" i="1"/>
  <c r="B97" i="1" s="1"/>
  <c r="T10" i="1"/>
  <c r="S53" i="1" s="1"/>
  <c r="M37" i="1"/>
  <c r="J34" i="1"/>
  <c r="K35" i="1"/>
  <c r="B36" i="1"/>
  <c r="M34" i="1"/>
  <c r="P34" i="1"/>
  <c r="G70" i="1"/>
  <c r="F70" i="1" s="1"/>
  <c r="F47" i="1"/>
  <c r="G41" i="1"/>
  <c r="J39" i="1"/>
  <c r="H37" i="1"/>
  <c r="Y17" i="12"/>
  <c r="AY169" i="25"/>
  <c r="AY175" i="25" s="1"/>
  <c r="BA175" i="25" s="1"/>
  <c r="AX171" i="25"/>
  <c r="AX169" i="25" s="1"/>
  <c r="E25" i="25"/>
  <c r="I78" i="12"/>
  <c r="J78" i="12" s="1"/>
  <c r="B22" i="1"/>
  <c r="B46" i="1" s="1"/>
  <c r="X25" i="12"/>
  <c r="Y25" i="12" s="1"/>
  <c r="K19" i="1"/>
  <c r="J53" i="1" s="1"/>
  <c r="B49" i="25"/>
  <c r="D36" i="1"/>
  <c r="F71" i="1"/>
  <c r="E48" i="1"/>
  <c r="Z260" i="1"/>
  <c r="A2" i="1"/>
  <c r="A2" i="25"/>
  <c r="D42" i="1"/>
  <c r="J40" i="1"/>
  <c r="E45" i="1"/>
  <c r="F40" i="1"/>
  <c r="D33" i="1"/>
  <c r="E25" i="1"/>
  <c r="D53" i="1" s="1"/>
  <c r="L18" i="1"/>
  <c r="M35" i="1"/>
  <c r="H42" i="1"/>
  <c r="G37" i="1"/>
  <c r="J42" i="1"/>
  <c r="E44" i="1"/>
  <c r="P33" i="1"/>
  <c r="L36" i="1"/>
  <c r="S33" i="1"/>
  <c r="M36" i="1"/>
  <c r="B44" i="1"/>
  <c r="C40" i="1"/>
  <c r="J33" i="1"/>
  <c r="F43" i="1"/>
  <c r="D43" i="1"/>
  <c r="I43" i="1"/>
  <c r="I53" i="1"/>
  <c r="Y23" i="12"/>
  <c r="Y24" i="12"/>
  <c r="C53" i="1"/>
  <c r="C34" i="1"/>
  <c r="B34" i="1"/>
  <c r="Y28" i="12"/>
  <c r="C43" i="1"/>
  <c r="B43" i="1"/>
  <c r="Y18" i="12"/>
  <c r="H43" i="1"/>
  <c r="G43" i="1"/>
  <c r="G53" i="1"/>
  <c r="O61" i="1"/>
  <c r="H53" i="1"/>
  <c r="R59" i="1"/>
  <c r="Q53" i="1"/>
  <c r="Q36" i="1"/>
  <c r="E35" i="1"/>
  <c r="E53" i="1"/>
  <c r="F35" i="1"/>
  <c r="B75" i="25"/>
  <c r="AS264" i="25"/>
  <c r="Y27" i="12"/>
  <c r="E40" i="1"/>
  <c r="D40" i="1"/>
  <c r="G46" i="1"/>
  <c r="H69" i="1"/>
  <c r="Y15" i="12" l="1"/>
  <c r="Y21" i="12"/>
  <c r="A145" i="1"/>
  <c r="A124" i="1"/>
  <c r="A212" i="1" s="1"/>
  <c r="A236" i="1" s="1"/>
  <c r="A259" i="1"/>
  <c r="Z259" i="1" s="1"/>
  <c r="A70" i="1"/>
  <c r="A167" i="1"/>
  <c r="A189" i="1"/>
  <c r="A92" i="1"/>
  <c r="A47" i="1"/>
  <c r="H32" i="25"/>
  <c r="H109" i="25" s="1"/>
  <c r="H197" i="25"/>
  <c r="I8" i="25"/>
  <c r="J8" i="1"/>
  <c r="I32" i="1" s="1"/>
  <c r="I109" i="1" s="1"/>
  <c r="I197" i="1"/>
  <c r="Y30" i="12"/>
  <c r="A22" i="1"/>
  <c r="B75" i="12"/>
  <c r="B49" i="12"/>
  <c r="A22" i="25"/>
  <c r="V50" i="12"/>
  <c r="T50" i="12"/>
  <c r="G50" i="12"/>
  <c r="F22" i="25" s="1"/>
  <c r="O50" i="12"/>
  <c r="U50" i="12"/>
  <c r="K50" i="12"/>
  <c r="R50" i="12"/>
  <c r="J50" i="12"/>
  <c r="P50" i="12"/>
  <c r="C50" i="12"/>
  <c r="B22" i="25" s="1"/>
  <c r="F50" i="12"/>
  <c r="E22" i="25" s="1"/>
  <c r="E50" i="12"/>
  <c r="D22" i="25" s="1"/>
  <c r="I50" i="12"/>
  <c r="H22" i="25" s="1"/>
  <c r="N50" i="12"/>
  <c r="Q50" i="12"/>
  <c r="S50" i="12"/>
  <c r="L50" i="12"/>
  <c r="D50" i="12"/>
  <c r="C22" i="25" s="1"/>
  <c r="B46" i="25" s="1"/>
  <c r="H50" i="12"/>
  <c r="G22" i="25" s="1"/>
  <c r="F46" i="25" s="1"/>
  <c r="M50" i="12"/>
  <c r="AD184" i="1"/>
  <c r="AB185" i="1"/>
  <c r="G221" i="25"/>
  <c r="H221" i="1"/>
  <c r="F221" i="25"/>
  <c r="A21" i="31"/>
  <c r="D76" i="12"/>
  <c r="C76" i="12"/>
  <c r="F76" i="12"/>
  <c r="G76" i="12"/>
  <c r="AW185" i="25"/>
  <c r="AU186" i="25"/>
  <c r="I77" i="12"/>
  <c r="J77" i="12" s="1"/>
  <c r="A145" i="25"/>
  <c r="A92" i="25"/>
  <c r="A167" i="25"/>
  <c r="A189" i="25"/>
  <c r="A259" i="25"/>
  <c r="AS259" i="25" s="1"/>
  <c r="A47" i="25"/>
  <c r="A70" i="25"/>
  <c r="A124" i="25"/>
  <c r="A212" i="25" s="1"/>
  <c r="A236" i="25" s="1"/>
  <c r="Y22" i="12"/>
  <c r="Y29" i="12"/>
  <c r="B53" i="1"/>
  <c r="B74" i="1" s="1"/>
  <c r="Y16" i="12"/>
  <c r="J43" i="1"/>
  <c r="Y19" i="12"/>
  <c r="H69" i="25"/>
  <c r="G46" i="25"/>
  <c r="AS261" i="25"/>
  <c r="E72" i="25"/>
  <c r="D49" i="25"/>
  <c r="J67" i="1"/>
  <c r="I67" i="1" s="1"/>
  <c r="I44" i="1"/>
  <c r="T57" i="1"/>
  <c r="S34" i="1"/>
  <c r="AS263" i="25"/>
  <c r="C74" i="25"/>
  <c r="B51" i="25"/>
  <c r="T53" i="1"/>
  <c r="T54" i="1" s="1"/>
  <c r="S54" i="1" s="1"/>
  <c r="R54" i="1" s="1"/>
  <c r="Q54" i="1" s="1"/>
  <c r="P54" i="1" s="1"/>
  <c r="O54" i="1" s="1"/>
  <c r="T33" i="1"/>
  <c r="U56" i="1"/>
  <c r="AS260" i="25"/>
  <c r="F71" i="25"/>
  <c r="E48" i="25"/>
  <c r="F47" i="25"/>
  <c r="G70" i="25"/>
  <c r="N39" i="1"/>
  <c r="O62" i="1"/>
  <c r="K42" i="1"/>
  <c r="L65" i="1"/>
  <c r="K53" i="1"/>
  <c r="K64" i="1" s="1"/>
  <c r="L86" i="1" s="1"/>
  <c r="K66" i="1"/>
  <c r="J66" i="1" s="1"/>
  <c r="R58" i="1"/>
  <c r="S80" i="1" s="1"/>
  <c r="D73" i="25"/>
  <c r="AS262" i="25"/>
  <c r="C50" i="25"/>
  <c r="Y26" i="12"/>
  <c r="N53" i="1"/>
  <c r="N61" i="1" s="1"/>
  <c r="O83" i="1" s="1"/>
  <c r="Y13" i="12"/>
  <c r="E72" i="1"/>
  <c r="D72" i="1" s="1"/>
  <c r="Z261" i="1"/>
  <c r="D49" i="1"/>
  <c r="H45" i="1"/>
  <c r="I68" i="1"/>
  <c r="H68" i="1" s="1"/>
  <c r="P83" i="1"/>
  <c r="G69" i="1"/>
  <c r="H91" i="1" s="1"/>
  <c r="G92" i="1"/>
  <c r="E70" i="1"/>
  <c r="E71" i="1"/>
  <c r="C73" i="1"/>
  <c r="N85" i="1"/>
  <c r="L63" i="1"/>
  <c r="M85" i="1" s="1"/>
  <c r="Q59" i="1"/>
  <c r="R81" i="1" s="1"/>
  <c r="Q82" i="1"/>
  <c r="O60" i="1"/>
  <c r="P82" i="1" s="1"/>
  <c r="M86" i="1"/>
  <c r="B97" i="25"/>
  <c r="A20" i="31" l="1"/>
  <c r="D75" i="12"/>
  <c r="G75" i="12"/>
  <c r="F75" i="12"/>
  <c r="C75" i="12"/>
  <c r="I76" i="12"/>
  <c r="J76" i="12" s="1"/>
  <c r="A188" i="1"/>
  <c r="A166" i="1"/>
  <c r="A69" i="1"/>
  <c r="A144" i="1"/>
  <c r="A46" i="1"/>
  <c r="A123" i="1"/>
  <c r="A211" i="1" s="1"/>
  <c r="A235" i="1" s="1"/>
  <c r="A258" i="1"/>
  <c r="Z258" i="1" s="1"/>
  <c r="A91" i="1"/>
  <c r="AD185" i="1"/>
  <c r="AB186" i="1"/>
  <c r="J197" i="1"/>
  <c r="K8" i="1"/>
  <c r="AU187" i="25"/>
  <c r="AW186" i="25"/>
  <c r="C46" i="25"/>
  <c r="A258" i="25"/>
  <c r="AS258" i="25" s="1"/>
  <c r="A144" i="25"/>
  <c r="A69" i="25"/>
  <c r="A188" i="25"/>
  <c r="A46" i="25"/>
  <c r="A91" i="25"/>
  <c r="A123" i="25"/>
  <c r="A211" i="25" s="1"/>
  <c r="A235" i="25" s="1"/>
  <c r="A166" i="25"/>
  <c r="I32" i="25"/>
  <c r="I109" i="25" s="1"/>
  <c r="I197" i="25"/>
  <c r="J8" i="25"/>
  <c r="C21" i="31"/>
  <c r="B21" i="31"/>
  <c r="D46" i="25"/>
  <c r="E46" i="25"/>
  <c r="A21" i="1"/>
  <c r="B48" i="12"/>
  <c r="B74" i="12"/>
  <c r="A21" i="25"/>
  <c r="F49" i="12"/>
  <c r="E21" i="25" s="1"/>
  <c r="D45" i="25" s="1"/>
  <c r="M49" i="12"/>
  <c r="Q49" i="12"/>
  <c r="K49" i="12"/>
  <c r="N49" i="12"/>
  <c r="V49" i="12"/>
  <c r="I49" i="12"/>
  <c r="H21" i="25" s="1"/>
  <c r="H49" i="12"/>
  <c r="G21" i="25" s="1"/>
  <c r="F45" i="25" s="1"/>
  <c r="J49" i="12"/>
  <c r="I21" i="25" s="1"/>
  <c r="L49" i="12"/>
  <c r="C49" i="12"/>
  <c r="B21" i="25" s="1"/>
  <c r="U49" i="12"/>
  <c r="S49" i="12"/>
  <c r="G49" i="12"/>
  <c r="F21" i="25" s="1"/>
  <c r="T49" i="12"/>
  <c r="E49" i="12"/>
  <c r="D21" i="25" s="1"/>
  <c r="C45" i="25" s="1"/>
  <c r="O49" i="12"/>
  <c r="D49" i="12"/>
  <c r="C21" i="25" s="1"/>
  <c r="P49" i="12"/>
  <c r="R49" i="12"/>
  <c r="I221" i="1"/>
  <c r="K65" i="1"/>
  <c r="J65" i="1" s="1"/>
  <c r="K87" i="1" s="1"/>
  <c r="N54" i="1"/>
  <c r="M54" i="1" s="1"/>
  <c r="L54" i="1" s="1"/>
  <c r="K54" i="1" s="1"/>
  <c r="J54" i="1" s="1"/>
  <c r="I54" i="1" s="1"/>
  <c r="H54" i="1" s="1"/>
  <c r="G54" i="1" s="1"/>
  <c r="F54" i="1" s="1"/>
  <c r="E54" i="1" s="1"/>
  <c r="D54" i="1" s="1"/>
  <c r="C54" i="1" s="1"/>
  <c r="B54" i="1" s="1"/>
  <c r="Q58" i="1"/>
  <c r="R80" i="1" s="1"/>
  <c r="S57" i="1"/>
  <c r="T79" i="1" s="1"/>
  <c r="N62" i="1"/>
  <c r="O84" i="1" s="1"/>
  <c r="T56" i="1"/>
  <c r="H67" i="1"/>
  <c r="I89" i="1" s="1"/>
  <c r="J89" i="1"/>
  <c r="D70" i="1"/>
  <c r="E92" i="1" s="1"/>
  <c r="C96" i="1"/>
  <c r="B96" i="1"/>
  <c r="C72" i="1"/>
  <c r="D94" i="1" s="1"/>
  <c r="E94" i="1"/>
  <c r="G68" i="1"/>
  <c r="H90" i="1" s="1"/>
  <c r="I90" i="1"/>
  <c r="K88" i="1"/>
  <c r="I66" i="1"/>
  <c r="J88" i="1" s="1"/>
  <c r="K63" i="1"/>
  <c r="F92" i="1"/>
  <c r="M61" i="1"/>
  <c r="N83" i="1" s="1"/>
  <c r="I65" i="1"/>
  <c r="J87" i="1" s="1"/>
  <c r="N60" i="1"/>
  <c r="O82" i="1" s="1"/>
  <c r="P59" i="1"/>
  <c r="Q81" i="1" s="1"/>
  <c r="D95" i="1"/>
  <c r="B73" i="1"/>
  <c r="C95" i="1" s="1"/>
  <c r="F93" i="1"/>
  <c r="D71" i="1"/>
  <c r="E93" i="1" s="1"/>
  <c r="J64" i="1"/>
  <c r="K86" i="1" s="1"/>
  <c r="F69" i="1"/>
  <c r="G91" i="1" s="1"/>
  <c r="AU188" i="25" l="1"/>
  <c r="AW187" i="25"/>
  <c r="AD186" i="1"/>
  <c r="AB187" i="1"/>
  <c r="A68" i="25"/>
  <c r="A90" i="25"/>
  <c r="A122" i="25"/>
  <c r="A210" i="25" s="1"/>
  <c r="A234" i="25" s="1"/>
  <c r="A165" i="25"/>
  <c r="A45" i="25"/>
  <c r="A187" i="25"/>
  <c r="A143" i="25"/>
  <c r="A257" i="25"/>
  <c r="AS257" i="25" s="1"/>
  <c r="L8" i="1"/>
  <c r="K197" i="1"/>
  <c r="G45" i="25"/>
  <c r="A19" i="31"/>
  <c r="F74" i="12"/>
  <c r="C74" i="12"/>
  <c r="D74" i="12"/>
  <c r="G74" i="12"/>
  <c r="I75" i="12"/>
  <c r="J75" i="12" s="1"/>
  <c r="J32" i="1"/>
  <c r="J109" i="1" s="1"/>
  <c r="H45" i="25"/>
  <c r="I68" i="25"/>
  <c r="A68" i="1"/>
  <c r="A45" i="1"/>
  <c r="A143" i="1"/>
  <c r="A122" i="1"/>
  <c r="A210" i="1" s="1"/>
  <c r="A234" i="1" s="1"/>
  <c r="A187" i="1"/>
  <c r="A257" i="1"/>
  <c r="Z257" i="1" s="1"/>
  <c r="A90" i="1"/>
  <c r="A165" i="1"/>
  <c r="H221" i="25"/>
  <c r="B45" i="25"/>
  <c r="E45" i="25"/>
  <c r="B73" i="12"/>
  <c r="A20" i="1"/>
  <c r="B47" i="12"/>
  <c r="A20" i="25"/>
  <c r="Q48" i="12"/>
  <c r="D48" i="12"/>
  <c r="C20" i="25" s="1"/>
  <c r="P48" i="12"/>
  <c r="F48" i="12"/>
  <c r="E20" i="25" s="1"/>
  <c r="H48" i="12"/>
  <c r="G20" i="25" s="1"/>
  <c r="G48" i="12"/>
  <c r="F20" i="25" s="1"/>
  <c r="E44" i="25" s="1"/>
  <c r="S48" i="12"/>
  <c r="K48" i="12"/>
  <c r="J20" i="25" s="1"/>
  <c r="M48" i="12"/>
  <c r="N48" i="12"/>
  <c r="I48" i="12"/>
  <c r="H20" i="25" s="1"/>
  <c r="G44" i="25" s="1"/>
  <c r="V48" i="12"/>
  <c r="U48" i="12"/>
  <c r="O48" i="12"/>
  <c r="L48" i="12"/>
  <c r="R48" i="12"/>
  <c r="T48" i="12"/>
  <c r="C48" i="12"/>
  <c r="B20" i="25" s="1"/>
  <c r="E48" i="12"/>
  <c r="D20" i="25" s="1"/>
  <c r="C44" i="25" s="1"/>
  <c r="J48" i="12"/>
  <c r="I20" i="25" s="1"/>
  <c r="J197" i="25"/>
  <c r="K8" i="25"/>
  <c r="J32" i="25" s="1"/>
  <c r="J109" i="25" s="1"/>
  <c r="C20" i="31"/>
  <c r="B20" i="31"/>
  <c r="P58" i="1"/>
  <c r="O58" i="1" s="1"/>
  <c r="P80" i="1" s="1"/>
  <c r="L87" i="1"/>
  <c r="M62" i="1"/>
  <c r="R57" i="1"/>
  <c r="U78" i="1"/>
  <c r="S56" i="1"/>
  <c r="I64" i="1"/>
  <c r="J86" i="1" s="1"/>
  <c r="C71" i="1"/>
  <c r="D93" i="1" s="1"/>
  <c r="L61" i="1"/>
  <c r="M83" i="1" s="1"/>
  <c r="J63" i="1"/>
  <c r="K85" i="1" s="1"/>
  <c r="E69" i="1"/>
  <c r="F91" i="1" s="1"/>
  <c r="O59" i="1"/>
  <c r="P81" i="1" s="1"/>
  <c r="H65" i="1"/>
  <c r="I87" i="1" s="1"/>
  <c r="L85" i="1"/>
  <c r="F68" i="1"/>
  <c r="B95" i="1"/>
  <c r="H66" i="1"/>
  <c r="I88" i="1" s="1"/>
  <c r="B72" i="1"/>
  <c r="C94" i="1" s="1"/>
  <c r="C70" i="1"/>
  <c r="D92" i="1" s="1"/>
  <c r="G67" i="1"/>
  <c r="H89" i="1" s="1"/>
  <c r="M60" i="1"/>
  <c r="N82" i="1" s="1"/>
  <c r="A19" i="25" l="1"/>
  <c r="B46" i="12"/>
  <c r="B72" i="12"/>
  <c r="A19" i="1"/>
  <c r="C47" i="12"/>
  <c r="B19" i="25" s="1"/>
  <c r="E47" i="12"/>
  <c r="D19" i="25" s="1"/>
  <c r="N47" i="12"/>
  <c r="F47" i="12"/>
  <c r="E19" i="25" s="1"/>
  <c r="D43" i="25" s="1"/>
  <c r="O47" i="12"/>
  <c r="J47" i="12"/>
  <c r="I19" i="25" s="1"/>
  <c r="D47" i="12"/>
  <c r="C19" i="25" s="1"/>
  <c r="B43" i="25" s="1"/>
  <c r="H47" i="12"/>
  <c r="G19" i="25" s="1"/>
  <c r="F43" i="25" s="1"/>
  <c r="K47" i="12"/>
  <c r="J19" i="25" s="1"/>
  <c r="I43" i="25" s="1"/>
  <c r="G47" i="12"/>
  <c r="F19" i="25" s="1"/>
  <c r="T47" i="12"/>
  <c r="L47" i="12"/>
  <c r="K19" i="25" s="1"/>
  <c r="V47" i="12"/>
  <c r="S47" i="12"/>
  <c r="I47" i="12"/>
  <c r="H19" i="25" s="1"/>
  <c r="R47" i="12"/>
  <c r="Q47" i="12"/>
  <c r="P47" i="12"/>
  <c r="M47" i="12"/>
  <c r="U47" i="12"/>
  <c r="B44" i="25"/>
  <c r="A67" i="1"/>
  <c r="A89" i="1"/>
  <c r="A256" i="1"/>
  <c r="A186" i="1"/>
  <c r="A44" i="1"/>
  <c r="A121" i="1"/>
  <c r="A209" i="1" s="1"/>
  <c r="A233" i="1" s="1"/>
  <c r="A164" i="1"/>
  <c r="A142" i="1"/>
  <c r="M8" i="1"/>
  <c r="L197" i="1"/>
  <c r="F44" i="25"/>
  <c r="A18" i="31"/>
  <c r="G73" i="12"/>
  <c r="C73" i="12"/>
  <c r="D73" i="12"/>
  <c r="F73" i="12"/>
  <c r="I74" i="12"/>
  <c r="J74" i="12" s="1"/>
  <c r="B19" i="31"/>
  <c r="C19" i="31"/>
  <c r="K32" i="1"/>
  <c r="K109" i="1" s="1"/>
  <c r="AU189" i="25"/>
  <c r="AW188" i="25"/>
  <c r="L8" i="25"/>
  <c r="K197" i="25"/>
  <c r="J221" i="1"/>
  <c r="H44" i="25"/>
  <c r="J67" i="25"/>
  <c r="I44" i="25"/>
  <c r="D44" i="25"/>
  <c r="A256" i="25"/>
  <c r="AS256" i="25" s="1"/>
  <c r="A67" i="25"/>
  <c r="A44" i="25"/>
  <c r="A186" i="25"/>
  <c r="A164" i="25"/>
  <c r="A121" i="25"/>
  <c r="A209" i="25" s="1"/>
  <c r="A233" i="25" s="1"/>
  <c r="A89" i="25"/>
  <c r="A142" i="25"/>
  <c r="AD187" i="1"/>
  <c r="AB188" i="1"/>
  <c r="I221" i="25"/>
  <c r="Q80" i="1"/>
  <c r="L62" i="1"/>
  <c r="K62" i="1" s="1"/>
  <c r="N84" i="1"/>
  <c r="Q57" i="1"/>
  <c r="P57" i="1" s="1"/>
  <c r="R56" i="1"/>
  <c r="S78" i="1" s="1"/>
  <c r="T78" i="1"/>
  <c r="S79" i="1"/>
  <c r="E68" i="1"/>
  <c r="H64" i="1"/>
  <c r="I86" i="1" s="1"/>
  <c r="I63" i="1"/>
  <c r="K61" i="1"/>
  <c r="B71" i="1"/>
  <c r="C93" i="1" s="1"/>
  <c r="L60" i="1"/>
  <c r="M82" i="1" s="1"/>
  <c r="B70" i="1"/>
  <c r="C92" i="1" s="1"/>
  <c r="G90" i="1"/>
  <c r="G65" i="1"/>
  <c r="H87" i="1" s="1"/>
  <c r="N59" i="1"/>
  <c r="O81" i="1" s="1"/>
  <c r="D69" i="1"/>
  <c r="N58" i="1"/>
  <c r="O80" i="1" s="1"/>
  <c r="F67" i="1"/>
  <c r="G89" i="1" s="1"/>
  <c r="B94" i="1"/>
  <c r="G66" i="1"/>
  <c r="H88" i="1" s="1"/>
  <c r="M8" i="25" l="1"/>
  <c r="L197" i="25"/>
  <c r="L32" i="25"/>
  <c r="L109" i="25" s="1"/>
  <c r="N8" i="1"/>
  <c r="M197" i="1"/>
  <c r="G43" i="25"/>
  <c r="A17" i="31"/>
  <c r="D72" i="12"/>
  <c r="C72" i="12"/>
  <c r="G72" i="12"/>
  <c r="F72" i="12"/>
  <c r="I73" i="12"/>
  <c r="J73" i="12" s="1"/>
  <c r="K221" i="25"/>
  <c r="AW189" i="25"/>
  <c r="AU190" i="25"/>
  <c r="L32" i="1"/>
  <c r="L109" i="1" s="1"/>
  <c r="AD38" i="1"/>
  <c r="Z256" i="1"/>
  <c r="J221" i="25"/>
  <c r="E43" i="25"/>
  <c r="H43" i="25"/>
  <c r="C43" i="25"/>
  <c r="B45" i="12"/>
  <c r="A18" i="1"/>
  <c r="B71" i="12"/>
  <c r="A18" i="25"/>
  <c r="R46" i="12"/>
  <c r="G46" i="12"/>
  <c r="F18" i="25" s="1"/>
  <c r="M46" i="12"/>
  <c r="L18" i="25" s="1"/>
  <c r="V46" i="12"/>
  <c r="C46" i="12"/>
  <c r="B18" i="25" s="1"/>
  <c r="F46" i="12"/>
  <c r="E18" i="25" s="1"/>
  <c r="D46" i="12"/>
  <c r="C18" i="25" s="1"/>
  <c r="K46" i="12"/>
  <c r="J18" i="25" s="1"/>
  <c r="O46" i="12"/>
  <c r="P46" i="12"/>
  <c r="U46" i="12"/>
  <c r="I46" i="12"/>
  <c r="H18" i="25" s="1"/>
  <c r="G42" i="25" s="1"/>
  <c r="T46" i="12"/>
  <c r="L46" i="12"/>
  <c r="K18" i="25" s="1"/>
  <c r="J42" i="25" s="1"/>
  <c r="H46" i="12"/>
  <c r="G18" i="25" s="1"/>
  <c r="F42" i="25" s="1"/>
  <c r="J46" i="12"/>
  <c r="I18" i="25" s="1"/>
  <c r="H42" i="25" s="1"/>
  <c r="E46" i="12"/>
  <c r="D18" i="25" s="1"/>
  <c r="C42" i="25" s="1"/>
  <c r="N46" i="12"/>
  <c r="Q46" i="12"/>
  <c r="S46" i="12"/>
  <c r="C18" i="31"/>
  <c r="B18" i="31"/>
  <c r="J43" i="25"/>
  <c r="K66" i="25"/>
  <c r="A66" i="1"/>
  <c r="A43" i="1"/>
  <c r="A255" i="1"/>
  <c r="Z255" i="1" s="1"/>
  <c r="A163" i="1"/>
  <c r="A120" i="1"/>
  <c r="A208" i="1" s="1"/>
  <c r="A232" i="1" s="1"/>
  <c r="A141" i="1"/>
  <c r="A185" i="1"/>
  <c r="A88" i="1"/>
  <c r="AB189" i="1"/>
  <c r="AD188" i="1"/>
  <c r="K32" i="25"/>
  <c r="K109" i="25" s="1"/>
  <c r="L221" i="1"/>
  <c r="K221" i="1"/>
  <c r="A88" i="25"/>
  <c r="A66" i="25"/>
  <c r="A141" i="25"/>
  <c r="A185" i="25"/>
  <c r="A120" i="25"/>
  <c r="A208" i="25" s="1"/>
  <c r="A232" i="25" s="1"/>
  <c r="A163" i="25"/>
  <c r="A43" i="25"/>
  <c r="A255" i="25"/>
  <c r="AS255" i="25" s="1"/>
  <c r="R79" i="1"/>
  <c r="M84" i="1"/>
  <c r="Q79" i="1"/>
  <c r="O57" i="1"/>
  <c r="L84" i="1"/>
  <c r="J62" i="1"/>
  <c r="Q56" i="1"/>
  <c r="R78" i="1" s="1"/>
  <c r="J61" i="1"/>
  <c r="K83" i="1" s="1"/>
  <c r="E67" i="1"/>
  <c r="F89" i="1" s="1"/>
  <c r="F65" i="1"/>
  <c r="G87" i="1" s="1"/>
  <c r="B93" i="1"/>
  <c r="G64" i="1"/>
  <c r="H86" i="1" s="1"/>
  <c r="D68" i="1"/>
  <c r="E90" i="1" s="1"/>
  <c r="K60" i="1"/>
  <c r="L82" i="1" s="1"/>
  <c r="H63" i="1"/>
  <c r="I85" i="1" s="1"/>
  <c r="F90" i="1"/>
  <c r="C69" i="1"/>
  <c r="D91" i="1" s="1"/>
  <c r="M59" i="1"/>
  <c r="N81" i="1" s="1"/>
  <c r="F66" i="1"/>
  <c r="G88" i="1" s="1"/>
  <c r="M58" i="1"/>
  <c r="N80" i="1" s="1"/>
  <c r="E91" i="1"/>
  <c r="B92" i="1"/>
  <c r="L83" i="1"/>
  <c r="J85" i="1"/>
  <c r="AD189" i="1" l="1"/>
  <c r="AB190" i="1"/>
  <c r="AU191" i="25"/>
  <c r="AW190" i="25"/>
  <c r="N197" i="1"/>
  <c r="O8" i="1"/>
  <c r="I42" i="25"/>
  <c r="A65" i="25"/>
  <c r="A87" i="25"/>
  <c r="A42" i="25"/>
  <c r="A119" i="25"/>
  <c r="A207" i="25" s="1"/>
  <c r="A231" i="25" s="1"/>
  <c r="A254" i="25"/>
  <c r="AS254" i="25" s="1"/>
  <c r="A162" i="25"/>
  <c r="A184" i="25"/>
  <c r="A140" i="25"/>
  <c r="A17" i="1"/>
  <c r="A17" i="25"/>
  <c r="B70" i="12"/>
  <c r="B44" i="12"/>
  <c r="G45" i="12"/>
  <c r="F17" i="25" s="1"/>
  <c r="U45" i="12"/>
  <c r="C45" i="12"/>
  <c r="B17" i="25" s="1"/>
  <c r="E45" i="12"/>
  <c r="D17" i="25" s="1"/>
  <c r="R45" i="12"/>
  <c r="D45" i="12"/>
  <c r="C17" i="25" s="1"/>
  <c r="T45" i="12"/>
  <c r="P45" i="12"/>
  <c r="H45" i="12"/>
  <c r="G17" i="25" s="1"/>
  <c r="F41" i="25" s="1"/>
  <c r="V45" i="12"/>
  <c r="M45" i="12"/>
  <c r="L17" i="25" s="1"/>
  <c r="J45" i="12"/>
  <c r="I17" i="25" s="1"/>
  <c r="K45" i="12"/>
  <c r="J17" i="25" s="1"/>
  <c r="I41" i="25" s="1"/>
  <c r="I45" i="12"/>
  <c r="H17" i="25" s="1"/>
  <c r="G41" i="25" s="1"/>
  <c r="S45" i="12"/>
  <c r="Q45" i="12"/>
  <c r="F45" i="12"/>
  <c r="E17" i="25" s="1"/>
  <c r="D41" i="25" s="1"/>
  <c r="N45" i="12"/>
  <c r="M17" i="25" s="1"/>
  <c r="L45" i="12"/>
  <c r="K17" i="25" s="1"/>
  <c r="J41" i="25" s="1"/>
  <c r="O45" i="12"/>
  <c r="C17" i="31"/>
  <c r="B17" i="31"/>
  <c r="B42" i="25"/>
  <c r="L65" i="25"/>
  <c r="K42" i="25"/>
  <c r="A16" i="31"/>
  <c r="F71" i="12"/>
  <c r="G71" i="12"/>
  <c r="C71" i="12"/>
  <c r="D71" i="12"/>
  <c r="I72" i="12"/>
  <c r="J72" i="12" s="1"/>
  <c r="M32" i="1"/>
  <c r="M109" i="1" s="1"/>
  <c r="L221" i="25"/>
  <c r="D42" i="25"/>
  <c r="E42" i="25"/>
  <c r="A254" i="1"/>
  <c r="Z254" i="1" s="1"/>
  <c r="A87" i="1"/>
  <c r="A42" i="1"/>
  <c r="A162" i="1"/>
  <c r="A140" i="1"/>
  <c r="A65" i="1"/>
  <c r="A119" i="1"/>
  <c r="A207" i="1" s="1"/>
  <c r="A231" i="1" s="1"/>
  <c r="A184" i="1"/>
  <c r="M221" i="1"/>
  <c r="N8" i="25"/>
  <c r="M197" i="25"/>
  <c r="M32" i="25"/>
  <c r="M109" i="25" s="1"/>
  <c r="P79" i="1"/>
  <c r="N57" i="1"/>
  <c r="I62" i="1"/>
  <c r="P56" i="1"/>
  <c r="Q78" i="1" s="1"/>
  <c r="K84" i="1"/>
  <c r="B69" i="1"/>
  <c r="J60" i="1"/>
  <c r="K82" i="1" s="1"/>
  <c r="F64" i="1"/>
  <c r="G86" i="1" s="1"/>
  <c r="D67" i="1"/>
  <c r="E89" i="1" s="1"/>
  <c r="L58" i="1"/>
  <c r="E66" i="1"/>
  <c r="F88" i="1" s="1"/>
  <c r="L59" i="1"/>
  <c r="M81" i="1" s="1"/>
  <c r="G63" i="1"/>
  <c r="H85" i="1" s="1"/>
  <c r="E65" i="1"/>
  <c r="C68" i="1"/>
  <c r="D90" i="1" s="1"/>
  <c r="I61" i="1"/>
  <c r="J83" i="1" s="1"/>
  <c r="B16" i="31" l="1"/>
  <c r="C16" i="31"/>
  <c r="L41" i="25"/>
  <c r="M64" i="25"/>
  <c r="B41" i="25"/>
  <c r="A118" i="25"/>
  <c r="A206" i="25" s="1"/>
  <c r="A230" i="25" s="1"/>
  <c r="A64" i="25"/>
  <c r="A161" i="25"/>
  <c r="A253" i="25"/>
  <c r="AS253" i="25" s="1"/>
  <c r="A183" i="25"/>
  <c r="A139" i="25"/>
  <c r="A41" i="25"/>
  <c r="A86" i="25"/>
  <c r="O32" i="1"/>
  <c r="O109" i="1" s="1"/>
  <c r="O197" i="1"/>
  <c r="P8" i="1"/>
  <c r="AU192" i="25"/>
  <c r="AW191" i="25"/>
  <c r="K41" i="25"/>
  <c r="A15" i="31"/>
  <c r="F70" i="12"/>
  <c r="G70" i="12"/>
  <c r="D70" i="12"/>
  <c r="C70" i="12"/>
  <c r="I71" i="12"/>
  <c r="J71" i="12" s="1"/>
  <c r="O8" i="25"/>
  <c r="N197" i="25"/>
  <c r="E41" i="25"/>
  <c r="A253" i="1"/>
  <c r="Z253" i="1" s="1"/>
  <c r="A139" i="1"/>
  <c r="A64" i="1"/>
  <c r="A41" i="1"/>
  <c r="A118" i="1"/>
  <c r="A206" i="1" s="1"/>
  <c r="A230" i="1" s="1"/>
  <c r="A86" i="1"/>
  <c r="A183" i="1"/>
  <c r="A161" i="1"/>
  <c r="N32" i="1"/>
  <c r="N109" i="1" s="1"/>
  <c r="AB191" i="1"/>
  <c r="AD190" i="1"/>
  <c r="H41" i="25"/>
  <c r="C41" i="25"/>
  <c r="A16" i="25"/>
  <c r="B69" i="12"/>
  <c r="B43" i="12"/>
  <c r="A16" i="1"/>
  <c r="G44" i="12"/>
  <c r="F16" i="25" s="1"/>
  <c r="J44" i="12"/>
  <c r="I16" i="25" s="1"/>
  <c r="H40" i="25" s="1"/>
  <c r="R44" i="12"/>
  <c r="K44" i="12"/>
  <c r="J16" i="25" s="1"/>
  <c r="V44" i="12"/>
  <c r="O44" i="12"/>
  <c r="N16" i="25" s="1"/>
  <c r="Q44" i="12"/>
  <c r="I44" i="12"/>
  <c r="H16" i="25" s="1"/>
  <c r="N44" i="12"/>
  <c r="M16" i="25" s="1"/>
  <c r="S44" i="12"/>
  <c r="U44" i="12"/>
  <c r="E44" i="12"/>
  <c r="D16" i="25" s="1"/>
  <c r="M44" i="12"/>
  <c r="L16" i="25" s="1"/>
  <c r="K40" i="25" s="1"/>
  <c r="H44" i="12"/>
  <c r="G16" i="25" s="1"/>
  <c r="F40" i="25" s="1"/>
  <c r="P44" i="12"/>
  <c r="L44" i="12"/>
  <c r="K16" i="25" s="1"/>
  <c r="J40" i="25" s="1"/>
  <c r="T44" i="12"/>
  <c r="D44" i="12"/>
  <c r="C16" i="25" s="1"/>
  <c r="B40" i="25" s="1"/>
  <c r="F44" i="12"/>
  <c r="E16" i="25" s="1"/>
  <c r="D40" i="25" s="1"/>
  <c r="C44" i="12"/>
  <c r="B16" i="25" s="1"/>
  <c r="N221" i="1"/>
  <c r="O56" i="1"/>
  <c r="H62" i="1"/>
  <c r="G62" i="1" s="1"/>
  <c r="O79" i="1"/>
  <c r="M57" i="1"/>
  <c r="J84" i="1"/>
  <c r="H61" i="1"/>
  <c r="F87" i="1"/>
  <c r="K58" i="1"/>
  <c r="B91" i="1"/>
  <c r="F63" i="1"/>
  <c r="G85" i="1" s="1"/>
  <c r="D66" i="1"/>
  <c r="E88" i="1" s="1"/>
  <c r="E64" i="1"/>
  <c r="I60" i="1"/>
  <c r="J82" i="1" s="1"/>
  <c r="C91" i="1"/>
  <c r="B68" i="1"/>
  <c r="C90" i="1" s="1"/>
  <c r="D65" i="1"/>
  <c r="K59" i="1"/>
  <c r="L81" i="1" s="1"/>
  <c r="M80" i="1"/>
  <c r="C67" i="1"/>
  <c r="D89" i="1" s="1"/>
  <c r="O197" i="25" l="1"/>
  <c r="P8" i="25"/>
  <c r="O32" i="25"/>
  <c r="O109" i="25" s="1"/>
  <c r="N63" i="25"/>
  <c r="M40" i="25"/>
  <c r="A14" i="31"/>
  <c r="D69" i="12"/>
  <c r="C69" i="12"/>
  <c r="G69" i="12"/>
  <c r="F69" i="12"/>
  <c r="I70" i="12"/>
  <c r="J70" i="12" s="1"/>
  <c r="AU193" i="25"/>
  <c r="AW192" i="25"/>
  <c r="L40" i="25"/>
  <c r="E40" i="25"/>
  <c r="A160" i="25"/>
  <c r="A117" i="25"/>
  <c r="A205" i="25" s="1"/>
  <c r="A229" i="25" s="1"/>
  <c r="A182" i="25"/>
  <c r="A138" i="25"/>
  <c r="A63" i="25"/>
  <c r="A85" i="25"/>
  <c r="A40" i="25"/>
  <c r="A252" i="25"/>
  <c r="AS252" i="25" s="1"/>
  <c r="N221" i="25"/>
  <c r="C15" i="31"/>
  <c r="B15" i="31"/>
  <c r="Q8" i="1"/>
  <c r="P197" i="1"/>
  <c r="B68" i="12"/>
  <c r="A15" i="1"/>
  <c r="A15" i="25"/>
  <c r="B42" i="12"/>
  <c r="F43" i="12"/>
  <c r="E15" i="25" s="1"/>
  <c r="H43" i="12"/>
  <c r="G15" i="25" s="1"/>
  <c r="J43" i="12"/>
  <c r="I15" i="25" s="1"/>
  <c r="E43" i="12"/>
  <c r="D15" i="25" s="1"/>
  <c r="C39" i="25" s="1"/>
  <c r="L43" i="12"/>
  <c r="K15" i="25" s="1"/>
  <c r="M43" i="12"/>
  <c r="L15" i="25" s="1"/>
  <c r="K39" i="25" s="1"/>
  <c r="P43" i="12"/>
  <c r="O15" i="25" s="1"/>
  <c r="G43" i="12"/>
  <c r="F15" i="25" s="1"/>
  <c r="E39" i="25" s="1"/>
  <c r="R43" i="12"/>
  <c r="I43" i="12"/>
  <c r="H15" i="25" s="1"/>
  <c r="G39" i="25" s="1"/>
  <c r="N43" i="12"/>
  <c r="M15" i="25" s="1"/>
  <c r="L39" i="25" s="1"/>
  <c r="S43" i="12"/>
  <c r="C43" i="12"/>
  <c r="B15" i="25" s="1"/>
  <c r="D43" i="12"/>
  <c r="C15" i="25" s="1"/>
  <c r="B39" i="25" s="1"/>
  <c r="U43" i="12"/>
  <c r="T43" i="12"/>
  <c r="Q43" i="12"/>
  <c r="V43" i="12"/>
  <c r="K43" i="12"/>
  <c r="J15" i="25" s="1"/>
  <c r="I39" i="25" s="1"/>
  <c r="O43" i="12"/>
  <c r="N15" i="25" s="1"/>
  <c r="M39" i="25" s="1"/>
  <c r="C40" i="25"/>
  <c r="G40" i="25"/>
  <c r="I40" i="25"/>
  <c r="A85" i="1"/>
  <c r="A252" i="1"/>
  <c r="Z252" i="1" s="1"/>
  <c r="A117" i="1"/>
  <c r="A205" i="1" s="1"/>
  <c r="A229" i="1" s="1"/>
  <c r="A138" i="1"/>
  <c r="A160" i="1"/>
  <c r="A40" i="1"/>
  <c r="A182" i="1"/>
  <c r="A63" i="1"/>
  <c r="AD191" i="1"/>
  <c r="AB192" i="1"/>
  <c r="N32" i="25"/>
  <c r="N109" i="25" s="1"/>
  <c r="O221" i="1"/>
  <c r="M221" i="25"/>
  <c r="I84" i="1"/>
  <c r="L57" i="1"/>
  <c r="K57" i="1" s="1"/>
  <c r="J57" i="1" s="1"/>
  <c r="N79" i="1"/>
  <c r="N56" i="1"/>
  <c r="M56" i="1" s="1"/>
  <c r="H84" i="1"/>
  <c r="F62" i="1"/>
  <c r="E62" i="1" s="1"/>
  <c r="F84" i="1" s="1"/>
  <c r="P78" i="1"/>
  <c r="J59" i="1"/>
  <c r="C65" i="1"/>
  <c r="H60" i="1"/>
  <c r="I82" i="1" s="1"/>
  <c r="D64" i="1"/>
  <c r="E86" i="1" s="1"/>
  <c r="C66" i="1"/>
  <c r="G61" i="1"/>
  <c r="H83" i="1" s="1"/>
  <c r="J58" i="1"/>
  <c r="K80" i="1" s="1"/>
  <c r="B90" i="1"/>
  <c r="L80" i="1"/>
  <c r="B67" i="1"/>
  <c r="C89" i="1" s="1"/>
  <c r="E87" i="1"/>
  <c r="F86" i="1"/>
  <c r="E63" i="1"/>
  <c r="F85" i="1" s="1"/>
  <c r="I83" i="1"/>
  <c r="O62" i="25" l="1"/>
  <c r="N39" i="25"/>
  <c r="H39" i="25"/>
  <c r="A159" i="25"/>
  <c r="A62" i="25"/>
  <c r="A251" i="25"/>
  <c r="AS251" i="25" s="1"/>
  <c r="A39" i="25"/>
  <c r="A137" i="25"/>
  <c r="A116" i="25"/>
  <c r="A204" i="25" s="1"/>
  <c r="A228" i="25" s="1"/>
  <c r="A181" i="25"/>
  <c r="A84" i="25"/>
  <c r="B14" i="31"/>
  <c r="C14" i="31"/>
  <c r="A14" i="25"/>
  <c r="B41" i="12"/>
  <c r="B67" i="12"/>
  <c r="A14" i="1"/>
  <c r="G42" i="12"/>
  <c r="F14" i="25" s="1"/>
  <c r="S42" i="12"/>
  <c r="I42" i="12"/>
  <c r="H14" i="25" s="1"/>
  <c r="V42" i="12"/>
  <c r="N42" i="12"/>
  <c r="M14" i="25" s="1"/>
  <c r="J42" i="12"/>
  <c r="I14" i="25" s="1"/>
  <c r="H38" i="25" s="1"/>
  <c r="T42" i="12"/>
  <c r="O42" i="12"/>
  <c r="N14" i="25" s="1"/>
  <c r="M38" i="25" s="1"/>
  <c r="R42" i="12"/>
  <c r="L42" i="12"/>
  <c r="K14" i="25" s="1"/>
  <c r="J38" i="25" s="1"/>
  <c r="H42" i="12"/>
  <c r="G14" i="25" s="1"/>
  <c r="F38" i="25" s="1"/>
  <c r="E42" i="12"/>
  <c r="D14" i="25" s="1"/>
  <c r="P42" i="12"/>
  <c r="O14" i="25" s="1"/>
  <c r="N38" i="25" s="1"/>
  <c r="U42" i="12"/>
  <c r="F42" i="12"/>
  <c r="E14" i="25" s="1"/>
  <c r="D38" i="25" s="1"/>
  <c r="C42" i="12"/>
  <c r="B14" i="25" s="1"/>
  <c r="K42" i="12"/>
  <c r="J14" i="25" s="1"/>
  <c r="D42" i="12"/>
  <c r="C14" i="25" s="1"/>
  <c r="B38" i="25" s="1"/>
  <c r="Q42" i="12"/>
  <c r="P14" i="25" s="1"/>
  <c r="M42" i="12"/>
  <c r="L14" i="25" s="1"/>
  <c r="F39" i="25"/>
  <c r="A251" i="1"/>
  <c r="Z251" i="1" s="1"/>
  <c r="A62" i="1"/>
  <c r="A84" i="1"/>
  <c r="A116" i="1"/>
  <c r="A204" i="1" s="1"/>
  <c r="A228" i="1" s="1"/>
  <c r="A39" i="1"/>
  <c r="A181" i="1"/>
  <c r="A159" i="1"/>
  <c r="A137" i="1"/>
  <c r="P221" i="1"/>
  <c r="Q8" i="25"/>
  <c r="P197" i="25"/>
  <c r="Q32" i="1"/>
  <c r="Q109" i="1" s="1"/>
  <c r="R8" i="1"/>
  <c r="Q197" i="1"/>
  <c r="AD192" i="1"/>
  <c r="AB193" i="1"/>
  <c r="J39" i="25"/>
  <c r="D39" i="25"/>
  <c r="A13" i="31"/>
  <c r="C68" i="12"/>
  <c r="F68" i="12"/>
  <c r="G68" i="12"/>
  <c r="D68" i="12"/>
  <c r="I69" i="12"/>
  <c r="J69" i="12" s="1"/>
  <c r="P32" i="1"/>
  <c r="P109" i="1" s="1"/>
  <c r="AW193" i="25"/>
  <c r="AU194" i="25"/>
  <c r="O221" i="25"/>
  <c r="L79" i="1"/>
  <c r="G84" i="1"/>
  <c r="M79" i="1"/>
  <c r="K79" i="1"/>
  <c r="D62" i="1"/>
  <c r="E84" i="1" s="1"/>
  <c r="O78" i="1"/>
  <c r="N78" i="1"/>
  <c r="L56" i="1"/>
  <c r="K56" i="1" s="1"/>
  <c r="B66" i="1"/>
  <c r="C88" i="1" s="1"/>
  <c r="B65" i="1"/>
  <c r="D63" i="1"/>
  <c r="G60" i="1"/>
  <c r="H82" i="1" s="1"/>
  <c r="I57" i="1"/>
  <c r="J79" i="1" s="1"/>
  <c r="I59" i="1"/>
  <c r="B89" i="1"/>
  <c r="I58" i="1"/>
  <c r="F61" i="1"/>
  <c r="G83" i="1" s="1"/>
  <c r="D88" i="1"/>
  <c r="C64" i="1"/>
  <c r="D86" i="1" s="1"/>
  <c r="D87" i="1"/>
  <c r="K81" i="1"/>
  <c r="AD193" i="1" l="1"/>
  <c r="AB194" i="1"/>
  <c r="A13" i="25"/>
  <c r="B66" i="12"/>
  <c r="A13" i="1"/>
  <c r="B40" i="12"/>
  <c r="H41" i="12"/>
  <c r="G13" i="25" s="1"/>
  <c r="I41" i="12"/>
  <c r="H13" i="25" s="1"/>
  <c r="G37" i="25" s="1"/>
  <c r="E41" i="12"/>
  <c r="D13" i="25" s="1"/>
  <c r="U41" i="12"/>
  <c r="G41" i="12"/>
  <c r="F13" i="25" s="1"/>
  <c r="T41" i="12"/>
  <c r="S41" i="12"/>
  <c r="V41" i="12"/>
  <c r="P41" i="12"/>
  <c r="O13" i="25" s="1"/>
  <c r="F41" i="12"/>
  <c r="E13" i="25" s="1"/>
  <c r="D37" i="25" s="1"/>
  <c r="L41" i="12"/>
  <c r="K13" i="25" s="1"/>
  <c r="M41" i="12"/>
  <c r="L13" i="25" s="1"/>
  <c r="K37" i="25" s="1"/>
  <c r="D41" i="12"/>
  <c r="C13" i="25" s="1"/>
  <c r="B37" i="25" s="1"/>
  <c r="O41" i="12"/>
  <c r="N13" i="25" s="1"/>
  <c r="M37" i="25" s="1"/>
  <c r="C41" i="12"/>
  <c r="B13" i="25" s="1"/>
  <c r="J41" i="12"/>
  <c r="I13" i="25" s="1"/>
  <c r="K41" i="12"/>
  <c r="J13" i="25" s="1"/>
  <c r="I37" i="25" s="1"/>
  <c r="Q41" i="12"/>
  <c r="P13" i="25" s="1"/>
  <c r="O37" i="25" s="1"/>
  <c r="N41" i="12"/>
  <c r="M13" i="25" s="1"/>
  <c r="L37" i="25" s="1"/>
  <c r="R41" i="12"/>
  <c r="Q13" i="25" s="1"/>
  <c r="AU195" i="25"/>
  <c r="AW194" i="25"/>
  <c r="C13" i="31"/>
  <c r="B13" i="31"/>
  <c r="I38" i="25"/>
  <c r="L38" i="25"/>
  <c r="E38" i="25"/>
  <c r="A180" i="25"/>
  <c r="A83" i="25"/>
  <c r="A115" i="25"/>
  <c r="A203" i="25" s="1"/>
  <c r="A227" i="25" s="1"/>
  <c r="A38" i="25"/>
  <c r="A250" i="25"/>
  <c r="AS250" i="25" s="1"/>
  <c r="A158" i="25"/>
  <c r="A61" i="25"/>
  <c r="A136" i="25"/>
  <c r="R8" i="25"/>
  <c r="Q32" i="25" s="1"/>
  <c r="Q109" i="25" s="1"/>
  <c r="Q197" i="25"/>
  <c r="P221" i="25" s="1"/>
  <c r="K38" i="25"/>
  <c r="C38" i="25"/>
  <c r="A136" i="1"/>
  <c r="A115" i="1"/>
  <c r="A203" i="1" s="1"/>
  <c r="A227" i="1" s="1"/>
  <c r="A38" i="1"/>
  <c r="A180" i="1"/>
  <c r="A158" i="1"/>
  <c r="A250" i="1"/>
  <c r="Z250" i="1" s="1"/>
  <c r="A61" i="1"/>
  <c r="A83" i="1"/>
  <c r="S8" i="1"/>
  <c r="R32" i="1" s="1"/>
  <c r="R109" i="1" s="1"/>
  <c r="R197" i="1"/>
  <c r="Q221" i="1" s="1"/>
  <c r="P32" i="25"/>
  <c r="P109" i="25" s="1"/>
  <c r="P61" i="25"/>
  <c r="O38" i="25"/>
  <c r="G38" i="25"/>
  <c r="A12" i="31"/>
  <c r="D67" i="12"/>
  <c r="C67" i="12"/>
  <c r="G67" i="12"/>
  <c r="F67" i="12"/>
  <c r="I68" i="12"/>
  <c r="J68" i="12" s="1"/>
  <c r="C62" i="1"/>
  <c r="D84" i="1" s="1"/>
  <c r="M78" i="1"/>
  <c r="L78" i="1"/>
  <c r="J56" i="1"/>
  <c r="C63" i="1"/>
  <c r="D85" i="1" s="1"/>
  <c r="H59" i="1"/>
  <c r="I81" i="1" s="1"/>
  <c r="E85" i="1"/>
  <c r="H58" i="1"/>
  <c r="I80" i="1" s="1"/>
  <c r="J81" i="1"/>
  <c r="B87" i="1"/>
  <c r="B88" i="1"/>
  <c r="B64" i="1"/>
  <c r="E61" i="1"/>
  <c r="J80" i="1"/>
  <c r="B62" i="1"/>
  <c r="C84" i="1" s="1"/>
  <c r="H57" i="1"/>
  <c r="F60" i="1"/>
  <c r="G82" i="1" s="1"/>
  <c r="C87" i="1"/>
  <c r="A11" i="31" l="1"/>
  <c r="G66" i="12"/>
  <c r="D66" i="12"/>
  <c r="C66" i="12"/>
  <c r="F66" i="12"/>
  <c r="I67" i="12"/>
  <c r="J67" i="12" s="1"/>
  <c r="C12" i="31"/>
  <c r="B12" i="31"/>
  <c r="AU196" i="25"/>
  <c r="AW195" i="25"/>
  <c r="N37" i="25"/>
  <c r="E37" i="25"/>
  <c r="F37" i="25"/>
  <c r="A114" i="25"/>
  <c r="A202" i="25" s="1"/>
  <c r="A226" i="25" s="1"/>
  <c r="A82" i="25"/>
  <c r="A60" i="25"/>
  <c r="A157" i="25"/>
  <c r="A179" i="25"/>
  <c r="A37" i="25"/>
  <c r="A249" i="25"/>
  <c r="AS249" i="25" s="1"/>
  <c r="A135" i="25"/>
  <c r="P37" i="25"/>
  <c r="Q60" i="25"/>
  <c r="H37" i="25"/>
  <c r="A12" i="25"/>
  <c r="A12" i="1"/>
  <c r="B65" i="12"/>
  <c r="B39" i="12"/>
  <c r="T40" i="12"/>
  <c r="E40" i="12"/>
  <c r="D12" i="25" s="1"/>
  <c r="O40" i="12"/>
  <c r="N12" i="25" s="1"/>
  <c r="V40" i="12"/>
  <c r="K40" i="12"/>
  <c r="J12" i="25" s="1"/>
  <c r="U40" i="12"/>
  <c r="R40" i="12"/>
  <c r="Q12" i="25" s="1"/>
  <c r="P40" i="12"/>
  <c r="O12" i="25" s="1"/>
  <c r="N36" i="25" s="1"/>
  <c r="M40" i="12"/>
  <c r="L12" i="25" s="1"/>
  <c r="C40" i="12"/>
  <c r="B12" i="25" s="1"/>
  <c r="Q40" i="12"/>
  <c r="P12" i="25" s="1"/>
  <c r="G40" i="12"/>
  <c r="F12" i="25" s="1"/>
  <c r="F40" i="12"/>
  <c r="E12" i="25" s="1"/>
  <c r="D40" i="12"/>
  <c r="C12" i="25" s="1"/>
  <c r="B36" i="25" s="1"/>
  <c r="I40" i="12"/>
  <c r="H12" i="25" s="1"/>
  <c r="H40" i="12"/>
  <c r="G12" i="25" s="1"/>
  <c r="F36" i="25" s="1"/>
  <c r="L40" i="12"/>
  <c r="K12" i="25" s="1"/>
  <c r="J36" i="25" s="1"/>
  <c r="N40" i="12"/>
  <c r="M12" i="25" s="1"/>
  <c r="L36" i="25" s="1"/>
  <c r="S40" i="12"/>
  <c r="R12" i="25" s="1"/>
  <c r="J40" i="12"/>
  <c r="I12" i="25" s="1"/>
  <c r="H36" i="25" s="1"/>
  <c r="AD194" i="1"/>
  <c r="AB195" i="1"/>
  <c r="S197" i="1"/>
  <c r="T8" i="1"/>
  <c r="S32" i="1"/>
  <c r="S109" i="1" s="1"/>
  <c r="R197" i="25"/>
  <c r="S8" i="25"/>
  <c r="R221" i="1"/>
  <c r="Q221" i="25"/>
  <c r="J37" i="25"/>
  <c r="C37" i="25"/>
  <c r="A82" i="1"/>
  <c r="A157" i="1"/>
  <c r="A249" i="1"/>
  <c r="Z249" i="1" s="1"/>
  <c r="A179" i="1"/>
  <c r="A60" i="1"/>
  <c r="A135" i="1"/>
  <c r="A114" i="1"/>
  <c r="A202" i="1" s="1"/>
  <c r="A226" i="1" s="1"/>
  <c r="A37" i="1"/>
  <c r="K78" i="1"/>
  <c r="I56" i="1"/>
  <c r="G57" i="1"/>
  <c r="H79" i="1" s="1"/>
  <c r="D61" i="1"/>
  <c r="B86" i="1"/>
  <c r="B63" i="1"/>
  <c r="C85" i="1" s="1"/>
  <c r="E60" i="1"/>
  <c r="F82" i="1" s="1"/>
  <c r="G58" i="1"/>
  <c r="I79" i="1"/>
  <c r="B84" i="1"/>
  <c r="F83" i="1"/>
  <c r="C86" i="1"/>
  <c r="G59" i="1"/>
  <c r="H81" i="1" s="1"/>
  <c r="C36" i="25" l="1"/>
  <c r="A248" i="1"/>
  <c r="Z248" i="1" s="1"/>
  <c r="A156" i="1"/>
  <c r="A59" i="1"/>
  <c r="A134" i="1"/>
  <c r="A178" i="1"/>
  <c r="A113" i="1"/>
  <c r="A201" i="1" s="1"/>
  <c r="A225" i="1" s="1"/>
  <c r="A36" i="1"/>
  <c r="A81" i="1"/>
  <c r="D36" i="25"/>
  <c r="K36" i="25"/>
  <c r="I36" i="25"/>
  <c r="A134" i="25"/>
  <c r="A59" i="25"/>
  <c r="A248" i="25"/>
  <c r="AS248" i="25" s="1"/>
  <c r="A156" i="25"/>
  <c r="A36" i="25"/>
  <c r="A113" i="25"/>
  <c r="A201" i="25" s="1"/>
  <c r="A225" i="25" s="1"/>
  <c r="A178" i="25"/>
  <c r="A81" i="25"/>
  <c r="S197" i="25"/>
  <c r="T8" i="25"/>
  <c r="S32" i="25" s="1"/>
  <c r="S109" i="25" s="1"/>
  <c r="U8" i="1"/>
  <c r="T197" i="1"/>
  <c r="T32" i="1"/>
  <c r="T109" i="1" s="1"/>
  <c r="E36" i="25"/>
  <c r="A11" i="25"/>
  <c r="B38" i="12"/>
  <c r="A11" i="1"/>
  <c r="B64" i="12"/>
  <c r="T39" i="12"/>
  <c r="S11" i="25" s="1"/>
  <c r="G39" i="12"/>
  <c r="F11" i="25" s="1"/>
  <c r="F39" i="12"/>
  <c r="E11" i="25" s="1"/>
  <c r="S39" i="12"/>
  <c r="R11" i="25" s="1"/>
  <c r="Q35" i="25" s="1"/>
  <c r="N39" i="12"/>
  <c r="M11" i="25" s="1"/>
  <c r="R39" i="12"/>
  <c r="Q11" i="25" s="1"/>
  <c r="I39" i="12"/>
  <c r="H11" i="25" s="1"/>
  <c r="P39" i="12"/>
  <c r="O11" i="25" s="1"/>
  <c r="K39" i="12"/>
  <c r="J11" i="25" s="1"/>
  <c r="D39" i="12"/>
  <c r="C11" i="25" s="1"/>
  <c r="J39" i="12"/>
  <c r="I11" i="25" s="1"/>
  <c r="H35" i="25" s="1"/>
  <c r="H39" i="12"/>
  <c r="G11" i="25" s="1"/>
  <c r="F35" i="25" s="1"/>
  <c r="M39" i="12"/>
  <c r="L11" i="25" s="1"/>
  <c r="E39" i="12"/>
  <c r="D11" i="25" s="1"/>
  <c r="C35" i="25" s="1"/>
  <c r="Q39" i="12"/>
  <c r="P11" i="25" s="1"/>
  <c r="O39" i="12"/>
  <c r="N11" i="25" s="1"/>
  <c r="M35" i="25" s="1"/>
  <c r="L39" i="12"/>
  <c r="K11" i="25" s="1"/>
  <c r="J35" i="25" s="1"/>
  <c r="U39" i="12"/>
  <c r="V39" i="12"/>
  <c r="C39" i="12"/>
  <c r="B11" i="25" s="1"/>
  <c r="AD195" i="1"/>
  <c r="AB196" i="1"/>
  <c r="R32" i="25"/>
  <c r="R109" i="25" s="1"/>
  <c r="S221" i="1"/>
  <c r="Q36" i="25"/>
  <c r="R59" i="25"/>
  <c r="G36" i="25"/>
  <c r="O36" i="25"/>
  <c r="P36" i="25"/>
  <c r="M36" i="25"/>
  <c r="A10" i="31"/>
  <c r="F65" i="12"/>
  <c r="G65" i="12"/>
  <c r="C65" i="12"/>
  <c r="D65" i="12"/>
  <c r="I66" i="12"/>
  <c r="J66" i="12" s="1"/>
  <c r="AU197" i="25"/>
  <c r="AW196" i="25"/>
  <c r="C11" i="31"/>
  <c r="B11" i="31"/>
  <c r="H56" i="1"/>
  <c r="I78" i="1" s="1"/>
  <c r="J78" i="1"/>
  <c r="D60" i="1"/>
  <c r="E82" i="1" s="1"/>
  <c r="F57" i="1"/>
  <c r="F58" i="1"/>
  <c r="G80" i="1" s="1"/>
  <c r="C61" i="1"/>
  <c r="D83" i="1" s="1"/>
  <c r="F59" i="1"/>
  <c r="G81" i="1" s="1"/>
  <c r="H80" i="1"/>
  <c r="B85" i="1"/>
  <c r="E83" i="1"/>
  <c r="A9" i="31" l="1"/>
  <c r="C64" i="12"/>
  <c r="F64" i="12"/>
  <c r="D64" i="12"/>
  <c r="G64" i="12"/>
  <c r="I65" i="12"/>
  <c r="J65" i="12" s="1"/>
  <c r="AU198" i="25"/>
  <c r="AW197" i="25"/>
  <c r="B10" i="31"/>
  <c r="C10" i="31"/>
  <c r="O35" i="25"/>
  <c r="G35" i="25"/>
  <c r="D35" i="25"/>
  <c r="A112" i="1"/>
  <c r="A200" i="1" s="1"/>
  <c r="A224" i="1" s="1"/>
  <c r="A177" i="1"/>
  <c r="A155" i="1"/>
  <c r="A58" i="1"/>
  <c r="A80" i="1"/>
  <c r="A247" i="1"/>
  <c r="Z247" i="1" s="1"/>
  <c r="A133" i="1"/>
  <c r="A35" i="1"/>
  <c r="N35" i="25"/>
  <c r="AD196" i="1"/>
  <c r="AB197" i="1"/>
  <c r="B35" i="25"/>
  <c r="P35" i="25"/>
  <c r="E35" i="25"/>
  <c r="B37" i="12"/>
  <c r="A10" i="25"/>
  <c r="B63" i="12"/>
  <c r="A10" i="1"/>
  <c r="P38" i="12"/>
  <c r="O10" i="25" s="1"/>
  <c r="V38" i="12"/>
  <c r="O38" i="12"/>
  <c r="N10" i="25" s="1"/>
  <c r="U38" i="12"/>
  <c r="T10" i="25" s="1"/>
  <c r="R38" i="12"/>
  <c r="Q10" i="25" s="1"/>
  <c r="T38" i="12"/>
  <c r="S10" i="25" s="1"/>
  <c r="R34" i="25" s="1"/>
  <c r="D38" i="12"/>
  <c r="C10" i="25" s="1"/>
  <c r="L38" i="12"/>
  <c r="K10" i="25" s="1"/>
  <c r="M38" i="12"/>
  <c r="L10" i="25" s="1"/>
  <c r="K38" i="12"/>
  <c r="J10" i="25" s="1"/>
  <c r="S38" i="12"/>
  <c r="R10" i="25" s="1"/>
  <c r="Q34" i="25" s="1"/>
  <c r="E38" i="12"/>
  <c r="D10" i="25" s="1"/>
  <c r="C34" i="25" s="1"/>
  <c r="I38" i="12"/>
  <c r="H10" i="25" s="1"/>
  <c r="Q38" i="12"/>
  <c r="P10" i="25" s="1"/>
  <c r="O34" i="25" s="1"/>
  <c r="G38" i="12"/>
  <c r="F10" i="25" s="1"/>
  <c r="F38" i="12"/>
  <c r="E10" i="25" s="1"/>
  <c r="D34" i="25" s="1"/>
  <c r="H38" i="12"/>
  <c r="G10" i="25" s="1"/>
  <c r="F34" i="25" s="1"/>
  <c r="J38" i="12"/>
  <c r="I10" i="25" s="1"/>
  <c r="H34" i="25" s="1"/>
  <c r="N38" i="12"/>
  <c r="M10" i="25" s="1"/>
  <c r="L34" i="25" s="1"/>
  <c r="C38" i="12"/>
  <c r="B10" i="25" s="1"/>
  <c r="T197" i="25"/>
  <c r="S221" i="25" s="1"/>
  <c r="U8" i="25"/>
  <c r="T32" i="25"/>
  <c r="T109" i="25" s="1"/>
  <c r="K35" i="25"/>
  <c r="I35" i="25"/>
  <c r="L35" i="25"/>
  <c r="R35" i="25"/>
  <c r="S58" i="25"/>
  <c r="A58" i="25"/>
  <c r="A247" i="25"/>
  <c r="AS247" i="25" s="1"/>
  <c r="A112" i="25"/>
  <c r="A200" i="25" s="1"/>
  <c r="A224" i="25" s="1"/>
  <c r="A35" i="25"/>
  <c r="A155" i="25"/>
  <c r="A133" i="25"/>
  <c r="A80" i="25"/>
  <c r="A177" i="25"/>
  <c r="U197" i="1"/>
  <c r="T221" i="1" s="1"/>
  <c r="U221" i="1"/>
  <c r="R221" i="25"/>
  <c r="G56" i="1"/>
  <c r="E59" i="1"/>
  <c r="B61" i="1"/>
  <c r="C83" i="1" s="1"/>
  <c r="C60" i="1"/>
  <c r="D82" i="1" s="1"/>
  <c r="E57" i="1"/>
  <c r="F79" i="1" s="1"/>
  <c r="E58" i="1"/>
  <c r="G79" i="1"/>
  <c r="G34" i="25" l="1"/>
  <c r="K34" i="25"/>
  <c r="P34" i="25"/>
  <c r="N34" i="25"/>
  <c r="B62" i="12"/>
  <c r="A9" i="1"/>
  <c r="A9" i="25"/>
  <c r="O37" i="12"/>
  <c r="N9" i="25" s="1"/>
  <c r="P37" i="12"/>
  <c r="O9" i="25" s="1"/>
  <c r="K37" i="12"/>
  <c r="J9" i="25" s="1"/>
  <c r="R37" i="12"/>
  <c r="Q9" i="25" s="1"/>
  <c r="T37" i="12"/>
  <c r="S9" i="25" s="1"/>
  <c r="H37" i="12"/>
  <c r="G9" i="25" s="1"/>
  <c r="S37" i="12"/>
  <c r="R9" i="25" s="1"/>
  <c r="D37" i="12"/>
  <c r="C9" i="25" s="1"/>
  <c r="U37" i="12"/>
  <c r="T9" i="25" s="1"/>
  <c r="M37" i="12"/>
  <c r="L9" i="25" s="1"/>
  <c r="F37" i="12"/>
  <c r="E9" i="25" s="1"/>
  <c r="J37" i="12"/>
  <c r="I9" i="25" s="1"/>
  <c r="V37" i="12"/>
  <c r="U9" i="25" s="1"/>
  <c r="G37" i="12"/>
  <c r="F9" i="25" s="1"/>
  <c r="E37" i="12"/>
  <c r="D9" i="25" s="1"/>
  <c r="N37" i="12"/>
  <c r="M9" i="25" s="1"/>
  <c r="I37" i="12"/>
  <c r="H9" i="25" s="1"/>
  <c r="L37" i="12"/>
  <c r="K9" i="25" s="1"/>
  <c r="C37" i="12"/>
  <c r="B9" i="25" s="1"/>
  <c r="Q37" i="12"/>
  <c r="P9" i="25" s="1"/>
  <c r="AB198" i="1"/>
  <c r="AD197" i="1"/>
  <c r="AW198" i="25"/>
  <c r="AU199" i="25"/>
  <c r="A111" i="25"/>
  <c r="A199" i="25" s="1"/>
  <c r="A223" i="25" s="1"/>
  <c r="A246" i="25"/>
  <c r="AS246" i="25" s="1"/>
  <c r="A154" i="25"/>
  <c r="A132" i="25"/>
  <c r="A176" i="25"/>
  <c r="A57" i="25"/>
  <c r="A79" i="25"/>
  <c r="A34" i="25"/>
  <c r="J34" i="25"/>
  <c r="T57" i="25"/>
  <c r="S34" i="25"/>
  <c r="A246" i="1"/>
  <c r="Z246" i="1" s="1"/>
  <c r="A111" i="1"/>
  <c r="A199" i="1" s="1"/>
  <c r="A223" i="1" s="1"/>
  <c r="A34" i="1"/>
  <c r="A132" i="1"/>
  <c r="A79" i="1"/>
  <c r="A176" i="1"/>
  <c r="A57" i="1"/>
  <c r="A154" i="1"/>
  <c r="I34" i="25"/>
  <c r="U221" i="25"/>
  <c r="V8" i="25"/>
  <c r="W8" i="25" s="1"/>
  <c r="X8" i="25" s="1"/>
  <c r="Y8" i="25" s="1"/>
  <c r="Z8" i="25" s="1"/>
  <c r="AA8" i="25" s="1"/>
  <c r="AB8" i="25" s="1"/>
  <c r="AC8" i="25" s="1"/>
  <c r="AD8" i="25" s="1"/>
  <c r="AE8" i="25" s="1"/>
  <c r="AF8" i="25" s="1"/>
  <c r="AG8" i="25" s="1"/>
  <c r="AH8" i="25" s="1"/>
  <c r="AI8" i="25" s="1"/>
  <c r="AJ8" i="25" s="1"/>
  <c r="AK8" i="25" s="1"/>
  <c r="AL8" i="25" s="1"/>
  <c r="AM8" i="25" s="1"/>
  <c r="AN8" i="25" s="1"/>
  <c r="AO8" i="25" s="1"/>
  <c r="U197" i="25"/>
  <c r="T221" i="25" s="1"/>
  <c r="E34" i="25"/>
  <c r="B34" i="25"/>
  <c r="B53" i="25"/>
  <c r="B74" i="25" s="1"/>
  <c r="M34" i="25"/>
  <c r="A8" i="31"/>
  <c r="D63" i="12"/>
  <c r="C63" i="12"/>
  <c r="F63" i="12"/>
  <c r="G63" i="12"/>
  <c r="I64" i="12"/>
  <c r="J64" i="12" s="1"/>
  <c r="B9" i="31"/>
  <c r="C9" i="31"/>
  <c r="F56" i="1"/>
  <c r="E56" i="1" s="1"/>
  <c r="D56" i="1" s="1"/>
  <c r="E78" i="1" s="1"/>
  <c r="H78" i="1"/>
  <c r="D58" i="1"/>
  <c r="E80" i="1" s="1"/>
  <c r="D59" i="1"/>
  <c r="F81" i="1"/>
  <c r="B83" i="1"/>
  <c r="F80" i="1"/>
  <c r="D57" i="1"/>
  <c r="B60" i="1"/>
  <c r="C82" i="1" s="1"/>
  <c r="G33" i="25" l="1"/>
  <c r="G53" i="25"/>
  <c r="G69" i="25" s="1"/>
  <c r="M33" i="25"/>
  <c r="M53" i="25"/>
  <c r="M63" i="25" s="1"/>
  <c r="AW199" i="25"/>
  <c r="AU200" i="25"/>
  <c r="O33" i="25"/>
  <c r="O53" i="25"/>
  <c r="O61" i="25" s="1"/>
  <c r="L33" i="25"/>
  <c r="L53" i="25"/>
  <c r="L64" i="25" s="1"/>
  <c r="H33" i="25"/>
  <c r="H53" i="25"/>
  <c r="H68" i="25" s="1"/>
  <c r="B33" i="25"/>
  <c r="P33" i="25"/>
  <c r="P53" i="25"/>
  <c r="P60" i="25" s="1"/>
  <c r="A110" i="25"/>
  <c r="A198" i="25" s="1"/>
  <c r="A222" i="25" s="1"/>
  <c r="A78" i="25"/>
  <c r="C104" i="25" s="1"/>
  <c r="A56" i="25"/>
  <c r="A245" i="25"/>
  <c r="AS245" i="25" s="1"/>
  <c r="AS266" i="25" s="1"/>
  <c r="A33" i="25"/>
  <c r="A175" i="25"/>
  <c r="A131" i="25"/>
  <c r="A153" i="25"/>
  <c r="T53" i="25"/>
  <c r="U56" i="25"/>
  <c r="T33" i="25"/>
  <c r="R33" i="25"/>
  <c r="R53" i="25"/>
  <c r="R58" i="25" s="1"/>
  <c r="B8" i="31"/>
  <c r="C8" i="31"/>
  <c r="C33" i="25"/>
  <c r="C53" i="25"/>
  <c r="C73" i="25" s="1"/>
  <c r="D33" i="25"/>
  <c r="D53" i="25"/>
  <c r="D72" i="25" s="1"/>
  <c r="Q33" i="25"/>
  <c r="Q53" i="25"/>
  <c r="Q59" i="25" s="1"/>
  <c r="I33" i="25"/>
  <c r="I53" i="25"/>
  <c r="I67" i="25" s="1"/>
  <c r="A153" i="1"/>
  <c r="A175" i="1"/>
  <c r="A131" i="1"/>
  <c r="A56" i="1"/>
  <c r="A110" i="1"/>
  <c r="A198" i="1" s="1"/>
  <c r="A222" i="1" s="1"/>
  <c r="A78" i="1"/>
  <c r="C104" i="1" s="1"/>
  <c r="A33" i="1"/>
  <c r="A245" i="1"/>
  <c r="Z245" i="1" s="1"/>
  <c r="Z266" i="1" s="1"/>
  <c r="B96" i="25"/>
  <c r="C96" i="25"/>
  <c r="AD198" i="1"/>
  <c r="AB199" i="1"/>
  <c r="S33" i="25"/>
  <c r="S53" i="25"/>
  <c r="S57" i="25" s="1"/>
  <c r="J33" i="25"/>
  <c r="J53" i="25"/>
  <c r="J66" i="25" s="1"/>
  <c r="E33" i="25"/>
  <c r="E53" i="25"/>
  <c r="E71" i="25" s="1"/>
  <c r="K33" i="25"/>
  <c r="K53" i="25"/>
  <c r="K65" i="25" s="1"/>
  <c r="F33" i="25"/>
  <c r="F53" i="25"/>
  <c r="F70" i="25" s="1"/>
  <c r="N33" i="25"/>
  <c r="N53" i="25"/>
  <c r="N62" i="25" s="1"/>
  <c r="A7" i="31"/>
  <c r="B61" i="12"/>
  <c r="G62" i="12"/>
  <c r="F62" i="12"/>
  <c r="D62" i="12"/>
  <c r="C62" i="12"/>
  <c r="I63" i="12"/>
  <c r="J63" i="12" s="1"/>
  <c r="F78" i="1"/>
  <c r="G78" i="1"/>
  <c r="E81" i="1"/>
  <c r="B82" i="1"/>
  <c r="C57" i="1"/>
  <c r="D79" i="1" s="1"/>
  <c r="E79" i="1"/>
  <c r="C56" i="1"/>
  <c r="D78" i="1" s="1"/>
  <c r="C59" i="1"/>
  <c r="D81" i="1" s="1"/>
  <c r="C58" i="1"/>
  <c r="D80" i="1" s="1"/>
  <c r="T79" i="25" l="1"/>
  <c r="R57" i="25"/>
  <c r="B73" i="25"/>
  <c r="B95" i="25" s="1"/>
  <c r="D95" i="25"/>
  <c r="C95" i="25"/>
  <c r="N61" i="25"/>
  <c r="M61" i="25" s="1"/>
  <c r="O83" i="25"/>
  <c r="P83" i="25"/>
  <c r="M62" i="25"/>
  <c r="O84" i="25"/>
  <c r="L87" i="25"/>
  <c r="J65" i="25"/>
  <c r="I66" i="25"/>
  <c r="K88" i="25"/>
  <c r="O60" i="25"/>
  <c r="Q82" i="25"/>
  <c r="Q58" i="25"/>
  <c r="P58" i="25" s="1"/>
  <c r="R80" i="25"/>
  <c r="S80" i="25"/>
  <c r="L63" i="25"/>
  <c r="M85" i="25"/>
  <c r="N85" i="25"/>
  <c r="AB200" i="1"/>
  <c r="AD199" i="1"/>
  <c r="J89" i="25"/>
  <c r="H67" i="25"/>
  <c r="C72" i="25"/>
  <c r="D94" i="25"/>
  <c r="E94" i="25"/>
  <c r="K64" i="25"/>
  <c r="J64" i="25" s="1"/>
  <c r="L86" i="25"/>
  <c r="M86" i="25"/>
  <c r="AW200" i="25"/>
  <c r="AU201" i="25"/>
  <c r="H91" i="25"/>
  <c r="F69" i="25"/>
  <c r="G91" i="25"/>
  <c r="C7" i="31"/>
  <c r="C29" i="31" s="1"/>
  <c r="C30" i="31" s="1"/>
  <c r="B7" i="31"/>
  <c r="B29" i="31" s="1"/>
  <c r="B30" i="31" s="1"/>
  <c r="P59" i="25"/>
  <c r="R81" i="25"/>
  <c r="I90" i="25"/>
  <c r="G68" i="25"/>
  <c r="F61" i="12"/>
  <c r="D61" i="12"/>
  <c r="C61" i="12"/>
  <c r="G61" i="12"/>
  <c r="I62" i="12"/>
  <c r="J62" i="12" s="1"/>
  <c r="G92" i="25"/>
  <c r="E70" i="25"/>
  <c r="F92" i="25"/>
  <c r="D71" i="25"/>
  <c r="F93" i="25"/>
  <c r="T56" i="25"/>
  <c r="U78" i="25"/>
  <c r="B59" i="1"/>
  <c r="C81" i="1" s="1"/>
  <c r="B58" i="1"/>
  <c r="B56" i="1"/>
  <c r="C78" i="1" s="1"/>
  <c r="B57" i="1"/>
  <c r="C79" i="1" s="1"/>
  <c r="N60" i="25" l="1"/>
  <c r="O82" i="25"/>
  <c r="E93" i="25"/>
  <c r="C71" i="25"/>
  <c r="Q81" i="25"/>
  <c r="O59" i="25"/>
  <c r="P81" i="25"/>
  <c r="E69" i="25"/>
  <c r="F91" i="25"/>
  <c r="Q80" i="25"/>
  <c r="O58" i="25"/>
  <c r="G67" i="25"/>
  <c r="H89" i="25"/>
  <c r="I65" i="25"/>
  <c r="H65" i="25" s="1"/>
  <c r="J87" i="25"/>
  <c r="H90" i="25"/>
  <c r="F68" i="25"/>
  <c r="G90" i="25" s="1"/>
  <c r="B72" i="25"/>
  <c r="B94" i="25" s="1"/>
  <c r="K63" i="25"/>
  <c r="L85" i="25" s="1"/>
  <c r="J88" i="25"/>
  <c r="H66" i="25"/>
  <c r="I88" i="25"/>
  <c r="N83" i="25"/>
  <c r="L61" i="25"/>
  <c r="S79" i="25"/>
  <c r="Q57" i="25"/>
  <c r="S56" i="25"/>
  <c r="D70" i="25"/>
  <c r="C70" i="25" s="1"/>
  <c r="AU202" i="25"/>
  <c r="AW201" i="25"/>
  <c r="K86" i="25"/>
  <c r="I64" i="25"/>
  <c r="J86" i="25"/>
  <c r="I89" i="25"/>
  <c r="AD200" i="1"/>
  <c r="AB201" i="1"/>
  <c r="P82" i="25"/>
  <c r="K87" i="25"/>
  <c r="N84" i="25"/>
  <c r="L62" i="25"/>
  <c r="B80" i="1"/>
  <c r="B81" i="1"/>
  <c r="B79" i="1"/>
  <c r="C80" i="1"/>
  <c r="R56" i="25" l="1"/>
  <c r="S78" i="25"/>
  <c r="B71" i="25"/>
  <c r="B93" i="25" s="1"/>
  <c r="C93" i="25"/>
  <c r="M84" i="25"/>
  <c r="K62" i="25"/>
  <c r="AB202" i="1"/>
  <c r="AD201" i="1"/>
  <c r="H64" i="25"/>
  <c r="G64" i="25" s="1"/>
  <c r="I86" i="25"/>
  <c r="E92" i="25"/>
  <c r="R79" i="25"/>
  <c r="P57" i="25"/>
  <c r="I87" i="25"/>
  <c r="G65" i="25"/>
  <c r="N59" i="25"/>
  <c r="AW202" i="25"/>
  <c r="AU203" i="25"/>
  <c r="K61" i="25"/>
  <c r="J61" i="25" s="1"/>
  <c r="P80" i="25"/>
  <c r="N58" i="25"/>
  <c r="M58" i="25" s="1"/>
  <c r="O80" i="25"/>
  <c r="D92" i="25"/>
  <c r="B70" i="25"/>
  <c r="J63" i="25"/>
  <c r="K85" i="25"/>
  <c r="E68" i="25"/>
  <c r="D68" i="25" s="1"/>
  <c r="F90" i="25"/>
  <c r="T78" i="25"/>
  <c r="M83" i="25"/>
  <c r="G66" i="25"/>
  <c r="F66" i="25" s="1"/>
  <c r="H88" i="25"/>
  <c r="C94" i="25"/>
  <c r="F67" i="25"/>
  <c r="E67" i="25" s="1"/>
  <c r="D69" i="25"/>
  <c r="E91" i="25"/>
  <c r="D93" i="25"/>
  <c r="M60" i="25"/>
  <c r="L60" i="25" s="1"/>
  <c r="N82" i="25"/>
  <c r="C103" i="1"/>
  <c r="C106" i="1" s="1"/>
  <c r="F113" i="1" s="1"/>
  <c r="C102" i="1"/>
  <c r="K83" i="25" l="1"/>
  <c r="I61" i="25"/>
  <c r="J83" i="25"/>
  <c r="I63" i="25"/>
  <c r="H63" i="25" s="1"/>
  <c r="N80" i="25"/>
  <c r="L58" i="25"/>
  <c r="AW203" i="25"/>
  <c r="AU204" i="25"/>
  <c r="H87" i="25"/>
  <c r="F65" i="25"/>
  <c r="E65" i="25" s="1"/>
  <c r="G87" i="25"/>
  <c r="AD202" i="1"/>
  <c r="AB203" i="1"/>
  <c r="M59" i="25"/>
  <c r="N81" i="25"/>
  <c r="C69" i="25"/>
  <c r="B69" i="25" s="1"/>
  <c r="D91" i="25"/>
  <c r="C92" i="25"/>
  <c r="B92" i="25"/>
  <c r="L84" i="25"/>
  <c r="J62" i="25"/>
  <c r="F89" i="25"/>
  <c r="D67" i="25"/>
  <c r="M82" i="25"/>
  <c r="K60" i="25"/>
  <c r="L82" i="25"/>
  <c r="G89" i="25"/>
  <c r="G88" i="25"/>
  <c r="E66" i="25"/>
  <c r="F88" i="25"/>
  <c r="E90" i="25"/>
  <c r="C68" i="25"/>
  <c r="D90" i="25"/>
  <c r="L83" i="25"/>
  <c r="O81" i="25"/>
  <c r="Q79" i="25"/>
  <c r="O57" i="25"/>
  <c r="H86" i="25"/>
  <c r="F64" i="25"/>
  <c r="E64" i="25" s="1"/>
  <c r="Q56" i="25"/>
  <c r="R78" i="25"/>
  <c r="E111" i="1"/>
  <c r="C116" i="1"/>
  <c r="F121" i="1"/>
  <c r="C118" i="1"/>
  <c r="C122" i="1"/>
  <c r="L118" i="1"/>
  <c r="B119" i="1"/>
  <c r="E121" i="1"/>
  <c r="L117" i="1"/>
  <c r="P115" i="1"/>
  <c r="F115" i="1"/>
  <c r="D116" i="1"/>
  <c r="I116" i="1"/>
  <c r="I120" i="1"/>
  <c r="L114" i="1"/>
  <c r="H121" i="1"/>
  <c r="J110" i="1"/>
  <c r="D127" i="1"/>
  <c r="C128" i="1"/>
  <c r="J114" i="1"/>
  <c r="Q112" i="1"/>
  <c r="B125" i="1"/>
  <c r="G122" i="1"/>
  <c r="J115" i="1"/>
  <c r="C124" i="1"/>
  <c r="C112" i="1"/>
  <c r="T110" i="1"/>
  <c r="J121" i="1"/>
  <c r="H113" i="1"/>
  <c r="H119" i="1"/>
  <c r="N111" i="1"/>
  <c r="E114" i="1"/>
  <c r="Q111" i="1"/>
  <c r="E120" i="1"/>
  <c r="G114" i="1"/>
  <c r="M117" i="1"/>
  <c r="M112" i="1"/>
  <c r="B118" i="1"/>
  <c r="E110" i="1"/>
  <c r="P111" i="1"/>
  <c r="C120" i="1"/>
  <c r="M111" i="1"/>
  <c r="J120" i="1"/>
  <c r="O112" i="1"/>
  <c r="K120" i="1"/>
  <c r="G123" i="1"/>
  <c r="L112" i="1"/>
  <c r="H118" i="1"/>
  <c r="D118" i="1"/>
  <c r="S110" i="1"/>
  <c r="K119" i="1"/>
  <c r="O115" i="1"/>
  <c r="I117" i="1"/>
  <c r="H112" i="1"/>
  <c r="D125" i="1"/>
  <c r="Q114" i="1"/>
  <c r="D123" i="1"/>
  <c r="I118" i="1"/>
  <c r="F124" i="1"/>
  <c r="H114" i="1"/>
  <c r="L116" i="1"/>
  <c r="H122" i="1"/>
  <c r="B123" i="1"/>
  <c r="N110" i="1"/>
  <c r="J117" i="1"/>
  <c r="D111" i="1"/>
  <c r="G112" i="1"/>
  <c r="E119" i="1"/>
  <c r="C126" i="1"/>
  <c r="F125" i="1"/>
  <c r="K112" i="1"/>
  <c r="B114" i="1"/>
  <c r="D114" i="1"/>
  <c r="L119" i="1"/>
  <c r="C105" i="1"/>
  <c r="D121" i="1"/>
  <c r="B122" i="1"/>
  <c r="N117" i="1"/>
  <c r="H120" i="1"/>
  <c r="K117" i="1"/>
  <c r="M114" i="1"/>
  <c r="S112" i="1"/>
  <c r="F116" i="1"/>
  <c r="F118" i="1"/>
  <c r="G113" i="1"/>
  <c r="O110" i="1"/>
  <c r="B127" i="1"/>
  <c r="O111" i="1"/>
  <c r="C113" i="1"/>
  <c r="B111" i="1"/>
  <c r="C110" i="1"/>
  <c r="F122" i="1"/>
  <c r="D126" i="1"/>
  <c r="G117" i="1"/>
  <c r="B115" i="1"/>
  <c r="C115" i="1"/>
  <c r="D112" i="1"/>
  <c r="K115" i="1"/>
  <c r="G118" i="1"/>
  <c r="O113" i="1"/>
  <c r="Q110" i="1"/>
  <c r="I115" i="1"/>
  <c r="F120" i="1"/>
  <c r="M115" i="1"/>
  <c r="J112" i="1"/>
  <c r="E118" i="1"/>
  <c r="B124" i="1"/>
  <c r="E112" i="1"/>
  <c r="I119" i="1"/>
  <c r="F114" i="1"/>
  <c r="E123" i="1"/>
  <c r="C111" i="1"/>
  <c r="E124" i="1"/>
  <c r="I121" i="1"/>
  <c r="P110" i="1"/>
  <c r="G111" i="1"/>
  <c r="L110" i="1"/>
  <c r="L115" i="1"/>
  <c r="K118" i="1"/>
  <c r="M113" i="1"/>
  <c r="L113" i="1"/>
  <c r="B112" i="1"/>
  <c r="K116" i="1"/>
  <c r="C125" i="1"/>
  <c r="K111" i="1"/>
  <c r="I110" i="1"/>
  <c r="M110" i="1"/>
  <c r="C121" i="1"/>
  <c r="P114" i="1"/>
  <c r="D119" i="1"/>
  <c r="H117" i="1"/>
  <c r="C123" i="1"/>
  <c r="I112" i="1"/>
  <c r="D117" i="1"/>
  <c r="E117" i="1"/>
  <c r="C127" i="1"/>
  <c r="Q113" i="1"/>
  <c r="L111" i="1"/>
  <c r="E125" i="1"/>
  <c r="J118" i="1"/>
  <c r="E113" i="1"/>
  <c r="D110" i="1"/>
  <c r="G120" i="1"/>
  <c r="D115" i="1"/>
  <c r="F123" i="1"/>
  <c r="N113" i="1"/>
  <c r="C117" i="1"/>
  <c r="H110" i="1"/>
  <c r="C119" i="1"/>
  <c r="S111" i="1"/>
  <c r="B116" i="1"/>
  <c r="R111" i="1"/>
  <c r="G124" i="1"/>
  <c r="B126" i="1"/>
  <c r="I113" i="1"/>
  <c r="H116" i="1"/>
  <c r="G121" i="1"/>
  <c r="F112" i="1"/>
  <c r="F119" i="1"/>
  <c r="R110" i="1"/>
  <c r="E115" i="1"/>
  <c r="B117" i="1"/>
  <c r="M118" i="1"/>
  <c r="F110" i="1"/>
  <c r="P113" i="1"/>
  <c r="R113" i="1"/>
  <c r="D113" i="1"/>
  <c r="B121" i="1"/>
  <c r="O114" i="1"/>
  <c r="J116" i="1"/>
  <c r="H111" i="1"/>
  <c r="P112" i="1"/>
  <c r="N112" i="1"/>
  <c r="I114" i="1"/>
  <c r="J111" i="1"/>
  <c r="N115" i="1"/>
  <c r="E116" i="1"/>
  <c r="M116" i="1"/>
  <c r="J119" i="1"/>
  <c r="J113" i="1"/>
  <c r="G119" i="1"/>
  <c r="C114" i="1"/>
  <c r="G116" i="1"/>
  <c r="F117" i="1"/>
  <c r="O116" i="1"/>
  <c r="K110" i="1"/>
  <c r="G115" i="1"/>
  <c r="R112" i="1"/>
  <c r="I111" i="1"/>
  <c r="N116" i="1"/>
  <c r="I122" i="1"/>
  <c r="D122" i="1"/>
  <c r="K114" i="1"/>
  <c r="B113" i="1"/>
  <c r="E126" i="1"/>
  <c r="K113" i="1"/>
  <c r="F111" i="1"/>
  <c r="T111" i="1"/>
  <c r="G110" i="1"/>
  <c r="B120" i="1"/>
  <c r="B128" i="1"/>
  <c r="H115" i="1"/>
  <c r="D124" i="1"/>
  <c r="N114" i="1"/>
  <c r="H123" i="1"/>
  <c r="D120" i="1"/>
  <c r="E122" i="1"/>
  <c r="F86" i="25" l="1"/>
  <c r="D64" i="25"/>
  <c r="C64" i="25" s="1"/>
  <c r="E86" i="25"/>
  <c r="L59" i="25"/>
  <c r="F87" i="25"/>
  <c r="D65" i="25"/>
  <c r="M80" i="25"/>
  <c r="K58" i="25"/>
  <c r="L80" i="25"/>
  <c r="E89" i="25"/>
  <c r="C67" i="25"/>
  <c r="I85" i="25"/>
  <c r="G63" i="25"/>
  <c r="F63" i="25" s="1"/>
  <c r="H85" i="25"/>
  <c r="P56" i="25"/>
  <c r="P79" i="25"/>
  <c r="N57" i="25"/>
  <c r="O79" i="25"/>
  <c r="D66" i="25"/>
  <c r="E88" i="25"/>
  <c r="J60" i="25"/>
  <c r="K82" i="25"/>
  <c r="K84" i="25"/>
  <c r="I62" i="25"/>
  <c r="J84" i="25"/>
  <c r="AD203" i="1"/>
  <c r="AB204" i="1"/>
  <c r="H61" i="25"/>
  <c r="I83" i="25"/>
  <c r="G86" i="25"/>
  <c r="B68" i="25"/>
  <c r="B90" i="25" s="1"/>
  <c r="C90" i="25"/>
  <c r="C91" i="25"/>
  <c r="B91" i="25"/>
  <c r="AU205" i="25"/>
  <c r="AW204" i="25"/>
  <c r="J85" i="25"/>
  <c r="B110" i="1"/>
  <c r="J138" i="1" s="1"/>
  <c r="O131" i="1" l="1"/>
  <c r="I60" i="25"/>
  <c r="H60" i="25" s="1"/>
  <c r="M57" i="25"/>
  <c r="L57" i="25" s="1"/>
  <c r="E87" i="25"/>
  <c r="C65" i="25"/>
  <c r="D89" i="25"/>
  <c r="B67" i="25"/>
  <c r="J136" i="1"/>
  <c r="B146" i="1"/>
  <c r="G61" i="25"/>
  <c r="H62" i="25"/>
  <c r="G62" i="25" s="1"/>
  <c r="I84" i="25"/>
  <c r="G85" i="25"/>
  <c r="E63" i="25"/>
  <c r="D86" i="25"/>
  <c r="B64" i="25"/>
  <c r="B86" i="25" s="1"/>
  <c r="C86" i="25"/>
  <c r="G137" i="1"/>
  <c r="O56" i="25"/>
  <c r="P78" i="25"/>
  <c r="K59" i="25"/>
  <c r="J59" i="25" s="1"/>
  <c r="K134" i="1"/>
  <c r="O133" i="1"/>
  <c r="AU206" i="25"/>
  <c r="AW205" i="25"/>
  <c r="AD204" i="1"/>
  <c r="AB205" i="1"/>
  <c r="C66" i="25"/>
  <c r="B66" i="25" s="1"/>
  <c r="Q78" i="25"/>
  <c r="J58" i="25"/>
  <c r="K80" i="25"/>
  <c r="M81" i="25"/>
  <c r="E133" i="1"/>
  <c r="K136" i="1"/>
  <c r="H131" i="1"/>
  <c r="H131" i="25" s="1"/>
  <c r="I132" i="1"/>
  <c r="I132" i="25" s="1"/>
  <c r="J134" i="1"/>
  <c r="F136" i="1"/>
  <c r="D134" i="1"/>
  <c r="D134" i="25" s="1"/>
  <c r="Q134" i="1"/>
  <c r="Q134" i="25" s="1"/>
  <c r="I139" i="1"/>
  <c r="D143" i="1"/>
  <c r="O132" i="1"/>
  <c r="O132" i="25" s="1"/>
  <c r="H143" i="1"/>
  <c r="H143" i="25" s="1"/>
  <c r="N132" i="1"/>
  <c r="L136" i="1"/>
  <c r="E136" i="1"/>
  <c r="E136" i="25" s="1"/>
  <c r="I131" i="1"/>
  <c r="I131" i="25" s="1"/>
  <c r="C141" i="1"/>
  <c r="B137" i="1"/>
  <c r="O134" i="1"/>
  <c r="O134" i="25" s="1"/>
  <c r="N134" i="1"/>
  <c r="N134" i="25" s="1"/>
  <c r="G136" i="1"/>
  <c r="G142" i="1"/>
  <c r="D139" i="1"/>
  <c r="D139" i="25" s="1"/>
  <c r="F143" i="1"/>
  <c r="F143" i="25" s="1"/>
  <c r="J142" i="1"/>
  <c r="G141" i="1"/>
  <c r="J135" i="1"/>
  <c r="J135" i="25" s="1"/>
  <c r="M139" i="1"/>
  <c r="M139" i="25" s="1"/>
  <c r="H135" i="1"/>
  <c r="F137" i="1"/>
  <c r="E147" i="1"/>
  <c r="E147" i="25" s="1"/>
  <c r="M138" i="1"/>
  <c r="M138" i="25" s="1"/>
  <c r="I137" i="1"/>
  <c r="B132" i="1"/>
  <c r="O135" i="1"/>
  <c r="O135" i="25" s="1"/>
  <c r="K139" i="1"/>
  <c r="K139" i="25" s="1"/>
  <c r="E142" i="1"/>
  <c r="C135" i="1"/>
  <c r="T132" i="1"/>
  <c r="T132" i="25" s="1"/>
  <c r="H138" i="1"/>
  <c r="H138" i="25" s="1"/>
  <c r="M137" i="1"/>
  <c r="F144" i="1"/>
  <c r="C146" i="1"/>
  <c r="C146" i="25" s="1"/>
  <c r="E138" i="1"/>
  <c r="E138" i="25" s="1"/>
  <c r="B138" i="1"/>
  <c r="F135" i="1"/>
  <c r="P134" i="1"/>
  <c r="P134" i="25" s="1"/>
  <c r="L137" i="1"/>
  <c r="L137" i="25" s="1"/>
  <c r="U131" i="1"/>
  <c r="C134" i="1"/>
  <c r="E145" i="1"/>
  <c r="E145" i="25" s="1"/>
  <c r="P131" i="1"/>
  <c r="P131" i="25" s="1"/>
  <c r="I141" i="1"/>
  <c r="J132" i="1"/>
  <c r="B140" i="1"/>
  <c r="B140" i="25" s="1"/>
  <c r="G133" i="1"/>
  <c r="G133" i="25" s="1"/>
  <c r="B134" i="1"/>
  <c r="D144" i="1"/>
  <c r="B143" i="1"/>
  <c r="B143" i="25" s="1"/>
  <c r="P132" i="1"/>
  <c r="P132" i="25" s="1"/>
  <c r="G143" i="1"/>
  <c r="K132" i="1"/>
  <c r="I138" i="1"/>
  <c r="I138" i="25" s="1"/>
  <c r="C148" i="1"/>
  <c r="C148" i="25" s="1"/>
  <c r="H133" i="1"/>
  <c r="D135" i="1"/>
  <c r="B139" i="1"/>
  <c r="B139" i="25" s="1"/>
  <c r="B136" i="1"/>
  <c r="B136" i="25" s="1"/>
  <c r="D147" i="1"/>
  <c r="K140" i="1"/>
  <c r="B147" i="1"/>
  <c r="B147" i="25" s="1"/>
  <c r="G135" i="1"/>
  <c r="G135" i="25" s="1"/>
  <c r="F142" i="1"/>
  <c r="K137" i="1"/>
  <c r="M131" i="1"/>
  <c r="M131" i="25" s="1"/>
  <c r="F132" i="1"/>
  <c r="F132" i="25" s="1"/>
  <c r="H134" i="1"/>
  <c r="I133" i="1"/>
  <c r="B131" i="1"/>
  <c r="B131" i="25" s="1"/>
  <c r="L139" i="1"/>
  <c r="L139" i="25" s="1"/>
  <c r="C137" i="1"/>
  <c r="D142" i="1"/>
  <c r="C132" i="1"/>
  <c r="C132" i="25" s="1"/>
  <c r="F141" i="1"/>
  <c r="F141" i="25" s="1"/>
  <c r="S133" i="1"/>
  <c r="Q132" i="1"/>
  <c r="D131" i="1"/>
  <c r="D131" i="25" s="1"/>
  <c r="B141" i="1"/>
  <c r="B141" i="25" s="1"/>
  <c r="J141" i="1"/>
  <c r="F140" i="1"/>
  <c r="C145" i="1"/>
  <c r="C145" i="25" s="1"/>
  <c r="N136" i="1"/>
  <c r="N136" i="25" s="1"/>
  <c r="L138" i="1"/>
  <c r="C147" i="1"/>
  <c r="L134" i="1"/>
  <c r="L134" i="25" s="1"/>
  <c r="J137" i="1"/>
  <c r="J137" i="25" s="1"/>
  <c r="D148" i="1"/>
  <c r="D137" i="1"/>
  <c r="J139" i="1"/>
  <c r="J139" i="25" s="1"/>
  <c r="B149" i="1"/>
  <c r="B149" i="25" s="1"/>
  <c r="L140" i="1"/>
  <c r="E139" i="1"/>
  <c r="S132" i="1"/>
  <c r="S132" i="25" s="1"/>
  <c r="K138" i="1"/>
  <c r="K138" i="25" s="1"/>
  <c r="I143" i="1"/>
  <c r="H136" i="1"/>
  <c r="C133" i="1"/>
  <c r="C133" i="25" s="1"/>
  <c r="N137" i="1"/>
  <c r="N137" i="25" s="1"/>
  <c r="E132" i="1"/>
  <c r="B148" i="1"/>
  <c r="O136" i="1"/>
  <c r="O136" i="25" s="1"/>
  <c r="D138" i="1"/>
  <c r="D138" i="25" s="1"/>
  <c r="W111" i="1"/>
  <c r="W112" i="1" s="1"/>
  <c r="W113" i="1" s="1"/>
  <c r="W114" i="1" s="1"/>
  <c r="W115" i="1" s="1"/>
  <c r="W116" i="1" s="1"/>
  <c r="W117" i="1" s="1"/>
  <c r="W118" i="1" s="1"/>
  <c r="W119" i="1" s="1"/>
  <c r="E141" i="1"/>
  <c r="I134" i="1"/>
  <c r="I134" i="25" s="1"/>
  <c r="R131" i="1"/>
  <c r="R131" i="25" s="1"/>
  <c r="S131" i="1"/>
  <c r="F146" i="1"/>
  <c r="G140" i="1"/>
  <c r="G140" i="25" s="1"/>
  <c r="E135" i="1"/>
  <c r="E135" i="25" s="1"/>
  <c r="E146" i="1"/>
  <c r="G138" i="1"/>
  <c r="F145" i="1"/>
  <c r="F145" i="25" s="1"/>
  <c r="F138" i="1"/>
  <c r="F138" i="25" s="1"/>
  <c r="M132" i="1"/>
  <c r="C142" i="1"/>
  <c r="I142" i="1"/>
  <c r="I142" i="25" s="1"/>
  <c r="I136" i="1"/>
  <c r="I136" i="25" s="1"/>
  <c r="R134" i="1"/>
  <c r="R134" i="25" s="1"/>
  <c r="I135" i="1"/>
  <c r="C138" i="1"/>
  <c r="C138" i="25" s="1"/>
  <c r="F134" i="1"/>
  <c r="F134" i="25" s="1"/>
  <c r="G144" i="1"/>
  <c r="B133" i="1"/>
  <c r="G145" i="1"/>
  <c r="G145" i="25" s="1"/>
  <c r="D141" i="1"/>
  <c r="D141" i="25" s="1"/>
  <c r="E143" i="1"/>
  <c r="E143" i="25" s="1"/>
  <c r="N131" i="1"/>
  <c r="J131" i="1"/>
  <c r="J131" i="25" s="1"/>
  <c r="C140" i="1"/>
  <c r="C140" i="25" s="1"/>
  <c r="F139" i="1"/>
  <c r="H142" i="1"/>
  <c r="B142" i="1"/>
  <c r="B142" i="25" s="1"/>
  <c r="K135" i="1"/>
  <c r="K135" i="25" s="1"/>
  <c r="N135" i="1"/>
  <c r="N135" i="25" s="1"/>
  <c r="F131" i="1"/>
  <c r="H139" i="1"/>
  <c r="H139" i="25" s="1"/>
  <c r="C143" i="1"/>
  <c r="C143" i="25" s="1"/>
  <c r="B145" i="1"/>
  <c r="B145" i="25" s="1"/>
  <c r="J140" i="1"/>
  <c r="N133" i="1"/>
  <c r="N133" i="25" s="1"/>
  <c r="L133" i="1"/>
  <c r="L133" i="25" s="1"/>
  <c r="H137" i="1"/>
  <c r="D145" i="1"/>
  <c r="B144" i="1"/>
  <c r="B144" i="25" s="1"/>
  <c r="T131" i="1"/>
  <c r="T131" i="25" s="1"/>
  <c r="G134" i="1"/>
  <c r="G134" i="25" s="1"/>
  <c r="I140" i="1"/>
  <c r="R132" i="1"/>
  <c r="R132" i="25" s="1"/>
  <c r="E140" i="1"/>
  <c r="E140" i="25" s="1"/>
  <c r="N138" i="1"/>
  <c r="N138" i="25" s="1"/>
  <c r="K133" i="1"/>
  <c r="Q135" i="1"/>
  <c r="Q135" i="25" s="1"/>
  <c r="K131" i="1"/>
  <c r="K131" i="25" s="1"/>
  <c r="Q131" i="1"/>
  <c r="Q131" i="25" s="1"/>
  <c r="E134" i="1"/>
  <c r="P133" i="1"/>
  <c r="P133" i="25" s="1"/>
  <c r="C131" i="1"/>
  <c r="C131" i="25" s="1"/>
  <c r="D132" i="1"/>
  <c r="D132" i="25" s="1"/>
  <c r="O137" i="1"/>
  <c r="D136" i="1"/>
  <c r="D136" i="25" s="1"/>
  <c r="C139" i="1"/>
  <c r="G132" i="1"/>
  <c r="G132" i="25" s="1"/>
  <c r="B135" i="1"/>
  <c r="E137" i="1"/>
  <c r="E137" i="25" s="1"/>
  <c r="E131" i="1"/>
  <c r="E131" i="25" s="1"/>
  <c r="G131" i="1"/>
  <c r="G131" i="25" s="1"/>
  <c r="E144" i="1"/>
  <c r="C136" i="1"/>
  <c r="C136" i="25" s="1"/>
  <c r="M133" i="1"/>
  <c r="M133" i="25" s="1"/>
  <c r="C144" i="1"/>
  <c r="C144" i="25" s="1"/>
  <c r="M134" i="1"/>
  <c r="M134" i="25" s="1"/>
  <c r="B150" i="1"/>
  <c r="B150" i="25" s="1"/>
  <c r="F133" i="1"/>
  <c r="F133" i="25" s="1"/>
  <c r="D133" i="1"/>
  <c r="D133" i="25" s="1"/>
  <c r="D146" i="1"/>
  <c r="D146" i="25" s="1"/>
  <c r="Q133" i="1"/>
  <c r="Q133" i="25" s="1"/>
  <c r="M136" i="1"/>
  <c r="M136" i="25" s="1"/>
  <c r="H140" i="1"/>
  <c r="H140" i="25" s="1"/>
  <c r="C149" i="1"/>
  <c r="C149" i="25" s="1"/>
  <c r="P135" i="1"/>
  <c r="P135" i="25" s="1"/>
  <c r="G139" i="1"/>
  <c r="G139" i="25" s="1"/>
  <c r="H132" i="1"/>
  <c r="H132" i="25" s="1"/>
  <c r="M135" i="1"/>
  <c r="R133" i="1"/>
  <c r="R133" i="25" s="1"/>
  <c r="H144" i="1"/>
  <c r="H144" i="25" s="1"/>
  <c r="K141" i="1"/>
  <c r="K141" i="25" s="1"/>
  <c r="H141" i="1"/>
  <c r="H141" i="25" s="1"/>
  <c r="P136" i="1"/>
  <c r="P136" i="25" s="1"/>
  <c r="D140" i="1"/>
  <c r="D140" i="25" s="1"/>
  <c r="L135" i="1"/>
  <c r="L135" i="25" s="1"/>
  <c r="J133" i="1"/>
  <c r="J133" i="25" s="1"/>
  <c r="L132" i="1"/>
  <c r="L132" i="25" s="1"/>
  <c r="L131" i="1"/>
  <c r="L131" i="25" s="1"/>
  <c r="J136" i="25"/>
  <c r="E133" i="25"/>
  <c r="K134" i="25"/>
  <c r="N132" i="25"/>
  <c r="J142" i="25"/>
  <c r="L136" i="25"/>
  <c r="O131" i="25"/>
  <c r="B146" i="25"/>
  <c r="F136" i="25"/>
  <c r="C141" i="25"/>
  <c r="G136" i="25"/>
  <c r="F137" i="25"/>
  <c r="F131" i="25"/>
  <c r="L138" i="25"/>
  <c r="U131" i="25"/>
  <c r="K132" i="25"/>
  <c r="F146" i="25"/>
  <c r="E139" i="25"/>
  <c r="H133" i="25"/>
  <c r="I140" i="25"/>
  <c r="I143" i="25"/>
  <c r="E146" i="25"/>
  <c r="J132" i="25"/>
  <c r="E141" i="25"/>
  <c r="K136" i="25"/>
  <c r="M137" i="25"/>
  <c r="G137" i="25"/>
  <c r="F144" i="25"/>
  <c r="G141" i="25"/>
  <c r="J134" i="25"/>
  <c r="B138" i="25"/>
  <c r="O133" i="25"/>
  <c r="F135" i="25"/>
  <c r="H135" i="25"/>
  <c r="B137" i="25"/>
  <c r="C139" i="25"/>
  <c r="B135" i="25"/>
  <c r="E144" i="25"/>
  <c r="M135" i="25"/>
  <c r="C135" i="25"/>
  <c r="F142" i="25"/>
  <c r="K137" i="25"/>
  <c r="H134" i="25"/>
  <c r="I133" i="25"/>
  <c r="C137" i="25"/>
  <c r="D142" i="25"/>
  <c r="S133" i="25"/>
  <c r="Q132" i="25"/>
  <c r="J141" i="25"/>
  <c r="F140" i="25"/>
  <c r="D143" i="25"/>
  <c r="C147" i="25"/>
  <c r="I137" i="25"/>
  <c r="J140" i="25"/>
  <c r="D148" i="25"/>
  <c r="S131" i="25"/>
  <c r="B134" i="25"/>
  <c r="H137" i="25"/>
  <c r="G142" i="25"/>
  <c r="H136" i="25"/>
  <c r="K133" i="25"/>
  <c r="E132" i="25"/>
  <c r="K140" i="25"/>
  <c r="O137" i="25"/>
  <c r="C142" i="25"/>
  <c r="I135" i="25"/>
  <c r="G144" i="25"/>
  <c r="B133" i="25"/>
  <c r="N131" i="25"/>
  <c r="F139" i="25"/>
  <c r="H142" i="25"/>
  <c r="C134" i="25"/>
  <c r="D137" i="25"/>
  <c r="B132" i="25"/>
  <c r="D145" i="25"/>
  <c r="L140" i="25"/>
  <c r="D144" i="25"/>
  <c r="D135" i="25"/>
  <c r="I139" i="25"/>
  <c r="G138" i="25"/>
  <c r="I141" i="25"/>
  <c r="B148" i="25"/>
  <c r="D147" i="25"/>
  <c r="E142" i="25"/>
  <c r="E134" i="25"/>
  <c r="L155" i="1"/>
  <c r="L177" i="1" s="1"/>
  <c r="W120" i="1"/>
  <c r="W121" i="1" s="1"/>
  <c r="W122" i="1" s="1"/>
  <c r="W123" i="1" s="1"/>
  <c r="W124" i="1" s="1"/>
  <c r="W125" i="1" s="1"/>
  <c r="W126" i="1" s="1"/>
  <c r="W127" i="1" s="1"/>
  <c r="W128" i="1" s="1"/>
  <c r="M132" i="25"/>
  <c r="G143" i="25"/>
  <c r="J138" i="25"/>
  <c r="C88" i="25" l="1"/>
  <c r="B88" i="25"/>
  <c r="K81" i="25"/>
  <c r="I59" i="25"/>
  <c r="F61" i="25"/>
  <c r="G83" i="25"/>
  <c r="M79" i="25"/>
  <c r="K57" i="25"/>
  <c r="I58" i="25"/>
  <c r="J80" i="25"/>
  <c r="AB206" i="1"/>
  <c r="AD205" i="1"/>
  <c r="D87" i="25"/>
  <c r="B65" i="25"/>
  <c r="B87" i="25" s="1"/>
  <c r="C87" i="25"/>
  <c r="J82" i="25"/>
  <c r="AU207" i="25"/>
  <c r="AW206" i="25"/>
  <c r="N56" i="25"/>
  <c r="H84" i="25"/>
  <c r="F62" i="25"/>
  <c r="G84" i="25"/>
  <c r="I82" i="25"/>
  <c r="G60" i="25"/>
  <c r="H82" i="25"/>
  <c r="D88" i="25"/>
  <c r="L81" i="25"/>
  <c r="F85" i="25"/>
  <c r="D63" i="25"/>
  <c r="H83" i="25"/>
  <c r="C89" i="25"/>
  <c r="B89" i="25"/>
  <c r="N79" i="25"/>
  <c r="C154" i="1"/>
  <c r="C176" i="1" s="1"/>
  <c r="N158" i="1"/>
  <c r="N180" i="1" s="1"/>
  <c r="H159" i="1"/>
  <c r="H181" i="1" s="1"/>
  <c r="J154" i="1"/>
  <c r="J176" i="1" s="1"/>
  <c r="F168" i="1"/>
  <c r="F190" i="1" s="1"/>
  <c r="U153" i="1"/>
  <c r="U175" i="1" s="1"/>
  <c r="K153" i="1"/>
  <c r="K175" i="1" s="1"/>
  <c r="M158" i="1"/>
  <c r="M180" i="1" s="1"/>
  <c r="C156" i="1"/>
  <c r="C178" i="1" s="1"/>
  <c r="B155" i="1"/>
  <c r="B177" i="1" s="1"/>
  <c r="D165" i="1"/>
  <c r="D187" i="1" s="1"/>
  <c r="B170" i="1"/>
  <c r="B192" i="1" s="1"/>
  <c r="B215" i="1" s="1"/>
  <c r="B262" i="1" s="1"/>
  <c r="C160" i="1"/>
  <c r="C182" i="1" s="1"/>
  <c r="G167" i="1"/>
  <c r="G189" i="1" s="1"/>
  <c r="F157" i="1"/>
  <c r="F179" i="1" s="1"/>
  <c r="G164" i="1"/>
  <c r="G186" i="1" s="1"/>
  <c r="G155" i="1"/>
  <c r="G177" i="1" s="1"/>
  <c r="D167" i="1"/>
  <c r="D189" i="1" s="1"/>
  <c r="G160" i="1"/>
  <c r="G182" i="1" s="1"/>
  <c r="B161" i="1"/>
  <c r="B183" i="1" s="1"/>
  <c r="B206" i="1" s="1"/>
  <c r="B253" i="1" s="1"/>
  <c r="I158" i="1"/>
  <c r="I180" i="1" s="1"/>
  <c r="B163" i="1"/>
  <c r="B185" i="1" s="1"/>
  <c r="B208" i="1" s="1"/>
  <c r="B255" i="1" s="1"/>
  <c r="B166" i="1"/>
  <c r="B188" i="1" s="1"/>
  <c r="B211" i="1" s="1"/>
  <c r="B258" i="1" s="1"/>
  <c r="Q156" i="1"/>
  <c r="Q178" i="1" s="1"/>
  <c r="P153" i="1"/>
  <c r="P175" i="1" s="1"/>
  <c r="D161" i="1"/>
  <c r="D183" i="1" s="1"/>
  <c r="J163" i="1"/>
  <c r="J185" i="1" s="1"/>
  <c r="M157" i="1"/>
  <c r="M179" i="1" s="1"/>
  <c r="G159" i="1"/>
  <c r="G181" i="1" s="1"/>
  <c r="R156" i="1"/>
  <c r="R178" i="1" s="1"/>
  <c r="B156" i="1"/>
  <c r="B178" i="1" s="1"/>
  <c r="B201" i="1" s="1"/>
  <c r="B248" i="1" s="1"/>
  <c r="Q154" i="1"/>
  <c r="Q176" i="1" s="1"/>
  <c r="T154" i="1"/>
  <c r="T176" i="1" s="1"/>
  <c r="K156" i="1"/>
  <c r="K178" i="1" s="1"/>
  <c r="E162" i="1"/>
  <c r="E184" i="1" s="1"/>
  <c r="L159" i="1"/>
  <c r="L181" i="1" s="1"/>
  <c r="O156" i="1"/>
  <c r="O178" i="1" s="1"/>
  <c r="G158" i="1"/>
  <c r="G180" i="1" s="1"/>
  <c r="F165" i="1"/>
  <c r="F187" i="1" s="1"/>
  <c r="H158" i="1"/>
  <c r="H180" i="1" s="1"/>
  <c r="P157" i="1"/>
  <c r="P179" i="1" s="1"/>
  <c r="L158" i="1"/>
  <c r="L180" i="1" s="1"/>
  <c r="I154" i="1"/>
  <c r="I176" i="1" s="1"/>
  <c r="L156" i="1"/>
  <c r="L178" i="1" s="1"/>
  <c r="D153" i="1"/>
  <c r="D175" i="1" s="1"/>
  <c r="E159" i="1"/>
  <c r="E181" i="1" s="1"/>
  <c r="E168" i="1"/>
  <c r="E190" i="1" s="1"/>
  <c r="F158" i="1"/>
  <c r="F180" i="1" s="1"/>
  <c r="B168" i="1"/>
  <c r="B190" i="1" s="1"/>
  <c r="M154" i="1"/>
  <c r="M176" i="1" s="1"/>
  <c r="D169" i="1"/>
  <c r="D191" i="1" s="1"/>
  <c r="I160" i="1"/>
  <c r="I182" i="1" s="1"/>
  <c r="N157" i="1"/>
  <c r="N179" i="1" s="1"/>
  <c r="H164" i="1"/>
  <c r="H186" i="1" s="1"/>
  <c r="K162" i="1"/>
  <c r="K184" i="1" s="1"/>
  <c r="B157" i="1"/>
  <c r="B179" i="1" s="1"/>
  <c r="B202" i="1" s="1"/>
  <c r="B249" i="1" s="1"/>
  <c r="H165" i="1"/>
  <c r="H187" i="1" s="1"/>
  <c r="E169" i="1"/>
  <c r="E191" i="1" s="1"/>
  <c r="E164" i="1"/>
  <c r="E186" i="1" s="1"/>
  <c r="F167" i="1"/>
  <c r="F189" i="1" s="1"/>
  <c r="B171" i="1"/>
  <c r="B193" i="1" s="1"/>
  <c r="L161" i="1"/>
  <c r="L183" i="1" s="1"/>
  <c r="H156" i="1"/>
  <c r="H178" i="1" s="1"/>
  <c r="C157" i="1"/>
  <c r="C179" i="1" s="1"/>
  <c r="J155" i="1"/>
  <c r="J177" i="1" s="1"/>
  <c r="H153" i="1"/>
  <c r="H175" i="1" s="1"/>
  <c r="M160" i="1"/>
  <c r="M182" i="1" s="1"/>
  <c r="S154" i="1"/>
  <c r="S176" i="1" s="1"/>
  <c r="B153" i="1"/>
  <c r="B175" i="1" s="1"/>
  <c r="D155" i="1"/>
  <c r="D177" i="1" s="1"/>
  <c r="B160" i="1"/>
  <c r="B182" i="1" s="1"/>
  <c r="B205" i="1" s="1"/>
  <c r="B252" i="1" s="1"/>
  <c r="O154" i="1"/>
  <c r="O176" i="1" s="1"/>
  <c r="J158" i="1"/>
  <c r="J180" i="1" s="1"/>
  <c r="R153" i="1"/>
  <c r="R175" i="1" s="1"/>
  <c r="C170" i="1"/>
  <c r="C192" i="1" s="1"/>
  <c r="C167" i="1"/>
  <c r="C189" i="1" s="1"/>
  <c r="F154" i="1"/>
  <c r="F176" i="1" s="1"/>
  <c r="H166" i="1"/>
  <c r="H188" i="1" s="1"/>
  <c r="E167" i="1"/>
  <c r="E189" i="1" s="1"/>
  <c r="M161" i="1"/>
  <c r="M183" i="1" s="1"/>
  <c r="F161" i="1"/>
  <c r="F183" i="1" s="1"/>
  <c r="J162" i="1"/>
  <c r="J184" i="1" s="1"/>
  <c r="M155" i="1"/>
  <c r="M177" i="1" s="1"/>
  <c r="C161" i="1"/>
  <c r="C183" i="1" s="1"/>
  <c r="J156" i="1"/>
  <c r="J178" i="1" s="1"/>
  <c r="C155" i="1"/>
  <c r="C177" i="1" s="1"/>
  <c r="I157" i="1"/>
  <c r="I179" i="1" s="1"/>
  <c r="L153" i="1"/>
  <c r="L175" i="1" s="1"/>
  <c r="E154" i="1"/>
  <c r="E176" i="1" s="1"/>
  <c r="F164" i="1"/>
  <c r="F186" i="1" s="1"/>
  <c r="G163" i="1"/>
  <c r="G185" i="1" s="1"/>
  <c r="O158" i="1"/>
  <c r="O180" i="1" s="1"/>
  <c r="I162" i="1"/>
  <c r="I184" i="1" s="1"/>
  <c r="F159" i="1"/>
  <c r="F181" i="1" s="1"/>
  <c r="J160" i="1"/>
  <c r="J182" i="1" s="1"/>
  <c r="C162" i="1"/>
  <c r="C184" i="1" s="1"/>
  <c r="M153" i="1"/>
  <c r="M175" i="1" s="1"/>
  <c r="L154" i="1"/>
  <c r="L176" i="1" s="1"/>
  <c r="L157" i="1"/>
  <c r="L179" i="1" s="1"/>
  <c r="G161" i="1"/>
  <c r="G183" i="1" s="1"/>
  <c r="C171" i="1"/>
  <c r="C193" i="1" s="1"/>
  <c r="C216" i="1" s="1"/>
  <c r="B159" i="1"/>
  <c r="B181" i="1" s="1"/>
  <c r="B204" i="1" s="1"/>
  <c r="B251" i="1" s="1"/>
  <c r="K160" i="1"/>
  <c r="K182" i="1" s="1"/>
  <c r="N155" i="1"/>
  <c r="N177" i="1" s="1"/>
  <c r="K157" i="1"/>
  <c r="K179" i="1" s="1"/>
  <c r="H161" i="1"/>
  <c r="H183" i="1" s="1"/>
  <c r="F155" i="1"/>
  <c r="F177" i="1" s="1"/>
  <c r="C168" i="1"/>
  <c r="C190" i="1" s="1"/>
  <c r="N160" i="1"/>
  <c r="N182" i="1" s="1"/>
  <c r="O157" i="1"/>
  <c r="O179" i="1" s="1"/>
  <c r="I153" i="1"/>
  <c r="I175" i="1" s="1"/>
  <c r="G165" i="1"/>
  <c r="G187" i="1" s="1"/>
  <c r="C164" i="1"/>
  <c r="C186" i="1" s="1"/>
  <c r="O159" i="1"/>
  <c r="O181" i="1" s="1"/>
  <c r="G157" i="1"/>
  <c r="G179" i="1" s="1"/>
  <c r="D168" i="1"/>
  <c r="D190" i="1" s="1"/>
  <c r="C158" i="1"/>
  <c r="C180" i="1" s="1"/>
  <c r="G153" i="1"/>
  <c r="G175" i="1" s="1"/>
  <c r="E163" i="1"/>
  <c r="E185" i="1" s="1"/>
  <c r="I165" i="1"/>
  <c r="I187" i="1" s="1"/>
  <c r="B167" i="1"/>
  <c r="B189" i="1" s="1"/>
  <c r="O153" i="1"/>
  <c r="O175" i="1" s="1"/>
  <c r="E155" i="1"/>
  <c r="E177" i="1" s="1"/>
  <c r="B154" i="1"/>
  <c r="B176" i="1" s="1"/>
  <c r="D159" i="1"/>
  <c r="D181" i="1" s="1"/>
  <c r="I155" i="1"/>
  <c r="I177" i="1" s="1"/>
  <c r="P156" i="1"/>
  <c r="P178" i="1" s="1"/>
  <c r="P155" i="1"/>
  <c r="P177" i="1" s="1"/>
  <c r="F160" i="1"/>
  <c r="F182" i="1" s="1"/>
  <c r="N159" i="1"/>
  <c r="N181" i="1" s="1"/>
  <c r="J164" i="1"/>
  <c r="J186" i="1" s="1"/>
  <c r="I156" i="1"/>
  <c r="I178" i="1" s="1"/>
  <c r="D157" i="1"/>
  <c r="D179" i="1" s="1"/>
  <c r="N153" i="1"/>
  <c r="N175" i="1" s="1"/>
  <c r="C169" i="1"/>
  <c r="C191" i="1" s="1"/>
  <c r="C214" i="1" s="1"/>
  <c r="D164" i="1"/>
  <c r="D186" i="1" s="1"/>
  <c r="D162" i="1"/>
  <c r="D184" i="1" s="1"/>
  <c r="H163" i="1"/>
  <c r="H185" i="1" s="1"/>
  <c r="R155" i="1"/>
  <c r="R177" i="1" s="1"/>
  <c r="H154" i="1"/>
  <c r="H176" i="1" s="1"/>
  <c r="H162" i="1"/>
  <c r="H184" i="1" s="1"/>
  <c r="Q155" i="1"/>
  <c r="Q177" i="1" s="1"/>
  <c r="E153" i="1"/>
  <c r="E175" i="1" s="1"/>
  <c r="H160" i="1"/>
  <c r="H182" i="1" s="1"/>
  <c r="B169" i="1"/>
  <c r="B191" i="1" s="1"/>
  <c r="B214" i="1" s="1"/>
  <c r="B261" i="1" s="1"/>
  <c r="L160" i="1"/>
  <c r="L182" i="1" s="1"/>
  <c r="D166" i="1"/>
  <c r="D188" i="1" s="1"/>
  <c r="C153" i="1"/>
  <c r="C175" i="1" s="1"/>
  <c r="T153" i="1"/>
  <c r="T175" i="1" s="1"/>
  <c r="C159" i="1"/>
  <c r="C181" i="1" s="1"/>
  <c r="M156" i="1"/>
  <c r="M178" i="1" s="1"/>
  <c r="J159" i="1"/>
  <c r="J181" i="1" s="1"/>
  <c r="D156" i="1"/>
  <c r="D178" i="1" s="1"/>
  <c r="K154" i="1"/>
  <c r="K176" i="1" s="1"/>
  <c r="F153" i="1"/>
  <c r="F175" i="1" s="1"/>
  <c r="B213" i="1"/>
  <c r="B260" i="1" s="1"/>
  <c r="E156" i="1"/>
  <c r="E178" i="1" s="1"/>
  <c r="Q157" i="1"/>
  <c r="Q179" i="1" s="1"/>
  <c r="G156" i="1"/>
  <c r="G178" i="1" s="1"/>
  <c r="G162" i="1"/>
  <c r="G184" i="1" s="1"/>
  <c r="B164" i="1"/>
  <c r="B186" i="1" s="1"/>
  <c r="J153" i="1"/>
  <c r="J175" i="1" s="1"/>
  <c r="E165" i="1"/>
  <c r="E187" i="1" s="1"/>
  <c r="G166" i="1"/>
  <c r="G188" i="1" s="1"/>
  <c r="Q153" i="1"/>
  <c r="Q175" i="1" s="1"/>
  <c r="K155" i="1"/>
  <c r="K177" i="1" s="1"/>
  <c r="C206" i="1"/>
  <c r="R154" i="1"/>
  <c r="R176" i="1" s="1"/>
  <c r="E157" i="1"/>
  <c r="E179" i="1" s="1"/>
  <c r="S153" i="1"/>
  <c r="S175" i="1" s="1"/>
  <c r="F162" i="1"/>
  <c r="F184" i="1" s="1"/>
  <c r="F163" i="1"/>
  <c r="F185" i="1" s="1"/>
  <c r="K159" i="1"/>
  <c r="K181" i="1" s="1"/>
  <c r="P158" i="1"/>
  <c r="P180" i="1" s="1"/>
  <c r="K163" i="1"/>
  <c r="K185" i="1" s="1"/>
  <c r="B172" i="1"/>
  <c r="B194" i="1" s="1"/>
  <c r="B217" i="1" s="1"/>
  <c r="C166" i="1"/>
  <c r="C188" i="1" s="1"/>
  <c r="E160" i="1"/>
  <c r="E182" i="1" s="1"/>
  <c r="F166" i="1"/>
  <c r="F188" i="1" s="1"/>
  <c r="B158" i="1"/>
  <c r="B180" i="1" s="1"/>
  <c r="H155" i="1"/>
  <c r="H177" i="1" s="1"/>
  <c r="C163" i="1"/>
  <c r="C185" i="1" s="1"/>
  <c r="C165" i="1"/>
  <c r="C187" i="1" s="1"/>
  <c r="B162" i="1"/>
  <c r="B184" i="1" s="1"/>
  <c r="I164" i="1"/>
  <c r="I186" i="1" s="1"/>
  <c r="G154" i="1"/>
  <c r="G176" i="1" s="1"/>
  <c r="D158" i="1"/>
  <c r="D180" i="1" s="1"/>
  <c r="M159" i="1"/>
  <c r="M181" i="1" s="1"/>
  <c r="J157" i="1"/>
  <c r="J179" i="1" s="1"/>
  <c r="N154" i="1"/>
  <c r="N176" i="1" s="1"/>
  <c r="I163" i="1"/>
  <c r="I185" i="1" s="1"/>
  <c r="I161" i="1"/>
  <c r="I183" i="1" s="1"/>
  <c r="L162" i="1"/>
  <c r="L184" i="1" s="1"/>
  <c r="B199" i="1"/>
  <c r="B246" i="1" s="1"/>
  <c r="D163" i="1"/>
  <c r="D185" i="1" s="1"/>
  <c r="F156" i="1"/>
  <c r="F178" i="1" s="1"/>
  <c r="D160" i="1"/>
  <c r="D182" i="1" s="1"/>
  <c r="P154" i="1"/>
  <c r="P176" i="1" s="1"/>
  <c r="K161" i="1"/>
  <c r="K183" i="1" s="1"/>
  <c r="B216" i="1"/>
  <c r="B263" i="1" s="1"/>
  <c r="D170" i="1"/>
  <c r="D192" i="1" s="1"/>
  <c r="I159" i="1"/>
  <c r="I181" i="1" s="1"/>
  <c r="S155" i="1"/>
  <c r="S177" i="1" s="1"/>
  <c r="E166" i="1"/>
  <c r="E188" i="1" s="1"/>
  <c r="H157" i="1"/>
  <c r="H179" i="1" s="1"/>
  <c r="O155" i="1"/>
  <c r="O177" i="1" s="1"/>
  <c r="E158" i="1"/>
  <c r="E180" i="1" s="1"/>
  <c r="K158" i="1"/>
  <c r="K180" i="1" s="1"/>
  <c r="D154" i="1"/>
  <c r="D176" i="1" s="1"/>
  <c r="N156" i="1"/>
  <c r="N178" i="1" s="1"/>
  <c r="B165" i="1"/>
  <c r="B187" i="1" s="1"/>
  <c r="E161" i="1"/>
  <c r="E183" i="1" s="1"/>
  <c r="J161" i="1"/>
  <c r="J183" i="1" s="1"/>
  <c r="C211" i="1" l="1"/>
  <c r="E212" i="1"/>
  <c r="M56" i="25"/>
  <c r="N78" i="25"/>
  <c r="H59" i="25"/>
  <c r="I81" i="25"/>
  <c r="C204" i="1"/>
  <c r="C208" i="1"/>
  <c r="B232" i="1" s="1"/>
  <c r="C213" i="1"/>
  <c r="E85" i="25"/>
  <c r="C63" i="25"/>
  <c r="D85" i="25"/>
  <c r="E62" i="25"/>
  <c r="F84" i="25"/>
  <c r="AB207" i="1"/>
  <c r="AD206" i="1"/>
  <c r="D215" i="1"/>
  <c r="D262" i="1" s="1"/>
  <c r="C215" i="1"/>
  <c r="F60" i="25"/>
  <c r="G82" i="25"/>
  <c r="AW207" i="25"/>
  <c r="AU208" i="25"/>
  <c r="H58" i="25"/>
  <c r="I80" i="25"/>
  <c r="E61" i="25"/>
  <c r="F83" i="25"/>
  <c r="G212" i="1"/>
  <c r="O78" i="25"/>
  <c r="L79" i="25"/>
  <c r="J57" i="25"/>
  <c r="J81" i="25"/>
  <c r="E198" i="1"/>
  <c r="D222" i="1" s="1"/>
  <c r="D214" i="1"/>
  <c r="D205" i="1"/>
  <c r="D252" i="1" s="1"/>
  <c r="C205" i="1"/>
  <c r="C229" i="1" s="1"/>
  <c r="D198" i="1"/>
  <c r="E214" i="1"/>
  <c r="B198" i="1"/>
  <c r="B245" i="1" s="1"/>
  <c r="D201" i="1"/>
  <c r="D248" i="1" s="1"/>
  <c r="G198" i="1"/>
  <c r="G245" i="1" s="1"/>
  <c r="C198" i="1"/>
  <c r="C245" i="1" s="1"/>
  <c r="C201" i="1"/>
  <c r="C248" i="1" s="1"/>
  <c r="F212" i="1"/>
  <c r="E201" i="1"/>
  <c r="E248" i="1" s="1"/>
  <c r="D212" i="1"/>
  <c r="D236" i="1" s="1"/>
  <c r="E213" i="1"/>
  <c r="E260" i="1" s="1"/>
  <c r="G200" i="1"/>
  <c r="G247" i="1" s="1"/>
  <c r="B212" i="1"/>
  <c r="B259" i="1" s="1"/>
  <c r="C212" i="1"/>
  <c r="C259" i="1" s="1"/>
  <c r="L200" i="1"/>
  <c r="L247" i="1" s="1"/>
  <c r="G204" i="1"/>
  <c r="G251" i="1" s="1"/>
  <c r="D200" i="1"/>
  <c r="D247" i="1" s="1"/>
  <c r="H198" i="1"/>
  <c r="H245" i="1" s="1"/>
  <c r="F204" i="1"/>
  <c r="F251" i="1" s="1"/>
  <c r="I198" i="1"/>
  <c r="I245" i="1" s="1"/>
  <c r="D206" i="1"/>
  <c r="C230" i="1" s="1"/>
  <c r="F200" i="1"/>
  <c r="F247" i="1" s="1"/>
  <c r="C199" i="1"/>
  <c r="B223" i="1" s="1"/>
  <c r="H204" i="1"/>
  <c r="H251" i="1" s="1"/>
  <c r="R198" i="1"/>
  <c r="R245" i="1" s="1"/>
  <c r="C202" i="1"/>
  <c r="C249" i="1" s="1"/>
  <c r="E200" i="1"/>
  <c r="E204" i="1"/>
  <c r="E251" i="1" s="1"/>
  <c r="D204" i="1"/>
  <c r="D251" i="1" s="1"/>
  <c r="I204" i="1"/>
  <c r="D202" i="1"/>
  <c r="D249" i="1" s="1"/>
  <c r="B200" i="1"/>
  <c r="B247" i="1" s="1"/>
  <c r="C200" i="1"/>
  <c r="F213" i="1"/>
  <c r="E237" i="1" s="1"/>
  <c r="T198" i="1"/>
  <c r="T245" i="1" s="1"/>
  <c r="N199" i="1"/>
  <c r="N246" i="1" s="1"/>
  <c r="I206" i="1"/>
  <c r="I253" i="1" s="1"/>
  <c r="E211" i="1"/>
  <c r="E258" i="1" s="1"/>
  <c r="S198" i="1"/>
  <c r="J198" i="1"/>
  <c r="J245" i="1" s="1"/>
  <c r="O198" i="1"/>
  <c r="O245" i="1" s="1"/>
  <c r="L198" i="1"/>
  <c r="L245" i="1" s="1"/>
  <c r="P198" i="1"/>
  <c r="P245" i="1" s="1"/>
  <c r="M198" i="1"/>
  <c r="M245" i="1" s="1"/>
  <c r="F198" i="1"/>
  <c r="E222" i="1" s="1"/>
  <c r="K198" i="1"/>
  <c r="K245" i="1" s="1"/>
  <c r="J201" i="1"/>
  <c r="J248" i="1" s="1"/>
  <c r="D213" i="1"/>
  <c r="D260" i="1" s="1"/>
  <c r="Q201" i="1"/>
  <c r="Q248" i="1" s="1"/>
  <c r="N198" i="1"/>
  <c r="M222" i="1" s="1"/>
  <c r="Q198" i="1"/>
  <c r="Q245" i="1" s="1"/>
  <c r="U198" i="1"/>
  <c r="T222" i="1" s="1"/>
  <c r="J204" i="1"/>
  <c r="J251" i="1" s="1"/>
  <c r="M204" i="1"/>
  <c r="M251" i="1" s="1"/>
  <c r="O204" i="1"/>
  <c r="D211" i="1"/>
  <c r="D258" i="1" s="1"/>
  <c r="L204" i="1"/>
  <c r="L251" i="1" s="1"/>
  <c r="K204" i="1"/>
  <c r="K251" i="1" s="1"/>
  <c r="N204" i="1"/>
  <c r="N251" i="1" s="1"/>
  <c r="I201" i="1"/>
  <c r="F201" i="1"/>
  <c r="K201" i="1"/>
  <c r="K248" i="1" s="1"/>
  <c r="M201" i="1"/>
  <c r="M248" i="1" s="1"/>
  <c r="H201" i="1"/>
  <c r="H248" i="1" s="1"/>
  <c r="L202" i="1"/>
  <c r="L249" i="1" s="1"/>
  <c r="L201" i="1"/>
  <c r="G201" i="1"/>
  <c r="G248" i="1" s="1"/>
  <c r="C255" i="1"/>
  <c r="N201" i="1"/>
  <c r="Q199" i="1"/>
  <c r="R199" i="1"/>
  <c r="H199" i="1"/>
  <c r="D199" i="1"/>
  <c r="C262" i="1"/>
  <c r="H211" i="1"/>
  <c r="G211" i="1"/>
  <c r="J203" i="1"/>
  <c r="G203" i="1"/>
  <c r="N203" i="1"/>
  <c r="M203" i="1"/>
  <c r="E203" i="1"/>
  <c r="P203" i="1"/>
  <c r="H203" i="1"/>
  <c r="O203" i="1"/>
  <c r="D203" i="1"/>
  <c r="F203" i="1"/>
  <c r="I203" i="1"/>
  <c r="C203" i="1"/>
  <c r="L203" i="1"/>
  <c r="K203" i="1"/>
  <c r="B203" i="1"/>
  <c r="B250" i="1" s="1"/>
  <c r="G205" i="1"/>
  <c r="H205" i="1"/>
  <c r="F205" i="1"/>
  <c r="B264" i="1"/>
  <c r="I208" i="1"/>
  <c r="K208" i="1"/>
  <c r="C253" i="1"/>
  <c r="B230" i="1"/>
  <c r="K206" i="1"/>
  <c r="L206" i="1"/>
  <c r="I202" i="1"/>
  <c r="N202" i="1"/>
  <c r="J202" i="1"/>
  <c r="G202" i="1"/>
  <c r="I200" i="1"/>
  <c r="N200" i="1"/>
  <c r="H200" i="1"/>
  <c r="I210" i="1"/>
  <c r="G210" i="1"/>
  <c r="F210" i="1"/>
  <c r="H210" i="1"/>
  <c r="E210" i="1"/>
  <c r="D210" i="1"/>
  <c r="C210" i="1"/>
  <c r="B210" i="1"/>
  <c r="B257" i="1" s="1"/>
  <c r="R201" i="1"/>
  <c r="C263" i="1"/>
  <c r="B240" i="1"/>
  <c r="G199" i="1"/>
  <c r="I199" i="1"/>
  <c r="S199" i="1"/>
  <c r="K199" i="1"/>
  <c r="D238" i="1"/>
  <c r="E261" i="1"/>
  <c r="F211" i="1"/>
  <c r="N205" i="1"/>
  <c r="I205" i="1"/>
  <c r="M205" i="1"/>
  <c r="G208" i="1"/>
  <c r="H208" i="1"/>
  <c r="D208" i="1"/>
  <c r="M206" i="1"/>
  <c r="G206" i="1"/>
  <c r="F209" i="1"/>
  <c r="I209" i="1"/>
  <c r="C209" i="1"/>
  <c r="E209" i="1"/>
  <c r="B209" i="1"/>
  <c r="B256" i="1" s="1"/>
  <c r="D209" i="1"/>
  <c r="J209" i="1"/>
  <c r="H209" i="1"/>
  <c r="G209" i="1"/>
  <c r="E236" i="1"/>
  <c r="F259" i="1"/>
  <c r="Q202" i="1"/>
  <c r="K202" i="1"/>
  <c r="H202" i="1"/>
  <c r="P200" i="1"/>
  <c r="J200" i="1"/>
  <c r="C251" i="1"/>
  <c r="B228" i="1"/>
  <c r="D245" i="1"/>
  <c r="P201" i="1"/>
  <c r="O201" i="1"/>
  <c r="P199" i="1"/>
  <c r="J199" i="1"/>
  <c r="E199" i="1"/>
  <c r="O199" i="1"/>
  <c r="L199" i="1"/>
  <c r="C261" i="1"/>
  <c r="B238" i="1"/>
  <c r="C258" i="1"/>
  <c r="B235" i="1"/>
  <c r="K205" i="1"/>
  <c r="L205" i="1"/>
  <c r="F208" i="1"/>
  <c r="J208" i="1"/>
  <c r="J206" i="1"/>
  <c r="H206" i="1"/>
  <c r="E259" i="1"/>
  <c r="P202" i="1"/>
  <c r="E202" i="1"/>
  <c r="F202" i="1"/>
  <c r="R200" i="1"/>
  <c r="M200" i="1"/>
  <c r="O200" i="1"/>
  <c r="E245" i="1"/>
  <c r="T199" i="1"/>
  <c r="M199" i="1"/>
  <c r="F199" i="1"/>
  <c r="D261" i="1"/>
  <c r="C238" i="1"/>
  <c r="L207" i="1"/>
  <c r="D207" i="1"/>
  <c r="I207" i="1"/>
  <c r="K207" i="1"/>
  <c r="F207" i="1"/>
  <c r="E207" i="1"/>
  <c r="B207" i="1"/>
  <c r="B254" i="1" s="1"/>
  <c r="H207" i="1"/>
  <c r="C207" i="1"/>
  <c r="J207" i="1"/>
  <c r="G207" i="1"/>
  <c r="E205" i="1"/>
  <c r="J205" i="1"/>
  <c r="E208" i="1"/>
  <c r="F206" i="1"/>
  <c r="E206" i="1"/>
  <c r="C260" i="1"/>
  <c r="B237" i="1"/>
  <c r="G259" i="1"/>
  <c r="F236" i="1"/>
  <c r="M202" i="1"/>
  <c r="O202" i="1"/>
  <c r="S200" i="1"/>
  <c r="K200" i="1"/>
  <c r="Q200" i="1"/>
  <c r="U245" i="1"/>
  <c r="C239" i="1" l="1"/>
  <c r="B239" i="1"/>
  <c r="D61" i="25"/>
  <c r="C61" i="25" s="1"/>
  <c r="E83" i="25"/>
  <c r="D62" i="25"/>
  <c r="C62" i="25" s="1"/>
  <c r="G59" i="25"/>
  <c r="F59" i="25" s="1"/>
  <c r="H81" i="25"/>
  <c r="C252" i="1"/>
  <c r="K79" i="25"/>
  <c r="I57" i="25"/>
  <c r="H57" i="25" s="1"/>
  <c r="J79" i="25"/>
  <c r="AU209" i="25"/>
  <c r="AW208" i="25"/>
  <c r="B225" i="1"/>
  <c r="G58" i="25"/>
  <c r="H80" i="25"/>
  <c r="E60" i="25"/>
  <c r="D60" i="25" s="1"/>
  <c r="F82" i="25"/>
  <c r="AB208" i="1"/>
  <c r="AD207" i="1"/>
  <c r="B63" i="25"/>
  <c r="B85" i="25" s="1"/>
  <c r="C85" i="25"/>
  <c r="L56" i="25"/>
  <c r="K56" i="25" s="1"/>
  <c r="M78" i="25"/>
  <c r="C225" i="1"/>
  <c r="D259" i="1"/>
  <c r="B229" i="1"/>
  <c r="N245" i="1"/>
  <c r="D225" i="1"/>
  <c r="B222" i="1"/>
  <c r="C222" i="1"/>
  <c r="E225" i="1"/>
  <c r="C226" i="1"/>
  <c r="P222" i="1"/>
  <c r="C224" i="1"/>
  <c r="D224" i="1"/>
  <c r="D253" i="1"/>
  <c r="C236" i="1"/>
  <c r="F224" i="1"/>
  <c r="B224" i="1"/>
  <c r="F260" i="1"/>
  <c r="D228" i="1"/>
  <c r="I222" i="1"/>
  <c r="C235" i="1"/>
  <c r="L222" i="1"/>
  <c r="F228" i="1"/>
  <c r="C228" i="1"/>
  <c r="B236" i="1"/>
  <c r="J222" i="1"/>
  <c r="D235" i="1"/>
  <c r="H228" i="1"/>
  <c r="E224" i="1"/>
  <c r="E247" i="1"/>
  <c r="H222" i="1"/>
  <c r="I251" i="1"/>
  <c r="G222" i="1"/>
  <c r="K222" i="1"/>
  <c r="K224" i="1"/>
  <c r="C247" i="1"/>
  <c r="G228" i="1"/>
  <c r="K225" i="1"/>
  <c r="R222" i="1"/>
  <c r="B226" i="1"/>
  <c r="L228" i="1"/>
  <c r="C246" i="1"/>
  <c r="E228" i="1"/>
  <c r="I228" i="1"/>
  <c r="F225" i="1"/>
  <c r="N228" i="1"/>
  <c r="L248" i="1"/>
  <c r="K228" i="1"/>
  <c r="S245" i="1"/>
  <c r="S242" i="1"/>
  <c r="AC197" i="1" s="1"/>
  <c r="AE197" i="1" s="1"/>
  <c r="S222" i="1"/>
  <c r="O251" i="1"/>
  <c r="J228" i="1"/>
  <c r="J225" i="1"/>
  <c r="T242" i="1"/>
  <c r="AC198" i="1" s="1"/>
  <c r="AE198" i="1" s="1"/>
  <c r="G225" i="1"/>
  <c r="M228" i="1"/>
  <c r="H225" i="1"/>
  <c r="L225" i="1"/>
  <c r="C237" i="1"/>
  <c r="I248" i="1"/>
  <c r="F245" i="1"/>
  <c r="N222" i="1"/>
  <c r="F248" i="1"/>
  <c r="F222" i="1"/>
  <c r="D237" i="1"/>
  <c r="O222" i="1"/>
  <c r="I225" i="1"/>
  <c r="Q222" i="1"/>
  <c r="K226" i="1"/>
  <c r="D242" i="1"/>
  <c r="AC182" i="1" s="1"/>
  <c r="AF182" i="1" s="1"/>
  <c r="Q242" i="1"/>
  <c r="AC195" i="1" s="1"/>
  <c r="AE195" i="1" s="1"/>
  <c r="M242" i="1"/>
  <c r="AC191" i="1" s="1"/>
  <c r="AE191" i="1" s="1"/>
  <c r="B242" i="1"/>
  <c r="AC180" i="1" s="1"/>
  <c r="N242" i="1"/>
  <c r="AC192" i="1" s="1"/>
  <c r="AE192" i="1" s="1"/>
  <c r="H242" i="1"/>
  <c r="AC186" i="1" s="1"/>
  <c r="AE186" i="1" s="1"/>
  <c r="O249" i="1"/>
  <c r="N226" i="1"/>
  <c r="I254" i="1"/>
  <c r="H231" i="1"/>
  <c r="I230" i="1"/>
  <c r="J253" i="1"/>
  <c r="L246" i="1"/>
  <c r="K223" i="1"/>
  <c r="I231" i="1"/>
  <c r="J254" i="1"/>
  <c r="C231" i="1"/>
  <c r="D254" i="1"/>
  <c r="I229" i="1"/>
  <c r="J252" i="1"/>
  <c r="C254" i="1"/>
  <c r="B231" i="1"/>
  <c r="E231" i="1"/>
  <c r="F254" i="1"/>
  <c r="L254" i="1"/>
  <c r="K231" i="1"/>
  <c r="E226" i="1"/>
  <c r="F249" i="1"/>
  <c r="F255" i="1"/>
  <c r="E232" i="1"/>
  <c r="E246" i="1"/>
  <c r="D223" i="1"/>
  <c r="P248" i="1"/>
  <c r="O225" i="1"/>
  <c r="P226" i="1"/>
  <c r="Q249" i="1"/>
  <c r="J256" i="1"/>
  <c r="I233" i="1"/>
  <c r="C256" i="1"/>
  <c r="B233" i="1"/>
  <c r="H255" i="1"/>
  <c r="G232" i="1"/>
  <c r="N252" i="1"/>
  <c r="M229" i="1"/>
  <c r="K246" i="1"/>
  <c r="J223" i="1"/>
  <c r="B234" i="1"/>
  <c r="C257" i="1"/>
  <c r="F257" i="1"/>
  <c r="E234" i="1"/>
  <c r="H226" i="1"/>
  <c r="I249" i="1"/>
  <c r="F252" i="1"/>
  <c r="E229" i="1"/>
  <c r="K250" i="1"/>
  <c r="J227" i="1"/>
  <c r="E227" i="1"/>
  <c r="F250" i="1"/>
  <c r="P250" i="1"/>
  <c r="O227" i="1"/>
  <c r="G250" i="1"/>
  <c r="F227" i="1"/>
  <c r="K247" i="1"/>
  <c r="J224" i="1"/>
  <c r="O223" i="1"/>
  <c r="P246" i="1"/>
  <c r="H249" i="1"/>
  <c r="G226" i="1"/>
  <c r="Q247" i="1"/>
  <c r="P224" i="1"/>
  <c r="E253" i="1"/>
  <c r="D230" i="1"/>
  <c r="E252" i="1"/>
  <c r="D229" i="1"/>
  <c r="G231" i="1"/>
  <c r="H254" i="1"/>
  <c r="J231" i="1"/>
  <c r="K254" i="1"/>
  <c r="F246" i="1"/>
  <c r="E223" i="1"/>
  <c r="N224" i="1"/>
  <c r="O247" i="1"/>
  <c r="E249" i="1"/>
  <c r="D226" i="1"/>
  <c r="H253" i="1"/>
  <c r="G230" i="1"/>
  <c r="K229" i="1"/>
  <c r="L252" i="1"/>
  <c r="J246" i="1"/>
  <c r="I223" i="1"/>
  <c r="C242" i="1"/>
  <c r="AJ198" i="1"/>
  <c r="J247" i="1"/>
  <c r="I224" i="1"/>
  <c r="D256" i="1"/>
  <c r="C233" i="1"/>
  <c r="I256" i="1"/>
  <c r="H233" i="1"/>
  <c r="G255" i="1"/>
  <c r="F232" i="1"/>
  <c r="S246" i="1"/>
  <c r="R223" i="1"/>
  <c r="E242" i="1"/>
  <c r="D257" i="1"/>
  <c r="C234" i="1"/>
  <c r="G257" i="1"/>
  <c r="F234" i="1"/>
  <c r="I247" i="1"/>
  <c r="H224" i="1"/>
  <c r="G249" i="1"/>
  <c r="F226" i="1"/>
  <c r="H252" i="1"/>
  <c r="G229" i="1"/>
  <c r="K227" i="1"/>
  <c r="L250" i="1"/>
  <c r="C227" i="1"/>
  <c r="D250" i="1"/>
  <c r="D227" i="1"/>
  <c r="E250" i="1"/>
  <c r="J250" i="1"/>
  <c r="I227" i="1"/>
  <c r="C223" i="1"/>
  <c r="D246" i="1"/>
  <c r="R246" i="1"/>
  <c r="Q223" i="1"/>
  <c r="K242" i="1"/>
  <c r="AC189" i="1" s="1"/>
  <c r="R242" i="1"/>
  <c r="AC196" i="1" s="1"/>
  <c r="AE196" i="1" s="1"/>
  <c r="P225" i="1"/>
  <c r="G254" i="1"/>
  <c r="F231" i="1"/>
  <c r="M246" i="1"/>
  <c r="L223" i="1"/>
  <c r="L224" i="1"/>
  <c r="M247" i="1"/>
  <c r="F242" i="1"/>
  <c r="P247" i="1"/>
  <c r="O224" i="1"/>
  <c r="G256" i="1"/>
  <c r="F233" i="1"/>
  <c r="F256" i="1"/>
  <c r="E233" i="1"/>
  <c r="M253" i="1"/>
  <c r="N206" i="1"/>
  <c r="L230" i="1"/>
  <c r="M252" i="1"/>
  <c r="L229" i="1"/>
  <c r="I246" i="1"/>
  <c r="H223" i="1"/>
  <c r="J242" i="1"/>
  <c r="AC188" i="1" s="1"/>
  <c r="D234" i="1"/>
  <c r="E257" i="1"/>
  <c r="I257" i="1"/>
  <c r="H234" i="1"/>
  <c r="M224" i="1"/>
  <c r="N247" i="1"/>
  <c r="J249" i="1"/>
  <c r="I226" i="1"/>
  <c r="L253" i="1"/>
  <c r="K230" i="1"/>
  <c r="K255" i="1"/>
  <c r="J232" i="1"/>
  <c r="F229" i="1"/>
  <c r="G252" i="1"/>
  <c r="C250" i="1"/>
  <c r="B227" i="1"/>
  <c r="N227" i="1"/>
  <c r="O250" i="1"/>
  <c r="L227" i="1"/>
  <c r="M250" i="1"/>
  <c r="G258" i="1"/>
  <c r="F235" i="1"/>
  <c r="H246" i="1"/>
  <c r="G223" i="1"/>
  <c r="Q246" i="1"/>
  <c r="P223" i="1"/>
  <c r="I242" i="1"/>
  <c r="AC187" i="1" s="1"/>
  <c r="M223" i="1"/>
  <c r="F253" i="1"/>
  <c r="E230" i="1"/>
  <c r="P249" i="1"/>
  <c r="O226" i="1"/>
  <c r="J229" i="1"/>
  <c r="K252" i="1"/>
  <c r="P242" i="1"/>
  <c r="AC194" i="1" s="1"/>
  <c r="S247" i="1"/>
  <c r="R224" i="1"/>
  <c r="L226" i="1"/>
  <c r="M249" i="1"/>
  <c r="D232" i="1"/>
  <c r="E255" i="1"/>
  <c r="D231" i="1"/>
  <c r="E254" i="1"/>
  <c r="T246" i="1"/>
  <c r="S223" i="1"/>
  <c r="G242" i="1"/>
  <c r="R247" i="1"/>
  <c r="Q224" i="1"/>
  <c r="J255" i="1"/>
  <c r="I232" i="1"/>
  <c r="N223" i="1"/>
  <c r="O246" i="1"/>
  <c r="O248" i="1"/>
  <c r="N225" i="1"/>
  <c r="J226" i="1"/>
  <c r="K249" i="1"/>
  <c r="H256" i="1"/>
  <c r="G233" i="1"/>
  <c r="E256" i="1"/>
  <c r="D233" i="1"/>
  <c r="G253" i="1"/>
  <c r="F230" i="1"/>
  <c r="D255" i="1"/>
  <c r="C232" i="1"/>
  <c r="H229" i="1"/>
  <c r="I252" i="1"/>
  <c r="F258" i="1"/>
  <c r="E235" i="1"/>
  <c r="G246" i="1"/>
  <c r="F223" i="1"/>
  <c r="Q225" i="1"/>
  <c r="R248" i="1"/>
  <c r="L242" i="1"/>
  <c r="AC190" i="1" s="1"/>
  <c r="O242" i="1"/>
  <c r="H257" i="1"/>
  <c r="G234" i="1"/>
  <c r="H247" i="1"/>
  <c r="G224" i="1"/>
  <c r="N249" i="1"/>
  <c r="M226" i="1"/>
  <c r="K253" i="1"/>
  <c r="J230" i="1"/>
  <c r="I255" i="1"/>
  <c r="H232" i="1"/>
  <c r="I250" i="1"/>
  <c r="H227" i="1"/>
  <c r="H250" i="1"/>
  <c r="G227" i="1"/>
  <c r="M227" i="1"/>
  <c r="N250" i="1"/>
  <c r="H258" i="1"/>
  <c r="G235" i="1"/>
  <c r="N248" i="1"/>
  <c r="M225" i="1"/>
  <c r="H230" i="1"/>
  <c r="D84" i="25" l="1"/>
  <c r="B62" i="25"/>
  <c r="I211" i="1"/>
  <c r="L78" i="25"/>
  <c r="J56" i="25"/>
  <c r="AB209" i="1"/>
  <c r="AD208" i="1"/>
  <c r="F58" i="25"/>
  <c r="I79" i="25"/>
  <c r="G57" i="25"/>
  <c r="G81" i="25"/>
  <c r="E59" i="25"/>
  <c r="D83" i="25"/>
  <c r="B61" i="25"/>
  <c r="AW209" i="25"/>
  <c r="AU210" i="25"/>
  <c r="E82" i="25"/>
  <c r="C60" i="25"/>
  <c r="B60" i="25" s="1"/>
  <c r="D82" i="25"/>
  <c r="E84" i="25"/>
  <c r="U199" i="1"/>
  <c r="E215" i="1"/>
  <c r="E192" i="1" s="1"/>
  <c r="T200" i="1"/>
  <c r="T177" i="1" s="1"/>
  <c r="S201" i="1"/>
  <c r="T201" i="1" s="1"/>
  <c r="O205" i="1"/>
  <c r="O182" i="1" s="1"/>
  <c r="L208" i="1"/>
  <c r="L185" i="1" s="1"/>
  <c r="R202" i="1"/>
  <c r="R179" i="1" s="1"/>
  <c r="AE182" i="1"/>
  <c r="C217" i="1"/>
  <c r="D217" i="1" s="1"/>
  <c r="AF191" i="1"/>
  <c r="AF186" i="1"/>
  <c r="AF192" i="1"/>
  <c r="AE194" i="1"/>
  <c r="AF194" i="1"/>
  <c r="AC181" i="1"/>
  <c r="D216" i="1"/>
  <c r="K209" i="1"/>
  <c r="AC185" i="1"/>
  <c r="H212" i="1"/>
  <c r="AF187" i="1"/>
  <c r="AE187" i="1"/>
  <c r="J210" i="1"/>
  <c r="N183" i="1"/>
  <c r="O206" i="1"/>
  <c r="P205" i="1"/>
  <c r="M207" i="1"/>
  <c r="AF180" i="1"/>
  <c r="AE180" i="1"/>
  <c r="AC193" i="1"/>
  <c r="P204" i="1"/>
  <c r="AC184" i="1"/>
  <c r="G213" i="1"/>
  <c r="AC183" i="1"/>
  <c r="F214" i="1"/>
  <c r="U176" i="1"/>
  <c r="I188" i="1"/>
  <c r="J211" i="1"/>
  <c r="AE190" i="1"/>
  <c r="AF190" i="1"/>
  <c r="AE188" i="1"/>
  <c r="AF188" i="1"/>
  <c r="AF189" i="1"/>
  <c r="AE189" i="1"/>
  <c r="Q203" i="1"/>
  <c r="N253" i="1"/>
  <c r="O252" i="1"/>
  <c r="U246" i="1"/>
  <c r="I258" i="1"/>
  <c r="R249" i="1"/>
  <c r="L255" i="1"/>
  <c r="T247" i="1"/>
  <c r="E262" i="1"/>
  <c r="S178" i="1" l="1"/>
  <c r="E58" i="25"/>
  <c r="D58" i="25" s="1"/>
  <c r="F80" i="25"/>
  <c r="C82" i="25"/>
  <c r="B82" i="25"/>
  <c r="C83" i="25"/>
  <c r="B83" i="25"/>
  <c r="H79" i="25"/>
  <c r="F57" i="25"/>
  <c r="AD209" i="1"/>
  <c r="AB210" i="1"/>
  <c r="C84" i="25"/>
  <c r="B84" i="25"/>
  <c r="AW210" i="25"/>
  <c r="AU211" i="25"/>
  <c r="F81" i="25"/>
  <c r="D59" i="25"/>
  <c r="G80" i="25"/>
  <c r="K78" i="25"/>
  <c r="I56" i="25"/>
  <c r="J78" i="25"/>
  <c r="U200" i="1"/>
  <c r="F215" i="1"/>
  <c r="F192" i="1" s="1"/>
  <c r="M208" i="1"/>
  <c r="M185" i="1" s="1"/>
  <c r="S202" i="1"/>
  <c r="T202" i="1" s="1"/>
  <c r="C194" i="1"/>
  <c r="G190" i="1"/>
  <c r="H213" i="1"/>
  <c r="U177" i="1"/>
  <c r="AE183" i="1"/>
  <c r="AF183" i="1"/>
  <c r="AE184" i="1"/>
  <c r="AF184" i="1"/>
  <c r="P181" i="1"/>
  <c r="Q204" i="1"/>
  <c r="M184" i="1"/>
  <c r="N207" i="1"/>
  <c r="U201" i="1"/>
  <c r="T178" i="1"/>
  <c r="AE193" i="1"/>
  <c r="AF193" i="1"/>
  <c r="P182" i="1"/>
  <c r="Q205" i="1"/>
  <c r="K256" i="1"/>
  <c r="K186" i="1"/>
  <c r="L209" i="1"/>
  <c r="I212" i="1"/>
  <c r="H189" i="1"/>
  <c r="E216" i="1"/>
  <c r="D193" i="1"/>
  <c r="Q180" i="1"/>
  <c r="R203" i="1"/>
  <c r="J188" i="1"/>
  <c r="K211" i="1"/>
  <c r="F191" i="1"/>
  <c r="G214" i="1"/>
  <c r="P206" i="1"/>
  <c r="O183" i="1"/>
  <c r="J187" i="1"/>
  <c r="K210" i="1"/>
  <c r="AF185" i="1"/>
  <c r="AE185" i="1"/>
  <c r="E217" i="1"/>
  <c r="D194" i="1"/>
  <c r="AF181" i="1"/>
  <c r="AE181" i="1"/>
  <c r="S248" i="1"/>
  <c r="M254" i="1"/>
  <c r="T248" i="1"/>
  <c r="G260" i="1"/>
  <c r="J257" i="1"/>
  <c r="Q250" i="1"/>
  <c r="J258" i="1"/>
  <c r="D263" i="1"/>
  <c r="P251" i="1"/>
  <c r="F261" i="1"/>
  <c r="U247" i="1"/>
  <c r="P252" i="1"/>
  <c r="O253" i="1"/>
  <c r="M255" i="1"/>
  <c r="C264" i="1"/>
  <c r="F262" i="1"/>
  <c r="H259" i="1"/>
  <c r="E81" i="25" l="1"/>
  <c r="C59" i="25"/>
  <c r="H56" i="25"/>
  <c r="G56" i="25" s="1"/>
  <c r="G79" i="25"/>
  <c r="E57" i="25"/>
  <c r="G215" i="1"/>
  <c r="G192" i="1" s="1"/>
  <c r="AW211" i="25"/>
  <c r="AU212" i="25"/>
  <c r="AD210" i="1"/>
  <c r="AB211" i="1"/>
  <c r="E80" i="25"/>
  <c r="C58" i="25"/>
  <c r="B58" i="25" s="1"/>
  <c r="D80" i="25"/>
  <c r="S179" i="1"/>
  <c r="N208" i="1"/>
  <c r="N185" i="1" s="1"/>
  <c r="AG170" i="1"/>
  <c r="AI171" i="1"/>
  <c r="AH171" i="1"/>
  <c r="G191" i="1"/>
  <c r="H214" i="1"/>
  <c r="AI170" i="1"/>
  <c r="L211" i="1"/>
  <c r="K188" i="1"/>
  <c r="U202" i="1"/>
  <c r="T179" i="1"/>
  <c r="AH170" i="1"/>
  <c r="AJ199" i="1" s="1"/>
  <c r="R205" i="1"/>
  <c r="Q182" i="1"/>
  <c r="N184" i="1"/>
  <c r="O207" i="1"/>
  <c r="H190" i="1"/>
  <c r="I213" i="1"/>
  <c r="AG171" i="1"/>
  <c r="L186" i="1"/>
  <c r="M209" i="1"/>
  <c r="U178" i="1"/>
  <c r="K187" i="1"/>
  <c r="L210" i="1"/>
  <c r="S203" i="1"/>
  <c r="R180" i="1"/>
  <c r="E194" i="1"/>
  <c r="F217" i="1"/>
  <c r="Q206" i="1"/>
  <c r="P183" i="1"/>
  <c r="F216" i="1"/>
  <c r="E193" i="1"/>
  <c r="J212" i="1"/>
  <c r="I189" i="1"/>
  <c r="R204" i="1"/>
  <c r="Q181" i="1"/>
  <c r="D264" i="1"/>
  <c r="Q252" i="1"/>
  <c r="K258" i="1"/>
  <c r="U248" i="1"/>
  <c r="P253" i="1"/>
  <c r="L256" i="1"/>
  <c r="S249" i="1"/>
  <c r="K257" i="1"/>
  <c r="E263" i="1"/>
  <c r="G261" i="1"/>
  <c r="R250" i="1"/>
  <c r="N255" i="1"/>
  <c r="H260" i="1"/>
  <c r="N254" i="1"/>
  <c r="G262" i="1"/>
  <c r="Q251" i="1"/>
  <c r="I259" i="1"/>
  <c r="H78" i="25" l="1"/>
  <c r="F56" i="25"/>
  <c r="H215" i="1"/>
  <c r="F79" i="25"/>
  <c r="D57" i="25"/>
  <c r="E79" i="25"/>
  <c r="D81" i="25"/>
  <c r="B59" i="25"/>
  <c r="B81" i="25" s="1"/>
  <c r="AD211" i="1"/>
  <c r="AB212" i="1"/>
  <c r="C80" i="25"/>
  <c r="B80" i="25"/>
  <c r="AW212" i="25"/>
  <c r="AU213" i="25"/>
  <c r="I78" i="25"/>
  <c r="O208" i="1"/>
  <c r="O185" i="1" s="1"/>
  <c r="AI196" i="1"/>
  <c r="AH194" i="1"/>
  <c r="AH182" i="1"/>
  <c r="AH205" i="1"/>
  <c r="AH184" i="1"/>
  <c r="AH199" i="1"/>
  <c r="AH198" i="1"/>
  <c r="AH210" i="1"/>
  <c r="AH200" i="1"/>
  <c r="AH196" i="1"/>
  <c r="AH186" i="1"/>
  <c r="AH188" i="1"/>
  <c r="AH204" i="1"/>
  <c r="AH201" i="1"/>
  <c r="AH192" i="1"/>
  <c r="AH185" i="1"/>
  <c r="AH208" i="1"/>
  <c r="AH197" i="1"/>
  <c r="AH187" i="1"/>
  <c r="AH180" i="1"/>
  <c r="AH190" i="1"/>
  <c r="AH212" i="1"/>
  <c r="AH211" i="1"/>
  <c r="AH203" i="1"/>
  <c r="AH191" i="1"/>
  <c r="AH202" i="1"/>
  <c r="AH181" i="1"/>
  <c r="AH207" i="1"/>
  <c r="AH183" i="1"/>
  <c r="AH189" i="1"/>
  <c r="AH193" i="1"/>
  <c r="AH206" i="1"/>
  <c r="AI192" i="1"/>
  <c r="AI202" i="1"/>
  <c r="AI209" i="1"/>
  <c r="AI208" i="1"/>
  <c r="AI212" i="1"/>
  <c r="AI201" i="1"/>
  <c r="AI205" i="1"/>
  <c r="AI190" i="1"/>
  <c r="AG206" i="1"/>
  <c r="AG187" i="1"/>
  <c r="AG204" i="1"/>
  <c r="AG196" i="1"/>
  <c r="AG185" i="1"/>
  <c r="AG211" i="1"/>
  <c r="AG205" i="1"/>
  <c r="AG197" i="1"/>
  <c r="AG194" i="1"/>
  <c r="AG202" i="1"/>
  <c r="AG183" i="1"/>
  <c r="AG192" i="1"/>
  <c r="AG203" i="1"/>
  <c r="AG201" i="1"/>
  <c r="AG198" i="1"/>
  <c r="AG188" i="1"/>
  <c r="AG207" i="1"/>
  <c r="AG208" i="1"/>
  <c r="AG181" i="1"/>
  <c r="AG210" i="1"/>
  <c r="AG186" i="1"/>
  <c r="AG195" i="1"/>
  <c r="AG190" i="1"/>
  <c r="AG200" i="1"/>
  <c r="AG209" i="1"/>
  <c r="AG180" i="1"/>
  <c r="AG182" i="1"/>
  <c r="AG193" i="1"/>
  <c r="AG184" i="1"/>
  <c r="AG189" i="1"/>
  <c r="AG212" i="1"/>
  <c r="AG191" i="1"/>
  <c r="AG199" i="1"/>
  <c r="R206" i="1"/>
  <c r="Q183" i="1"/>
  <c r="R181" i="1"/>
  <c r="S204" i="1"/>
  <c r="F193" i="1"/>
  <c r="G216" i="1"/>
  <c r="T203" i="1"/>
  <c r="S180" i="1"/>
  <c r="AH195" i="1"/>
  <c r="J213" i="1"/>
  <c r="I190" i="1"/>
  <c r="I215" i="1"/>
  <c r="H192" i="1"/>
  <c r="AI189" i="1"/>
  <c r="AI204" i="1"/>
  <c r="AI198" i="1"/>
  <c r="AI210" i="1"/>
  <c r="AI184" i="1"/>
  <c r="AI180" i="1"/>
  <c r="AI197" i="1"/>
  <c r="AI211" i="1"/>
  <c r="H191" i="1"/>
  <c r="I214" i="1"/>
  <c r="AI188" i="1"/>
  <c r="M210" i="1"/>
  <c r="L187" i="1"/>
  <c r="P207" i="1"/>
  <c r="O184" i="1"/>
  <c r="AJ200" i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U179" i="1"/>
  <c r="AI203" i="1"/>
  <c r="AI206" i="1"/>
  <c r="AI200" i="1"/>
  <c r="AI199" i="1"/>
  <c r="AI207" i="1"/>
  <c r="AI186" i="1"/>
  <c r="AI182" i="1"/>
  <c r="AI194" i="1"/>
  <c r="P208" i="1"/>
  <c r="K212" i="1"/>
  <c r="J189" i="1"/>
  <c r="F194" i="1"/>
  <c r="G217" i="1"/>
  <c r="N209" i="1"/>
  <c r="M186" i="1"/>
  <c r="AH209" i="1"/>
  <c r="S205" i="1"/>
  <c r="R182" i="1"/>
  <c r="L188" i="1"/>
  <c r="M211" i="1"/>
  <c r="AI187" i="1"/>
  <c r="AI191" i="1"/>
  <c r="AI185" i="1"/>
  <c r="AI183" i="1"/>
  <c r="AI193" i="1"/>
  <c r="AI195" i="1"/>
  <c r="AI181" i="1"/>
  <c r="T249" i="1"/>
  <c r="J259" i="1"/>
  <c r="F263" i="1"/>
  <c r="O255" i="1"/>
  <c r="L258" i="1"/>
  <c r="E264" i="1"/>
  <c r="R252" i="1"/>
  <c r="H261" i="1"/>
  <c r="M256" i="1"/>
  <c r="Q253" i="1"/>
  <c r="R251" i="1"/>
  <c r="L257" i="1"/>
  <c r="H262" i="1"/>
  <c r="O254" i="1"/>
  <c r="S250" i="1"/>
  <c r="I260" i="1"/>
  <c r="G78" i="25" l="1"/>
  <c r="E56" i="25"/>
  <c r="D56" i="25" s="1"/>
  <c r="C81" i="25"/>
  <c r="C57" i="25"/>
  <c r="B57" i="25" s="1"/>
  <c r="D79" i="25"/>
  <c r="AU214" i="25"/>
  <c r="AW213" i="25"/>
  <c r="AD212" i="1"/>
  <c r="AB213" i="1"/>
  <c r="J190" i="1"/>
  <c r="K213" i="1"/>
  <c r="T180" i="1"/>
  <c r="U203" i="1"/>
  <c r="K189" i="1"/>
  <c r="L212" i="1"/>
  <c r="M188" i="1"/>
  <c r="N211" i="1"/>
  <c r="N186" i="1"/>
  <c r="O209" i="1"/>
  <c r="P185" i="1"/>
  <c r="Q208" i="1"/>
  <c r="P184" i="1"/>
  <c r="Q207" i="1"/>
  <c r="S182" i="1"/>
  <c r="T205" i="1"/>
  <c r="G194" i="1"/>
  <c r="H217" i="1"/>
  <c r="AJ169" i="1"/>
  <c r="I191" i="1"/>
  <c r="J214" i="1"/>
  <c r="G193" i="1"/>
  <c r="H216" i="1"/>
  <c r="T204" i="1"/>
  <c r="S181" i="1"/>
  <c r="J215" i="1"/>
  <c r="I192" i="1"/>
  <c r="R183" i="1"/>
  <c r="S206" i="1"/>
  <c r="M187" i="1"/>
  <c r="N210" i="1"/>
  <c r="F264" i="1"/>
  <c r="T250" i="1"/>
  <c r="I261" i="1"/>
  <c r="S251" i="1"/>
  <c r="P255" i="1"/>
  <c r="U249" i="1"/>
  <c r="M257" i="1"/>
  <c r="K259" i="1"/>
  <c r="G263" i="1"/>
  <c r="R253" i="1"/>
  <c r="I262" i="1"/>
  <c r="M258" i="1"/>
  <c r="N256" i="1"/>
  <c r="J260" i="1"/>
  <c r="P254" i="1"/>
  <c r="S252" i="1"/>
  <c r="AD213" i="1" l="1"/>
  <c r="AB214" i="1"/>
  <c r="AG213" i="1"/>
  <c r="AI213" i="1"/>
  <c r="AH213" i="1"/>
  <c r="C79" i="25"/>
  <c r="B79" i="25"/>
  <c r="E78" i="25"/>
  <c r="C56" i="25"/>
  <c r="AU215" i="25"/>
  <c r="AW214" i="25"/>
  <c r="F78" i="25"/>
  <c r="K214" i="1"/>
  <c r="J191" i="1"/>
  <c r="H193" i="1"/>
  <c r="I216" i="1"/>
  <c r="U205" i="1"/>
  <c r="T182" i="1"/>
  <c r="R207" i="1"/>
  <c r="Q184" i="1"/>
  <c r="P209" i="1"/>
  <c r="O186" i="1"/>
  <c r="N188" i="1"/>
  <c r="O211" i="1"/>
  <c r="L213" i="1"/>
  <c r="K190" i="1"/>
  <c r="T181" i="1"/>
  <c r="U204" i="1"/>
  <c r="O210" i="1"/>
  <c r="N187" i="1"/>
  <c r="J192" i="1"/>
  <c r="K215" i="1"/>
  <c r="T206" i="1"/>
  <c r="S183" i="1"/>
  <c r="H194" i="1"/>
  <c r="I217" i="1"/>
  <c r="R208" i="1"/>
  <c r="Q185" i="1"/>
  <c r="M212" i="1"/>
  <c r="L189" i="1"/>
  <c r="U180" i="1"/>
  <c r="G264" i="1"/>
  <c r="T252" i="1"/>
  <c r="N257" i="1"/>
  <c r="N258" i="1"/>
  <c r="Q255" i="1"/>
  <c r="T251" i="1"/>
  <c r="O256" i="1"/>
  <c r="L259" i="1"/>
  <c r="H263" i="1"/>
  <c r="J262" i="1"/>
  <c r="K260" i="1"/>
  <c r="S253" i="1"/>
  <c r="U250" i="1"/>
  <c r="J261" i="1"/>
  <c r="Q254" i="1"/>
  <c r="AW215" i="25" l="1"/>
  <c r="AU216" i="25"/>
  <c r="AD214" i="1"/>
  <c r="AB215" i="1"/>
  <c r="AG214" i="1"/>
  <c r="AI214" i="1"/>
  <c r="AH214" i="1"/>
  <c r="D78" i="25"/>
  <c r="B56" i="25"/>
  <c r="C78" i="25" s="1"/>
  <c r="C102" i="25" s="1"/>
  <c r="K192" i="1"/>
  <c r="L215" i="1"/>
  <c r="U181" i="1"/>
  <c r="P210" i="1"/>
  <c r="O187" i="1"/>
  <c r="L190" i="1"/>
  <c r="M213" i="1"/>
  <c r="Q209" i="1"/>
  <c r="P186" i="1"/>
  <c r="U182" i="1"/>
  <c r="J217" i="1"/>
  <c r="I194" i="1"/>
  <c r="P211" i="1"/>
  <c r="O188" i="1"/>
  <c r="J216" i="1"/>
  <c r="I193" i="1"/>
  <c r="N212" i="1"/>
  <c r="M189" i="1"/>
  <c r="S208" i="1"/>
  <c r="R185" i="1"/>
  <c r="T183" i="1"/>
  <c r="U206" i="1"/>
  <c r="S207" i="1"/>
  <c r="R184" i="1"/>
  <c r="K191" i="1"/>
  <c r="L214" i="1"/>
  <c r="H264" i="1"/>
  <c r="F8" i="31"/>
  <c r="K13" i="31"/>
  <c r="O257" i="1"/>
  <c r="L10" i="31"/>
  <c r="L8" i="31"/>
  <c r="E13" i="31"/>
  <c r="U251" i="1"/>
  <c r="I263" i="1"/>
  <c r="K262" i="1"/>
  <c r="R254" i="1"/>
  <c r="L260" i="1"/>
  <c r="M259" i="1"/>
  <c r="F10" i="31"/>
  <c r="K261" i="1"/>
  <c r="R255" i="1"/>
  <c r="P256" i="1"/>
  <c r="O258" i="1"/>
  <c r="T253" i="1"/>
  <c r="U252" i="1"/>
  <c r="C105" i="25" l="1"/>
  <c r="AW216" i="25"/>
  <c r="AU217" i="25"/>
  <c r="C103" i="25"/>
  <c r="C106" i="25" s="1"/>
  <c r="AD215" i="1"/>
  <c r="AB216" i="1"/>
  <c r="AI215" i="1"/>
  <c r="AG215" i="1"/>
  <c r="AH215" i="1"/>
  <c r="H13" i="31"/>
  <c r="I10" i="31"/>
  <c r="I8" i="31"/>
  <c r="R209" i="1"/>
  <c r="Q186" i="1"/>
  <c r="T207" i="1"/>
  <c r="S184" i="1"/>
  <c r="K216" i="1"/>
  <c r="J193" i="1"/>
  <c r="U183" i="1"/>
  <c r="N213" i="1"/>
  <c r="M190" i="1"/>
  <c r="T208" i="1"/>
  <c r="S185" i="1"/>
  <c r="O212" i="1"/>
  <c r="N189" i="1"/>
  <c r="P188" i="1"/>
  <c r="Q211" i="1"/>
  <c r="K217" i="1"/>
  <c r="J194" i="1"/>
  <c r="Q210" i="1"/>
  <c r="P187" i="1"/>
  <c r="M214" i="1"/>
  <c r="L191" i="1"/>
  <c r="L192" i="1"/>
  <c r="M215" i="1"/>
  <c r="I264" i="1"/>
  <c r="F9" i="31"/>
  <c r="F7" i="31"/>
  <c r="E12" i="31"/>
  <c r="E11" i="31"/>
  <c r="E10" i="31"/>
  <c r="N259" i="1"/>
  <c r="Q256" i="1"/>
  <c r="J263" i="1"/>
  <c r="L261" i="1"/>
  <c r="M260" i="1"/>
  <c r="L7" i="31"/>
  <c r="K10" i="31"/>
  <c r="L11" i="31"/>
  <c r="K7" i="31"/>
  <c r="K8" i="31"/>
  <c r="K9" i="31"/>
  <c r="F12" i="31"/>
  <c r="S254" i="1"/>
  <c r="U253" i="1"/>
  <c r="L9" i="31"/>
  <c r="K11" i="31"/>
  <c r="F11" i="31"/>
  <c r="E7" i="31"/>
  <c r="E8" i="31"/>
  <c r="E9" i="31"/>
  <c r="L12" i="31"/>
  <c r="P258" i="1"/>
  <c r="K12" i="31"/>
  <c r="S255" i="1"/>
  <c r="P257" i="1"/>
  <c r="L262" i="1"/>
  <c r="G120" i="25" l="1"/>
  <c r="E157" i="25" s="1"/>
  <c r="E179" i="25" s="1"/>
  <c r="H114" i="25"/>
  <c r="K118" i="25"/>
  <c r="G113" i="25"/>
  <c r="H161" i="25" s="1"/>
  <c r="H183" i="25" s="1"/>
  <c r="G118" i="25"/>
  <c r="K163" i="25" s="1"/>
  <c r="K185" i="25" s="1"/>
  <c r="C112" i="25"/>
  <c r="G156" i="25" s="1"/>
  <c r="G178" i="25" s="1"/>
  <c r="F113" i="25"/>
  <c r="B162" i="25" s="1"/>
  <c r="B184" i="25" s="1"/>
  <c r="K110" i="25"/>
  <c r="P154" i="25" s="1"/>
  <c r="P176" i="25" s="1"/>
  <c r="D126" i="25"/>
  <c r="B125" i="25"/>
  <c r="S154" i="25" s="1"/>
  <c r="S176" i="25" s="1"/>
  <c r="G114" i="25"/>
  <c r="D113" i="25"/>
  <c r="N111" i="25"/>
  <c r="E111" i="25"/>
  <c r="L160" i="25" s="1"/>
  <c r="L182" i="25" s="1"/>
  <c r="I120" i="25"/>
  <c r="J111" i="25"/>
  <c r="R153" i="25" s="1"/>
  <c r="R175" i="25" s="1"/>
  <c r="T110" i="25"/>
  <c r="C127" i="25"/>
  <c r="D153" i="25" s="1"/>
  <c r="D175" i="25" s="1"/>
  <c r="C126" i="25"/>
  <c r="F156" i="25" s="1"/>
  <c r="F178" i="25" s="1"/>
  <c r="B121" i="25"/>
  <c r="L161" i="25" s="1"/>
  <c r="L183" i="25" s="1"/>
  <c r="B119" i="25"/>
  <c r="N159" i="25" s="1"/>
  <c r="N181" i="25" s="1"/>
  <c r="P115" i="25"/>
  <c r="D124" i="25"/>
  <c r="D162" i="25" s="1"/>
  <c r="D184" i="25" s="1"/>
  <c r="O114" i="25"/>
  <c r="E125" i="25"/>
  <c r="R112" i="25"/>
  <c r="I154" i="25" s="1"/>
  <c r="I176" i="25" s="1"/>
  <c r="M117" i="25"/>
  <c r="I163" i="25" s="1"/>
  <c r="I185" i="25" s="1"/>
  <c r="D127" i="25"/>
  <c r="O111" i="25"/>
  <c r="M112" i="25"/>
  <c r="L117" i="25"/>
  <c r="I115" i="25"/>
  <c r="J154" i="25" s="1"/>
  <c r="J176" i="25" s="1"/>
  <c r="I114" i="25"/>
  <c r="H111" i="25"/>
  <c r="R154" i="25" s="1"/>
  <c r="R176" i="25" s="1"/>
  <c r="D123" i="25"/>
  <c r="J116" i="25"/>
  <c r="B154" i="25" s="1"/>
  <c r="B176" i="25" s="1"/>
  <c r="F114" i="25"/>
  <c r="N110" i="25"/>
  <c r="L113" i="25"/>
  <c r="F119" i="25"/>
  <c r="B155" i="25" s="1"/>
  <c r="B177" i="25" s="1"/>
  <c r="D119" i="25"/>
  <c r="K154" i="25" s="1"/>
  <c r="K176" i="25" s="1"/>
  <c r="M110" i="25"/>
  <c r="N157" i="25" s="1"/>
  <c r="N179" i="25" s="1"/>
  <c r="B126" i="25"/>
  <c r="L110" i="25"/>
  <c r="C116" i="25"/>
  <c r="J156" i="25" s="1"/>
  <c r="J178" i="25" s="1"/>
  <c r="H123" i="25"/>
  <c r="K119" i="25"/>
  <c r="O115" i="25"/>
  <c r="I165" i="25" s="1"/>
  <c r="I187" i="25" s="1"/>
  <c r="J117" i="25"/>
  <c r="P110" i="25"/>
  <c r="F166" i="25" s="1"/>
  <c r="F188" i="25" s="1"/>
  <c r="C120" i="25"/>
  <c r="M160" i="25" s="1"/>
  <c r="M182" i="25" s="1"/>
  <c r="C123" i="25"/>
  <c r="C124" i="25"/>
  <c r="K161" i="25" s="1"/>
  <c r="K183" i="25" s="1"/>
  <c r="L112" i="25"/>
  <c r="E164" i="25" s="1"/>
  <c r="E186" i="25" s="1"/>
  <c r="M118" i="25"/>
  <c r="G122" i="25"/>
  <c r="J110" i="25"/>
  <c r="O158" i="25" s="1"/>
  <c r="O180" i="25" s="1"/>
  <c r="H110" i="25"/>
  <c r="D125" i="25"/>
  <c r="B163" i="25" s="1"/>
  <c r="B185" i="25" s="1"/>
  <c r="Q110" i="25"/>
  <c r="E118" i="25"/>
  <c r="E114" i="25"/>
  <c r="B128" i="25"/>
  <c r="D114" i="25"/>
  <c r="B170" i="25" s="1"/>
  <c r="B192" i="25" s="1"/>
  <c r="C118" i="25"/>
  <c r="B123" i="25"/>
  <c r="S110" i="25"/>
  <c r="D112" i="25"/>
  <c r="D155" i="25" s="1"/>
  <c r="D177" i="25" s="1"/>
  <c r="K117" i="25"/>
  <c r="L111" i="25"/>
  <c r="N158" i="25" s="1"/>
  <c r="N180" i="25" s="1"/>
  <c r="O110" i="25"/>
  <c r="B116" i="25"/>
  <c r="Q114" i="25"/>
  <c r="B124" i="25"/>
  <c r="E121" i="25"/>
  <c r="Q112" i="25"/>
  <c r="F158" i="25" s="1"/>
  <c r="F180" i="25" s="1"/>
  <c r="B120" i="25"/>
  <c r="D116" i="25"/>
  <c r="E113" i="25"/>
  <c r="E168" i="25" s="1"/>
  <c r="E190" i="25" s="1"/>
  <c r="D122" i="25"/>
  <c r="L154" i="25" s="1"/>
  <c r="L176" i="25" s="1"/>
  <c r="B113" i="25"/>
  <c r="D120" i="25"/>
  <c r="E110" i="25"/>
  <c r="I116" i="25"/>
  <c r="M114" i="25"/>
  <c r="F121" i="25"/>
  <c r="E165" i="25" s="1"/>
  <c r="E187" i="25" s="1"/>
  <c r="P111" i="25"/>
  <c r="F115" i="25"/>
  <c r="L115" i="25"/>
  <c r="M116" i="25"/>
  <c r="J115" i="25"/>
  <c r="G117" i="25"/>
  <c r="H116" i="25"/>
  <c r="M115" i="25"/>
  <c r="N116" i="25"/>
  <c r="J121" i="25"/>
  <c r="H157" i="25" s="1"/>
  <c r="H179" i="25" s="1"/>
  <c r="E120" i="25"/>
  <c r="J120" i="25"/>
  <c r="B111" i="25"/>
  <c r="I112" i="25"/>
  <c r="C155" i="25" s="1"/>
  <c r="C177" i="25" s="1"/>
  <c r="C200" i="25" s="1"/>
  <c r="C121" i="25"/>
  <c r="F122" i="25"/>
  <c r="O156" i="25" s="1"/>
  <c r="O178" i="25" s="1"/>
  <c r="Q111" i="25"/>
  <c r="I159" i="25" s="1"/>
  <c r="I181" i="25" s="1"/>
  <c r="I118" i="25"/>
  <c r="D170" i="25" s="1"/>
  <c r="D192" i="25" s="1"/>
  <c r="F118" i="25"/>
  <c r="I111" i="25"/>
  <c r="G162" i="25" s="1"/>
  <c r="G184" i="25" s="1"/>
  <c r="R111" i="25"/>
  <c r="O113" i="25"/>
  <c r="B117" i="25"/>
  <c r="H165" i="25" s="1"/>
  <c r="H187" i="25" s="1"/>
  <c r="F125" i="25"/>
  <c r="J118" i="25"/>
  <c r="P155" i="25" s="1"/>
  <c r="P177" i="25" s="1"/>
  <c r="H118" i="25"/>
  <c r="M158" i="25" s="1"/>
  <c r="M180" i="25" s="1"/>
  <c r="N115" i="25"/>
  <c r="B118" i="25"/>
  <c r="E126" i="25"/>
  <c r="J155" i="25" s="1"/>
  <c r="J177" i="25" s="1"/>
  <c r="F120" i="25"/>
  <c r="M113" i="25"/>
  <c r="F154" i="25" s="1"/>
  <c r="F176" i="25" s="1"/>
  <c r="D118" i="25"/>
  <c r="D163" i="25" s="1"/>
  <c r="D185" i="25" s="1"/>
  <c r="H122" i="25"/>
  <c r="J119" i="25"/>
  <c r="I117" i="25"/>
  <c r="Q113" i="25"/>
  <c r="K115" i="25"/>
  <c r="B127" i="25"/>
  <c r="D115" i="25"/>
  <c r="C111" i="25"/>
  <c r="E116" i="25"/>
  <c r="I113" i="25"/>
  <c r="J113" i="25"/>
  <c r="L159" i="25" s="1"/>
  <c r="L181" i="25" s="1"/>
  <c r="S112" i="25"/>
  <c r="I121" i="25"/>
  <c r="F117" i="25"/>
  <c r="B115" i="25"/>
  <c r="E119" i="25"/>
  <c r="E154" i="25" s="1"/>
  <c r="E176" i="25" s="1"/>
  <c r="N114" i="25"/>
  <c r="C114" i="25"/>
  <c r="O112" i="25"/>
  <c r="C113" i="25"/>
  <c r="N117" i="25"/>
  <c r="B122" i="25"/>
  <c r="K112" i="25"/>
  <c r="U153" i="25" s="1"/>
  <c r="U175" i="25" s="1"/>
  <c r="D121" i="25"/>
  <c r="P112" i="25"/>
  <c r="C160" i="25" s="1"/>
  <c r="C182" i="25" s="1"/>
  <c r="G112" i="25"/>
  <c r="P113" i="25"/>
  <c r="D111" i="25"/>
  <c r="E124" i="25"/>
  <c r="C162" i="25" s="1"/>
  <c r="C184" i="25" s="1"/>
  <c r="E112" i="25"/>
  <c r="M111" i="25"/>
  <c r="L119" i="25"/>
  <c r="T111" i="25"/>
  <c r="D159" i="25" s="1"/>
  <c r="D181" i="25" s="1"/>
  <c r="B114" i="25"/>
  <c r="I119" i="25"/>
  <c r="G124" i="25"/>
  <c r="I153" i="25" s="1"/>
  <c r="I175" i="25" s="1"/>
  <c r="G123" i="25"/>
  <c r="E117" i="25"/>
  <c r="O154" i="25" s="1"/>
  <c r="O176" i="25" s="1"/>
  <c r="F124" i="25"/>
  <c r="C115" i="25"/>
  <c r="C119" i="25"/>
  <c r="D167" i="25" s="1"/>
  <c r="D189" i="25" s="1"/>
  <c r="K116" i="25"/>
  <c r="P114" i="25"/>
  <c r="F168" i="25" s="1"/>
  <c r="F190" i="25" s="1"/>
  <c r="H119" i="25"/>
  <c r="C166" i="25" s="1"/>
  <c r="C188" i="25" s="1"/>
  <c r="H113" i="25"/>
  <c r="F165" i="25" s="1"/>
  <c r="F187" i="25" s="1"/>
  <c r="J114" i="25"/>
  <c r="L116" i="25"/>
  <c r="K113" i="25"/>
  <c r="N112" i="25"/>
  <c r="E115" i="25"/>
  <c r="L158" i="25" s="1"/>
  <c r="L180" i="25" s="1"/>
  <c r="O116" i="25"/>
  <c r="H162" i="25" s="1"/>
  <c r="H184" i="25" s="1"/>
  <c r="F116" i="25"/>
  <c r="E158" i="25" s="1"/>
  <c r="E180" i="25" s="1"/>
  <c r="E123" i="25"/>
  <c r="S111" i="25"/>
  <c r="D117" i="25"/>
  <c r="E122" i="25"/>
  <c r="L114" i="25"/>
  <c r="K111" i="25"/>
  <c r="F162" i="25" s="1"/>
  <c r="F184" i="25" s="1"/>
  <c r="K114" i="25"/>
  <c r="F123" i="25"/>
  <c r="H163" i="25" s="1"/>
  <c r="H185" i="25" s="1"/>
  <c r="I110" i="25"/>
  <c r="G121" i="25"/>
  <c r="H121" i="25"/>
  <c r="R113" i="25"/>
  <c r="C128" i="25"/>
  <c r="E162" i="25" s="1"/>
  <c r="E184" i="25" s="1"/>
  <c r="L118" i="25"/>
  <c r="K160" i="25" s="1"/>
  <c r="K182" i="25" s="1"/>
  <c r="G111" i="25"/>
  <c r="G115" i="25"/>
  <c r="S153" i="25" s="1"/>
  <c r="S175" i="25" s="1"/>
  <c r="H117" i="25"/>
  <c r="G116" i="25"/>
  <c r="H115" i="25"/>
  <c r="C117" i="25"/>
  <c r="H120" i="25"/>
  <c r="C164" i="25" s="1"/>
  <c r="C186" i="25" s="1"/>
  <c r="F112" i="25"/>
  <c r="H158" i="25" s="1"/>
  <c r="H180" i="25" s="1"/>
  <c r="C122" i="25"/>
  <c r="D110" i="25"/>
  <c r="G167" i="25" s="1"/>
  <c r="G189" i="25" s="1"/>
  <c r="F111" i="25"/>
  <c r="R110" i="25"/>
  <c r="M157" i="25" s="1"/>
  <c r="M179" i="25" s="1"/>
  <c r="F110" i="25"/>
  <c r="B112" i="25"/>
  <c r="C110" i="25"/>
  <c r="O159" i="25" s="1"/>
  <c r="O181" i="25" s="1"/>
  <c r="H112" i="25"/>
  <c r="G119" i="25"/>
  <c r="P153" i="25" s="1"/>
  <c r="P175" i="25" s="1"/>
  <c r="G110" i="25"/>
  <c r="N113" i="25"/>
  <c r="G155" i="25" s="1"/>
  <c r="G177" i="25" s="1"/>
  <c r="I122" i="25"/>
  <c r="M161" i="25" s="1"/>
  <c r="M183" i="25" s="1"/>
  <c r="J112" i="25"/>
  <c r="I157" i="25" s="1"/>
  <c r="I179" i="25" s="1"/>
  <c r="C125" i="25"/>
  <c r="K120" i="25"/>
  <c r="AW217" i="25"/>
  <c r="AU218" i="25"/>
  <c r="AD216" i="1"/>
  <c r="AB217" i="1"/>
  <c r="AG216" i="1"/>
  <c r="AH216" i="1"/>
  <c r="AI216" i="1"/>
  <c r="I9" i="31"/>
  <c r="I11" i="31"/>
  <c r="I7" i="31"/>
  <c r="I12" i="31"/>
  <c r="H10" i="31"/>
  <c r="H9" i="31"/>
  <c r="H11" i="31"/>
  <c r="H8" i="31"/>
  <c r="H12" i="31"/>
  <c r="H7" i="31"/>
  <c r="N214" i="1"/>
  <c r="M191" i="1"/>
  <c r="R211" i="1"/>
  <c r="Q188" i="1"/>
  <c r="M192" i="1"/>
  <c r="N215" i="1"/>
  <c r="R210" i="1"/>
  <c r="Q187" i="1"/>
  <c r="L217" i="1"/>
  <c r="K194" i="1"/>
  <c r="O189" i="1"/>
  <c r="P212" i="1"/>
  <c r="U208" i="1"/>
  <c r="T185" i="1"/>
  <c r="U207" i="1"/>
  <c r="T184" i="1"/>
  <c r="N190" i="1"/>
  <c r="O213" i="1"/>
  <c r="L216" i="1"/>
  <c r="K193" i="1"/>
  <c r="S209" i="1"/>
  <c r="R186" i="1"/>
  <c r="J264" i="1"/>
  <c r="Q258" i="1"/>
  <c r="Q257" i="1"/>
  <c r="N260" i="1"/>
  <c r="L14" i="31"/>
  <c r="L13" i="31"/>
  <c r="F14" i="31"/>
  <c r="M262" i="1"/>
  <c r="T255" i="1"/>
  <c r="K263" i="1"/>
  <c r="T254" i="1"/>
  <c r="F13" i="31"/>
  <c r="M261" i="1"/>
  <c r="R256" i="1"/>
  <c r="O259" i="1"/>
  <c r="AW218" i="25" l="1"/>
  <c r="AU219" i="25"/>
  <c r="AW219" i="25" s="1"/>
  <c r="L155" i="25"/>
  <c r="L177" i="25" s="1"/>
  <c r="H153" i="25"/>
  <c r="H175" i="25" s="1"/>
  <c r="N160" i="25"/>
  <c r="N182" i="25" s="1"/>
  <c r="I156" i="25"/>
  <c r="I178" i="25" s="1"/>
  <c r="K155" i="25"/>
  <c r="K177" i="25" s="1"/>
  <c r="G161" i="25"/>
  <c r="G183" i="25" s="1"/>
  <c r="D161" i="25"/>
  <c r="D183" i="25" s="1"/>
  <c r="C170" i="25"/>
  <c r="C192" i="25" s="1"/>
  <c r="D215" i="25" s="1"/>
  <c r="AB218" i="1"/>
  <c r="AD217" i="1"/>
  <c r="AH217" i="1"/>
  <c r="AG217" i="1"/>
  <c r="AI217" i="1"/>
  <c r="G159" i="25"/>
  <c r="G181" i="25" s="1"/>
  <c r="C165" i="25"/>
  <c r="C187" i="25" s="1"/>
  <c r="N154" i="25"/>
  <c r="N176" i="25" s="1"/>
  <c r="Q156" i="25"/>
  <c r="Q178" i="25" s="1"/>
  <c r="I160" i="25"/>
  <c r="I182" i="25" s="1"/>
  <c r="C159" i="25"/>
  <c r="C181" i="25" s="1"/>
  <c r="D157" i="25"/>
  <c r="D179" i="25" s="1"/>
  <c r="G166" i="25"/>
  <c r="G188" i="25" s="1"/>
  <c r="G157" i="25"/>
  <c r="G179" i="25" s="1"/>
  <c r="S155" i="25"/>
  <c r="S177" i="25" s="1"/>
  <c r="O157" i="25"/>
  <c r="O179" i="25" s="1"/>
  <c r="I155" i="25"/>
  <c r="I177" i="25" s="1"/>
  <c r="F160" i="25"/>
  <c r="F182" i="25" s="1"/>
  <c r="G165" i="25"/>
  <c r="G187" i="25" s="1"/>
  <c r="B165" i="25"/>
  <c r="B187" i="25" s="1"/>
  <c r="P156" i="25"/>
  <c r="P178" i="25" s="1"/>
  <c r="C247" i="25"/>
  <c r="B168" i="25"/>
  <c r="B190" i="25" s="1"/>
  <c r="F159" i="25"/>
  <c r="F181" i="25" s="1"/>
  <c r="C158" i="25"/>
  <c r="C180" i="25" s="1"/>
  <c r="Q154" i="25"/>
  <c r="Q176" i="25" s="1"/>
  <c r="T153" i="25"/>
  <c r="T175" i="25" s="1"/>
  <c r="B215" i="25"/>
  <c r="B262" i="25" s="1"/>
  <c r="L157" i="25"/>
  <c r="L179" i="25" s="1"/>
  <c r="B164" i="25"/>
  <c r="B186" i="25" s="1"/>
  <c r="T154" i="25"/>
  <c r="T176" i="25" s="1"/>
  <c r="G158" i="25"/>
  <c r="G180" i="25" s="1"/>
  <c r="L153" i="25"/>
  <c r="L175" i="25" s="1"/>
  <c r="J160" i="25"/>
  <c r="J182" i="25" s="1"/>
  <c r="H154" i="25"/>
  <c r="H176" i="25" s="1"/>
  <c r="B200" i="25"/>
  <c r="B247" i="25" s="1"/>
  <c r="D200" i="25"/>
  <c r="E200" i="25"/>
  <c r="B199" i="25"/>
  <c r="B246" i="25" s="1"/>
  <c r="H160" i="25"/>
  <c r="H182" i="25" s="1"/>
  <c r="C168" i="25"/>
  <c r="C190" i="25" s="1"/>
  <c r="H156" i="25"/>
  <c r="H178" i="25" s="1"/>
  <c r="E160" i="25"/>
  <c r="E182" i="25" s="1"/>
  <c r="C156" i="25"/>
  <c r="C178" i="25" s="1"/>
  <c r="C153" i="25"/>
  <c r="C175" i="25" s="1"/>
  <c r="E169" i="25"/>
  <c r="E191" i="25" s="1"/>
  <c r="G153" i="25"/>
  <c r="G175" i="25" s="1"/>
  <c r="B153" i="25"/>
  <c r="B175" i="25" s="1"/>
  <c r="L162" i="25"/>
  <c r="L184" i="25" s="1"/>
  <c r="M154" i="25"/>
  <c r="M176" i="25" s="1"/>
  <c r="C171" i="25"/>
  <c r="C193" i="25" s="1"/>
  <c r="G163" i="25"/>
  <c r="G185" i="25" s="1"/>
  <c r="D168" i="25"/>
  <c r="D190" i="25" s="1"/>
  <c r="I158" i="25"/>
  <c r="I180" i="25" s="1"/>
  <c r="B166" i="25"/>
  <c r="B188" i="25" s="1"/>
  <c r="K159" i="25"/>
  <c r="K181" i="25" s="1"/>
  <c r="B171" i="25"/>
  <c r="B193" i="25" s="1"/>
  <c r="B216" i="25" s="1"/>
  <c r="B263" i="25" s="1"/>
  <c r="M156" i="25"/>
  <c r="M178" i="25" s="1"/>
  <c r="D166" i="25"/>
  <c r="D188" i="25" s="1"/>
  <c r="F161" i="25"/>
  <c r="F183" i="25" s="1"/>
  <c r="E159" i="25"/>
  <c r="E181" i="25" s="1"/>
  <c r="M153" i="25"/>
  <c r="M175" i="25" s="1"/>
  <c r="B167" i="25"/>
  <c r="B189" i="25" s="1"/>
  <c r="Q157" i="25"/>
  <c r="Q179" i="25" s="1"/>
  <c r="G154" i="25"/>
  <c r="G176" i="25" s="1"/>
  <c r="J199" i="25" s="1"/>
  <c r="F155" i="25"/>
  <c r="F177" i="25" s="1"/>
  <c r="Q153" i="25"/>
  <c r="Q175" i="25" s="1"/>
  <c r="K158" i="25"/>
  <c r="K180" i="25" s="1"/>
  <c r="C163" i="25"/>
  <c r="C185" i="25" s="1"/>
  <c r="G208" i="25" s="1"/>
  <c r="C154" i="25"/>
  <c r="C176" i="25" s="1"/>
  <c r="F199" i="25" s="1"/>
  <c r="B159" i="25"/>
  <c r="B181" i="25" s="1"/>
  <c r="B169" i="25"/>
  <c r="B191" i="25" s="1"/>
  <c r="J162" i="25"/>
  <c r="J184" i="25" s="1"/>
  <c r="K207" i="25" s="1"/>
  <c r="J153" i="25"/>
  <c r="J175" i="25" s="1"/>
  <c r="E155" i="25"/>
  <c r="E177" i="25" s="1"/>
  <c r="O153" i="25"/>
  <c r="O175" i="25" s="1"/>
  <c r="F167" i="25"/>
  <c r="F189" i="25" s="1"/>
  <c r="E161" i="25"/>
  <c r="E183" i="25" s="1"/>
  <c r="B110" i="25"/>
  <c r="K156" i="25"/>
  <c r="K178" i="25" s="1"/>
  <c r="K157" i="25"/>
  <c r="K179" i="25" s="1"/>
  <c r="E163" i="25"/>
  <c r="E185" i="25" s="1"/>
  <c r="C169" i="25"/>
  <c r="C191" i="25" s="1"/>
  <c r="G160" i="25"/>
  <c r="G182" i="25" s="1"/>
  <c r="B157" i="25"/>
  <c r="B179" i="25" s="1"/>
  <c r="B208" i="25"/>
  <c r="B255" i="25" s="1"/>
  <c r="D165" i="25"/>
  <c r="D187" i="25" s="1"/>
  <c r="E167" i="25"/>
  <c r="E189" i="25" s="1"/>
  <c r="H166" i="25"/>
  <c r="H188" i="25" s="1"/>
  <c r="I162" i="25"/>
  <c r="I184" i="25" s="1"/>
  <c r="J163" i="25"/>
  <c r="J185" i="25" s="1"/>
  <c r="D156" i="25"/>
  <c r="D178" i="25" s="1"/>
  <c r="J157" i="25"/>
  <c r="J179" i="25" s="1"/>
  <c r="D154" i="25"/>
  <c r="D176" i="25" s="1"/>
  <c r="C157" i="25"/>
  <c r="C179" i="25" s="1"/>
  <c r="J159" i="25"/>
  <c r="J181" i="25" s="1"/>
  <c r="C161" i="25"/>
  <c r="C183" i="25" s="1"/>
  <c r="R156" i="25"/>
  <c r="R178" i="25" s="1"/>
  <c r="E207" i="25"/>
  <c r="C207" i="25"/>
  <c r="F207" i="25"/>
  <c r="H207" i="25"/>
  <c r="I207" i="25"/>
  <c r="B207" i="25"/>
  <c r="B254" i="25" s="1"/>
  <c r="D207" i="25"/>
  <c r="G207" i="25"/>
  <c r="C167" i="25"/>
  <c r="C189" i="25" s="1"/>
  <c r="N155" i="25"/>
  <c r="N177" i="25" s="1"/>
  <c r="P158" i="25"/>
  <c r="P180" i="25" s="1"/>
  <c r="B161" i="25"/>
  <c r="B183" i="25" s="1"/>
  <c r="D164" i="25"/>
  <c r="D186" i="25" s="1"/>
  <c r="I161" i="25"/>
  <c r="I183" i="25" s="1"/>
  <c r="H155" i="25"/>
  <c r="H177" i="25" s="1"/>
  <c r="E153" i="25"/>
  <c r="E175" i="25" s="1"/>
  <c r="M155" i="25"/>
  <c r="M177" i="25" s="1"/>
  <c r="F153" i="25"/>
  <c r="F175" i="25" s="1"/>
  <c r="F164" i="25"/>
  <c r="F186" i="25" s="1"/>
  <c r="Q155" i="25"/>
  <c r="Q177" i="25" s="1"/>
  <c r="J164" i="25"/>
  <c r="J186" i="25" s="1"/>
  <c r="E166" i="25"/>
  <c r="E188" i="25" s="1"/>
  <c r="K162" i="25"/>
  <c r="K184" i="25" s="1"/>
  <c r="O155" i="25"/>
  <c r="O177" i="25" s="1"/>
  <c r="E156" i="25"/>
  <c r="E178" i="25" s="1"/>
  <c r="P157" i="25"/>
  <c r="P179" i="25" s="1"/>
  <c r="B160" i="25"/>
  <c r="B182" i="25" s="1"/>
  <c r="H164" i="25"/>
  <c r="H186" i="25" s="1"/>
  <c r="D160" i="25"/>
  <c r="D182" i="25" s="1"/>
  <c r="F157" i="25"/>
  <c r="F179" i="25" s="1"/>
  <c r="M159" i="25"/>
  <c r="M181" i="25" s="1"/>
  <c r="G164" i="25"/>
  <c r="G186" i="25" s="1"/>
  <c r="J161" i="25"/>
  <c r="J183" i="25" s="1"/>
  <c r="B156" i="25"/>
  <c r="B178" i="25" s="1"/>
  <c r="D158" i="25"/>
  <c r="D180" i="25" s="1"/>
  <c r="I164" i="25"/>
  <c r="I186" i="25" s="1"/>
  <c r="R155" i="25"/>
  <c r="R177" i="25" s="1"/>
  <c r="L156" i="25"/>
  <c r="L178" i="25" s="1"/>
  <c r="J158" i="25"/>
  <c r="J180" i="25" s="1"/>
  <c r="N153" i="25"/>
  <c r="N175" i="25" s="1"/>
  <c r="B158" i="25"/>
  <c r="B180" i="25" s="1"/>
  <c r="F163" i="25"/>
  <c r="F185" i="25" s="1"/>
  <c r="H159" i="25"/>
  <c r="H181" i="25" s="1"/>
  <c r="D169" i="25"/>
  <c r="D191" i="25" s="1"/>
  <c r="B172" i="25"/>
  <c r="B194" i="25" s="1"/>
  <c r="B217" i="25" s="1"/>
  <c r="K153" i="25"/>
  <c r="K175" i="25" s="1"/>
  <c r="N156" i="25"/>
  <c r="N178" i="25" s="1"/>
  <c r="I14" i="31"/>
  <c r="I13" i="31"/>
  <c r="U184" i="1"/>
  <c r="U185" i="1"/>
  <c r="M217" i="1"/>
  <c r="L194" i="1"/>
  <c r="N191" i="1"/>
  <c r="O214" i="1"/>
  <c r="S186" i="1"/>
  <c r="T209" i="1"/>
  <c r="O190" i="1"/>
  <c r="P213" i="1"/>
  <c r="M216" i="1"/>
  <c r="L193" i="1"/>
  <c r="Q212" i="1"/>
  <c r="P189" i="1"/>
  <c r="R187" i="1"/>
  <c r="S210" i="1"/>
  <c r="N192" i="1"/>
  <c r="O215" i="1"/>
  <c r="R188" i="1"/>
  <c r="S211" i="1"/>
  <c r="K264" i="1"/>
  <c r="K15" i="31"/>
  <c r="E14" i="31"/>
  <c r="R257" i="1"/>
  <c r="O260" i="1"/>
  <c r="U255" i="1"/>
  <c r="E15" i="31"/>
  <c r="N262" i="1"/>
  <c r="L15" i="31"/>
  <c r="R258" i="1"/>
  <c r="F15" i="31"/>
  <c r="U254" i="1"/>
  <c r="N261" i="1"/>
  <c r="S256" i="1"/>
  <c r="K14" i="31"/>
  <c r="P259" i="1"/>
  <c r="L263" i="1"/>
  <c r="J207" i="25" l="1"/>
  <c r="P200" i="25"/>
  <c r="Q200" i="25"/>
  <c r="P224" i="25" s="1"/>
  <c r="C208" i="25"/>
  <c r="C255" i="25" s="1"/>
  <c r="H199" i="25"/>
  <c r="J246" i="25"/>
  <c r="P247" i="25"/>
  <c r="Q247" i="25"/>
  <c r="D262" i="25"/>
  <c r="K254" i="25"/>
  <c r="J231" i="25"/>
  <c r="G255" i="25"/>
  <c r="H246" i="25"/>
  <c r="G199" i="25"/>
  <c r="O199" i="25"/>
  <c r="B213" i="25"/>
  <c r="B260" i="25" s="1"/>
  <c r="E213" i="25"/>
  <c r="F213" i="25"/>
  <c r="C213" i="25"/>
  <c r="D213" i="25"/>
  <c r="B201" i="25"/>
  <c r="B248" i="25" s="1"/>
  <c r="D201" i="25"/>
  <c r="M201" i="25"/>
  <c r="K201" i="25"/>
  <c r="Q201" i="25"/>
  <c r="J201" i="25"/>
  <c r="P201" i="25"/>
  <c r="I201" i="25"/>
  <c r="H201" i="25"/>
  <c r="F201" i="25"/>
  <c r="N201" i="25"/>
  <c r="C201" i="25"/>
  <c r="L201" i="25"/>
  <c r="E201" i="25"/>
  <c r="G201" i="25"/>
  <c r="R201" i="25"/>
  <c r="O201" i="25"/>
  <c r="F231" i="25"/>
  <c r="G254" i="25"/>
  <c r="G231" i="25"/>
  <c r="H254" i="25"/>
  <c r="L207" i="25"/>
  <c r="H208" i="25"/>
  <c r="J208" i="25"/>
  <c r="B214" i="25"/>
  <c r="B261" i="25" s="1"/>
  <c r="D214" i="25"/>
  <c r="C214" i="25"/>
  <c r="E214" i="25"/>
  <c r="D198" i="25"/>
  <c r="J198" i="25"/>
  <c r="G198" i="25"/>
  <c r="S198" i="25"/>
  <c r="L198" i="25"/>
  <c r="I198" i="25"/>
  <c r="Q198" i="25"/>
  <c r="U198" i="25"/>
  <c r="E198" i="25"/>
  <c r="H198" i="25"/>
  <c r="K198" i="25"/>
  <c r="F198" i="25"/>
  <c r="P198" i="25"/>
  <c r="C198" i="25"/>
  <c r="B198" i="25"/>
  <c r="B245" i="25" s="1"/>
  <c r="O198" i="25"/>
  <c r="T198" i="25"/>
  <c r="N198" i="25"/>
  <c r="M198" i="25"/>
  <c r="R198" i="25"/>
  <c r="T199" i="25"/>
  <c r="C199" i="25"/>
  <c r="Q199" i="25"/>
  <c r="I199" i="25"/>
  <c r="I223" i="25" s="1"/>
  <c r="L200" i="25"/>
  <c r="D247" i="25"/>
  <c r="C224" i="25"/>
  <c r="J200" i="25"/>
  <c r="R200" i="25"/>
  <c r="C215" i="25"/>
  <c r="H231" i="25"/>
  <c r="I254" i="25"/>
  <c r="F202" i="25"/>
  <c r="D202" i="25"/>
  <c r="B202" i="25"/>
  <c r="B249" i="25" s="1"/>
  <c r="H202" i="25"/>
  <c r="G202" i="25"/>
  <c r="J202" i="25"/>
  <c r="E202" i="25"/>
  <c r="I202" i="25"/>
  <c r="Q202" i="25"/>
  <c r="P202" i="25"/>
  <c r="L202" i="25"/>
  <c r="M202" i="25"/>
  <c r="C202" i="25"/>
  <c r="O202" i="25"/>
  <c r="N202" i="25"/>
  <c r="K202" i="25"/>
  <c r="F210" i="25"/>
  <c r="D210" i="25"/>
  <c r="I210" i="25"/>
  <c r="B210" i="25"/>
  <c r="B257" i="25" s="1"/>
  <c r="G210" i="25"/>
  <c r="E210" i="25"/>
  <c r="C210" i="25"/>
  <c r="H210" i="25"/>
  <c r="B264" i="25"/>
  <c r="C203" i="25"/>
  <c r="J203" i="25"/>
  <c r="I203" i="25"/>
  <c r="O203" i="25"/>
  <c r="M203" i="25"/>
  <c r="L203" i="25"/>
  <c r="B203" i="25"/>
  <c r="B250" i="25" s="1"/>
  <c r="F203" i="25"/>
  <c r="N203" i="25"/>
  <c r="P203" i="25"/>
  <c r="H203" i="25"/>
  <c r="E203" i="25"/>
  <c r="D203" i="25"/>
  <c r="K203" i="25"/>
  <c r="G203" i="25"/>
  <c r="D254" i="25"/>
  <c r="C231" i="25"/>
  <c r="F254" i="25"/>
  <c r="E231" i="25"/>
  <c r="D208" i="25"/>
  <c r="I208" i="25"/>
  <c r="K208" i="25"/>
  <c r="B204" i="25"/>
  <c r="B251" i="25" s="1"/>
  <c r="I204" i="25"/>
  <c r="J204" i="25"/>
  <c r="L204" i="25"/>
  <c r="N204" i="25"/>
  <c r="E204" i="25"/>
  <c r="D204" i="25"/>
  <c r="F204" i="25"/>
  <c r="G204" i="25"/>
  <c r="O204" i="25"/>
  <c r="M204" i="25"/>
  <c r="K204" i="25"/>
  <c r="H204" i="25"/>
  <c r="C204" i="25"/>
  <c r="C212" i="25"/>
  <c r="B212" i="25"/>
  <c r="B259" i="25" s="1"/>
  <c r="D212" i="25"/>
  <c r="F212" i="25"/>
  <c r="E212" i="25"/>
  <c r="G212" i="25"/>
  <c r="B211" i="25"/>
  <c r="B258" i="25" s="1"/>
  <c r="G211" i="25"/>
  <c r="F211" i="25"/>
  <c r="C211" i="25"/>
  <c r="E211" i="25"/>
  <c r="H211" i="25"/>
  <c r="D211" i="25"/>
  <c r="C216" i="25"/>
  <c r="L199" i="25"/>
  <c r="S199" i="25"/>
  <c r="E199" i="25"/>
  <c r="D199" i="25"/>
  <c r="M199" i="25"/>
  <c r="H200" i="25"/>
  <c r="N200" i="25"/>
  <c r="O200" i="25"/>
  <c r="F200" i="25"/>
  <c r="B224" i="25"/>
  <c r="B205" i="25"/>
  <c r="B252" i="25" s="1"/>
  <c r="C205" i="25"/>
  <c r="F205" i="25"/>
  <c r="K205" i="25"/>
  <c r="E205" i="25"/>
  <c r="I205" i="25"/>
  <c r="D205" i="25"/>
  <c r="H205" i="25"/>
  <c r="M205" i="25"/>
  <c r="J205" i="25"/>
  <c r="G205" i="25"/>
  <c r="L205" i="25"/>
  <c r="N205" i="25"/>
  <c r="I231" i="25"/>
  <c r="J254" i="25"/>
  <c r="D231" i="25"/>
  <c r="E254" i="25"/>
  <c r="B232" i="25"/>
  <c r="F246" i="25"/>
  <c r="E223" i="25"/>
  <c r="E247" i="25"/>
  <c r="D224" i="25"/>
  <c r="I200" i="25"/>
  <c r="M200" i="25"/>
  <c r="D206" i="25"/>
  <c r="C206" i="25"/>
  <c r="B206" i="25"/>
  <c r="B253" i="25" s="1"/>
  <c r="H206" i="25"/>
  <c r="M206" i="25"/>
  <c r="E206" i="25"/>
  <c r="L206" i="25"/>
  <c r="I206" i="25"/>
  <c r="K206" i="25"/>
  <c r="K253" i="25" s="1"/>
  <c r="G206" i="25"/>
  <c r="J206" i="25"/>
  <c r="F206" i="25"/>
  <c r="C254" i="25"/>
  <c r="B231" i="25"/>
  <c r="F208" i="25"/>
  <c r="E208" i="25"/>
  <c r="K199" i="25"/>
  <c r="N199" i="25"/>
  <c r="R199" i="25"/>
  <c r="P199" i="25"/>
  <c r="G200" i="25"/>
  <c r="S200" i="25"/>
  <c r="K200" i="25"/>
  <c r="K247" i="25" s="1"/>
  <c r="I209" i="25"/>
  <c r="C209" i="25"/>
  <c r="J209" i="25"/>
  <c r="E209" i="25"/>
  <c r="D209" i="25"/>
  <c r="F209" i="25"/>
  <c r="H209" i="25"/>
  <c r="G209" i="25"/>
  <c r="B209" i="25"/>
  <c r="B256" i="25" s="1"/>
  <c r="AB219" i="1"/>
  <c r="AD218" i="1"/>
  <c r="AI218" i="1"/>
  <c r="AH218" i="1"/>
  <c r="AG218" i="1"/>
  <c r="H14" i="31"/>
  <c r="H15" i="31"/>
  <c r="I15" i="31"/>
  <c r="T211" i="1"/>
  <c r="S188" i="1"/>
  <c r="T186" i="1"/>
  <c r="U209" i="1"/>
  <c r="T210" i="1"/>
  <c r="S187" i="1"/>
  <c r="N217" i="1"/>
  <c r="M194" i="1"/>
  <c r="M193" i="1"/>
  <c r="N216" i="1"/>
  <c r="P215" i="1"/>
  <c r="O192" i="1"/>
  <c r="R212" i="1"/>
  <c r="Q189" i="1"/>
  <c r="P190" i="1"/>
  <c r="Q213" i="1"/>
  <c r="P214" i="1"/>
  <c r="O191" i="1"/>
  <c r="L264" i="1"/>
  <c r="S258" i="1"/>
  <c r="P260" i="1"/>
  <c r="Q259" i="1"/>
  <c r="O261" i="1"/>
  <c r="O262" i="1"/>
  <c r="M263" i="1"/>
  <c r="T256" i="1"/>
  <c r="S257" i="1"/>
  <c r="F233" i="25" l="1"/>
  <c r="G256" i="25"/>
  <c r="R246" i="25"/>
  <c r="Q223" i="25"/>
  <c r="L253" i="25"/>
  <c r="K230" i="25"/>
  <c r="L252" i="25"/>
  <c r="K229" i="25"/>
  <c r="H258" i="25"/>
  <c r="G235" i="25"/>
  <c r="E236" i="25"/>
  <c r="F259" i="25"/>
  <c r="E251" i="25"/>
  <c r="D228" i="25"/>
  <c r="D255" i="25"/>
  <c r="C232" i="25"/>
  <c r="E250" i="25"/>
  <c r="D227" i="25"/>
  <c r="E257" i="25"/>
  <c r="D234" i="25"/>
  <c r="I226" i="25"/>
  <c r="J249" i="25"/>
  <c r="C245" i="25"/>
  <c r="B242" i="25"/>
  <c r="B222" i="25"/>
  <c r="J245" i="25"/>
  <c r="I242" i="25"/>
  <c r="AV187" i="25" s="1"/>
  <c r="I222" i="25"/>
  <c r="F248" i="25"/>
  <c r="E225" i="25"/>
  <c r="D248" i="25"/>
  <c r="C225" i="25"/>
  <c r="F223" i="25"/>
  <c r="G246" i="25"/>
  <c r="G233" i="25"/>
  <c r="H256" i="25"/>
  <c r="J256" i="25"/>
  <c r="I233" i="25"/>
  <c r="R224" i="25"/>
  <c r="S247" i="25"/>
  <c r="N246" i="25"/>
  <c r="M223" i="25"/>
  <c r="G253" i="25"/>
  <c r="F230" i="25"/>
  <c r="E253" i="25"/>
  <c r="D230" i="25"/>
  <c r="C253" i="25"/>
  <c r="B230" i="25"/>
  <c r="G252" i="25"/>
  <c r="F229" i="25"/>
  <c r="D252" i="25"/>
  <c r="C229" i="25"/>
  <c r="F252" i="25"/>
  <c r="E229" i="25"/>
  <c r="F247" i="25"/>
  <c r="E224" i="25"/>
  <c r="L223" i="25"/>
  <c r="M246" i="25"/>
  <c r="K223" i="25"/>
  <c r="L246" i="25"/>
  <c r="D235" i="25"/>
  <c r="E258" i="25"/>
  <c r="C236" i="25"/>
  <c r="D259" i="25"/>
  <c r="G228" i="25"/>
  <c r="H251" i="25"/>
  <c r="F228" i="25"/>
  <c r="G251" i="25"/>
  <c r="N251" i="25"/>
  <c r="M228" i="25"/>
  <c r="G250" i="25"/>
  <c r="F227" i="25"/>
  <c r="H250" i="25"/>
  <c r="G227" i="25"/>
  <c r="H227" i="25"/>
  <c r="I250" i="25"/>
  <c r="F234" i="25"/>
  <c r="G257" i="25"/>
  <c r="E234" i="25"/>
  <c r="F257" i="25"/>
  <c r="C249" i="25"/>
  <c r="B226" i="25"/>
  <c r="Q249" i="25"/>
  <c r="P226" i="25"/>
  <c r="G249" i="25"/>
  <c r="F226" i="25"/>
  <c r="F249" i="25"/>
  <c r="E226" i="25"/>
  <c r="R247" i="25"/>
  <c r="Q224" i="25"/>
  <c r="K224" i="25"/>
  <c r="L247" i="25"/>
  <c r="S223" i="25"/>
  <c r="T246" i="25"/>
  <c r="T245" i="25"/>
  <c r="S222" i="25"/>
  <c r="S242" i="25"/>
  <c r="AV197" i="25" s="1"/>
  <c r="AX197" i="25" s="1"/>
  <c r="O222" i="25"/>
  <c r="P245" i="25"/>
  <c r="O242" i="25"/>
  <c r="AV193" i="25" s="1"/>
  <c r="E245" i="25"/>
  <c r="D242" i="25"/>
  <c r="D222" i="25"/>
  <c r="L245" i="25"/>
  <c r="K222" i="25"/>
  <c r="K242" i="25"/>
  <c r="AV189" i="25" s="1"/>
  <c r="C222" i="25"/>
  <c r="C242" i="25"/>
  <c r="AV181" i="25" s="1"/>
  <c r="D245" i="25"/>
  <c r="N225" i="25"/>
  <c r="O248" i="25"/>
  <c r="K225" i="25"/>
  <c r="L248" i="25"/>
  <c r="H248" i="25"/>
  <c r="G225" i="25"/>
  <c r="P225" i="25"/>
  <c r="Q248" i="25"/>
  <c r="E260" i="25"/>
  <c r="D237" i="25"/>
  <c r="G223" i="25"/>
  <c r="D233" i="25"/>
  <c r="E256" i="25"/>
  <c r="E232" i="25"/>
  <c r="F255" i="25"/>
  <c r="I247" i="25"/>
  <c r="H224" i="25"/>
  <c r="H252" i="25"/>
  <c r="G229" i="25"/>
  <c r="R223" i="25"/>
  <c r="S246" i="25"/>
  <c r="O251" i="25"/>
  <c r="N228" i="25"/>
  <c r="P204" i="25"/>
  <c r="O250" i="25"/>
  <c r="N227" i="25"/>
  <c r="D257" i="25"/>
  <c r="C234" i="25"/>
  <c r="P249" i="25"/>
  <c r="O226" i="25"/>
  <c r="B239" i="25"/>
  <c r="C262" i="25"/>
  <c r="B223" i="25"/>
  <c r="C246" i="25"/>
  <c r="H242" i="25"/>
  <c r="AV186" i="25" s="1"/>
  <c r="H222" i="25"/>
  <c r="I245" i="25"/>
  <c r="L254" i="25"/>
  <c r="K231" i="25"/>
  <c r="D225" i="25"/>
  <c r="E248" i="25"/>
  <c r="E237" i="25"/>
  <c r="F260" i="25"/>
  <c r="AD219" i="1"/>
  <c r="AI219" i="1"/>
  <c r="AI169" i="1" s="1"/>
  <c r="AG219" i="1"/>
  <c r="AG169" i="1" s="1"/>
  <c r="AH219" i="1"/>
  <c r="AH169" i="1" s="1"/>
  <c r="F256" i="25"/>
  <c r="E233" i="25"/>
  <c r="B233" i="25"/>
  <c r="C256" i="25"/>
  <c r="G247" i="25"/>
  <c r="F224" i="25"/>
  <c r="K246" i="25"/>
  <c r="J223" i="25"/>
  <c r="M253" i="25"/>
  <c r="L230" i="25"/>
  <c r="D253" i="25"/>
  <c r="C230" i="25"/>
  <c r="J252" i="25"/>
  <c r="I229" i="25"/>
  <c r="I252" i="25"/>
  <c r="H229" i="25"/>
  <c r="B229" i="25"/>
  <c r="C252" i="25"/>
  <c r="O247" i="25"/>
  <c r="N224" i="25"/>
  <c r="D246" i="25"/>
  <c r="C223" i="25"/>
  <c r="C263" i="25"/>
  <c r="B240" i="25"/>
  <c r="D216" i="25"/>
  <c r="C258" i="25"/>
  <c r="B235" i="25"/>
  <c r="G259" i="25"/>
  <c r="F236" i="25"/>
  <c r="K251" i="25"/>
  <c r="J228" i="25"/>
  <c r="F251" i="25"/>
  <c r="E228" i="25"/>
  <c r="L251" i="25"/>
  <c r="K228" i="25"/>
  <c r="K255" i="25"/>
  <c r="J232" i="25"/>
  <c r="L208" i="25"/>
  <c r="K250" i="25"/>
  <c r="J227" i="25"/>
  <c r="P250" i="25"/>
  <c r="O227" i="25"/>
  <c r="K227" i="25"/>
  <c r="L250" i="25"/>
  <c r="I227" i="25"/>
  <c r="J250" i="25"/>
  <c r="G234" i="25"/>
  <c r="H257" i="25"/>
  <c r="K249" i="25"/>
  <c r="J226" i="25"/>
  <c r="L226" i="25"/>
  <c r="M249" i="25"/>
  <c r="I249" i="25"/>
  <c r="H226" i="25"/>
  <c r="H249" i="25"/>
  <c r="G226" i="25"/>
  <c r="J224" i="25"/>
  <c r="I224" i="25"/>
  <c r="J247" i="25"/>
  <c r="I246" i="25"/>
  <c r="H223" i="25"/>
  <c r="Q242" i="25"/>
  <c r="AV195" i="25" s="1"/>
  <c r="AX195" i="25" s="1"/>
  <c r="R245" i="25"/>
  <c r="Q222" i="25"/>
  <c r="N242" i="25"/>
  <c r="AV192" i="25" s="1"/>
  <c r="O245" i="25"/>
  <c r="N222" i="25"/>
  <c r="E222" i="25"/>
  <c r="E242" i="25"/>
  <c r="AV183" i="25" s="1"/>
  <c r="F245" i="25"/>
  <c r="T242" i="25"/>
  <c r="AV198" i="25" s="1"/>
  <c r="U245" i="25"/>
  <c r="T222" i="25"/>
  <c r="R242" i="25"/>
  <c r="AV196" i="25" s="1"/>
  <c r="AX196" i="25" s="1"/>
  <c r="S245" i="25"/>
  <c r="R222" i="25"/>
  <c r="E261" i="25"/>
  <c r="D238" i="25"/>
  <c r="J255" i="25"/>
  <c r="I232" i="25"/>
  <c r="Q225" i="25"/>
  <c r="R248" i="25"/>
  <c r="B225" i="25"/>
  <c r="C248" i="25"/>
  <c r="I248" i="25"/>
  <c r="H225" i="25"/>
  <c r="K248" i="25"/>
  <c r="J225" i="25"/>
  <c r="C237" i="25"/>
  <c r="D260" i="25"/>
  <c r="J230" i="25"/>
  <c r="J253" i="25"/>
  <c r="I230" i="25"/>
  <c r="K252" i="25"/>
  <c r="J229" i="25"/>
  <c r="G224" i="25"/>
  <c r="H247" i="25"/>
  <c r="G258" i="25"/>
  <c r="F235" i="25"/>
  <c r="B228" i="25"/>
  <c r="C251" i="25"/>
  <c r="I251" i="25"/>
  <c r="H228" i="25"/>
  <c r="F250" i="25"/>
  <c r="E227" i="25"/>
  <c r="O249" i="25"/>
  <c r="N226" i="25"/>
  <c r="D249" i="25"/>
  <c r="C226" i="25"/>
  <c r="M242" i="25"/>
  <c r="AV191" i="25" s="1"/>
  <c r="N245" i="25"/>
  <c r="M222" i="25"/>
  <c r="H245" i="25"/>
  <c r="G242" i="25"/>
  <c r="AV185" i="25" s="1"/>
  <c r="G222" i="25"/>
  <c r="D261" i="25"/>
  <c r="C238" i="25"/>
  <c r="I225" i="25"/>
  <c r="J248" i="25"/>
  <c r="D256" i="25"/>
  <c r="C233" i="25"/>
  <c r="I256" i="25"/>
  <c r="H233" i="25"/>
  <c r="P246" i="25"/>
  <c r="O223" i="25"/>
  <c r="E255" i="25"/>
  <c r="D232" i="25"/>
  <c r="F253" i="25"/>
  <c r="E230" i="25"/>
  <c r="I253" i="25"/>
  <c r="H230" i="25"/>
  <c r="G230" i="25"/>
  <c r="H253" i="25"/>
  <c r="M247" i="25"/>
  <c r="L224" i="25"/>
  <c r="N252" i="25"/>
  <c r="M229" i="25"/>
  <c r="O205" i="25"/>
  <c r="M252" i="25"/>
  <c r="L229" i="25"/>
  <c r="D229" i="25"/>
  <c r="E252" i="25"/>
  <c r="N247" i="25"/>
  <c r="M224" i="25"/>
  <c r="E246" i="25"/>
  <c r="D223" i="25"/>
  <c r="D258" i="25"/>
  <c r="C235" i="25"/>
  <c r="F258" i="25"/>
  <c r="E235" i="25"/>
  <c r="E259" i="25"/>
  <c r="D236" i="25"/>
  <c r="C259" i="25"/>
  <c r="B236" i="25"/>
  <c r="M251" i="25"/>
  <c r="L228" i="25"/>
  <c r="D251" i="25"/>
  <c r="C228" i="25"/>
  <c r="I228" i="25"/>
  <c r="J251" i="25"/>
  <c r="H232" i="25"/>
  <c r="I255" i="25"/>
  <c r="D250" i="25"/>
  <c r="C227" i="25"/>
  <c r="M227" i="25"/>
  <c r="N250" i="25"/>
  <c r="L227" i="25"/>
  <c r="M250" i="25"/>
  <c r="C250" i="25"/>
  <c r="B227" i="25"/>
  <c r="B234" i="25"/>
  <c r="C257" i="25"/>
  <c r="I257" i="25"/>
  <c r="H234" i="25"/>
  <c r="M226" i="25"/>
  <c r="N249" i="25"/>
  <c r="L249" i="25"/>
  <c r="K226" i="25"/>
  <c r="E249" i="25"/>
  <c r="D226" i="25"/>
  <c r="P223" i="25"/>
  <c r="Q246" i="25"/>
  <c r="M245" i="25"/>
  <c r="L222" i="25"/>
  <c r="L242" i="25"/>
  <c r="AV190" i="25" s="1"/>
  <c r="J222" i="25"/>
  <c r="J242" i="25"/>
  <c r="AV188" i="25" s="1"/>
  <c r="K245" i="25"/>
  <c r="Q245" i="25"/>
  <c r="P242" i="25"/>
  <c r="AV194" i="25" s="1"/>
  <c r="P222" i="25"/>
  <c r="F222" i="25"/>
  <c r="F242" i="25"/>
  <c r="AV184" i="25" s="1"/>
  <c r="G245" i="25"/>
  <c r="B238" i="25"/>
  <c r="C261" i="25"/>
  <c r="H255" i="25"/>
  <c r="G232" i="25"/>
  <c r="F225" i="25"/>
  <c r="G248" i="25"/>
  <c r="M225" i="25"/>
  <c r="N248" i="25"/>
  <c r="P248" i="25"/>
  <c r="O225" i="25"/>
  <c r="M248" i="25"/>
  <c r="L225" i="25"/>
  <c r="C260" i="25"/>
  <c r="B237" i="25"/>
  <c r="O246" i="25"/>
  <c r="N223" i="25"/>
  <c r="F232" i="25"/>
  <c r="C239" i="25"/>
  <c r="O224" i="25"/>
  <c r="Q190" i="1"/>
  <c r="R213" i="1"/>
  <c r="O216" i="1"/>
  <c r="N193" i="1"/>
  <c r="Q215" i="1"/>
  <c r="P192" i="1"/>
  <c r="O217" i="1"/>
  <c r="N194" i="1"/>
  <c r="U211" i="1"/>
  <c r="T188" i="1"/>
  <c r="U186" i="1"/>
  <c r="P191" i="1"/>
  <c r="Q214" i="1"/>
  <c r="S212" i="1"/>
  <c r="R189" i="1"/>
  <c r="T187" i="1"/>
  <c r="U210" i="1"/>
  <c r="M264" i="1"/>
  <c r="K17" i="31"/>
  <c r="E16" i="31"/>
  <c r="U256" i="1"/>
  <c r="Q260" i="1"/>
  <c r="R259" i="1"/>
  <c r="L17" i="31"/>
  <c r="E17" i="31"/>
  <c r="F16" i="31"/>
  <c r="P261" i="1"/>
  <c r="N263" i="1"/>
  <c r="K16" i="31"/>
  <c r="T257" i="1"/>
  <c r="K18" i="31"/>
  <c r="L16" i="31"/>
  <c r="F17" i="31"/>
  <c r="E18" i="31"/>
  <c r="T258" i="1"/>
  <c r="P262" i="1"/>
  <c r="I211" i="25" l="1"/>
  <c r="M207" i="25"/>
  <c r="N207" i="25" s="1"/>
  <c r="J210" i="25"/>
  <c r="J187" i="25" s="1"/>
  <c r="AX188" i="25"/>
  <c r="AY188" i="25"/>
  <c r="BC198" i="25"/>
  <c r="AX198" i="25"/>
  <c r="M184" i="25"/>
  <c r="Q204" i="25"/>
  <c r="P181" i="25"/>
  <c r="AY194" i="25"/>
  <c r="AX194" i="25"/>
  <c r="K210" i="25"/>
  <c r="Q203" i="25"/>
  <c r="AY186" i="25"/>
  <c r="AX186" i="25"/>
  <c r="AX181" i="25"/>
  <c r="AY181" i="25"/>
  <c r="AX193" i="25"/>
  <c r="AY193" i="25"/>
  <c r="AX184" i="25"/>
  <c r="AY184" i="25"/>
  <c r="AY190" i="25"/>
  <c r="AX190" i="25"/>
  <c r="O182" i="25"/>
  <c r="P205" i="25"/>
  <c r="AY185" i="25"/>
  <c r="AX185" i="25"/>
  <c r="AX191" i="25"/>
  <c r="AY191" i="25"/>
  <c r="S201" i="25"/>
  <c r="AX183" i="25"/>
  <c r="AY183" i="25"/>
  <c r="AY192" i="25"/>
  <c r="AX192" i="25"/>
  <c r="M208" i="25"/>
  <c r="L185" i="25"/>
  <c r="R202" i="25"/>
  <c r="AV180" i="25"/>
  <c r="C217" i="25"/>
  <c r="E216" i="25"/>
  <c r="D193" i="25"/>
  <c r="T200" i="25"/>
  <c r="J211" i="25"/>
  <c r="I188" i="25"/>
  <c r="F214" i="25"/>
  <c r="H212" i="25"/>
  <c r="N206" i="25"/>
  <c r="AE169" i="1"/>
  <c r="X256" i="1" s="1"/>
  <c r="G213" i="25"/>
  <c r="AY189" i="25"/>
  <c r="AX189" i="25"/>
  <c r="E215" i="25"/>
  <c r="AV182" i="25"/>
  <c r="U199" i="25"/>
  <c r="K209" i="25"/>
  <c r="AY187" i="25"/>
  <c r="AX187" i="25"/>
  <c r="I17" i="31"/>
  <c r="I16" i="31"/>
  <c r="H16" i="31"/>
  <c r="H17" i="31"/>
  <c r="H18" i="31"/>
  <c r="S189" i="1"/>
  <c r="T212" i="1"/>
  <c r="Q191" i="1"/>
  <c r="R214" i="1"/>
  <c r="P216" i="1"/>
  <c r="O193" i="1"/>
  <c r="O194" i="1"/>
  <c r="P217" i="1"/>
  <c r="R215" i="1"/>
  <c r="Q192" i="1"/>
  <c r="S213" i="1"/>
  <c r="R190" i="1"/>
  <c r="U187" i="1"/>
  <c r="U188" i="1"/>
  <c r="N264" i="1"/>
  <c r="O252" i="25"/>
  <c r="I258" i="25"/>
  <c r="U257" i="1"/>
  <c r="O263" i="1"/>
  <c r="S259" i="1"/>
  <c r="J257" i="25"/>
  <c r="M254" i="25"/>
  <c r="Q262" i="1"/>
  <c r="L255" i="25"/>
  <c r="P251" i="25"/>
  <c r="R260" i="1"/>
  <c r="D263" i="25"/>
  <c r="U258" i="1"/>
  <c r="Q261" i="1"/>
  <c r="F215" i="25" l="1"/>
  <c r="E192" i="25"/>
  <c r="L209" i="25"/>
  <c r="K186" i="25"/>
  <c r="N183" i="25"/>
  <c r="O206" i="25"/>
  <c r="C194" i="25"/>
  <c r="D217" i="25"/>
  <c r="S178" i="25"/>
  <c r="T201" i="25"/>
  <c r="L210" i="25"/>
  <c r="K187" i="25"/>
  <c r="O207" i="25"/>
  <c r="N184" i="25"/>
  <c r="Q181" i="25"/>
  <c r="R204" i="25"/>
  <c r="U176" i="25"/>
  <c r="H189" i="25"/>
  <c r="I212" i="25"/>
  <c r="G214" i="25"/>
  <c r="F191" i="25"/>
  <c r="J188" i="25"/>
  <c r="K211" i="25"/>
  <c r="F216" i="25"/>
  <c r="E193" i="25"/>
  <c r="AX180" i="25"/>
  <c r="AY180" i="25"/>
  <c r="P182" i="25"/>
  <c r="Q205" i="25"/>
  <c r="X198" i="1"/>
  <c r="Y198" i="1" s="1"/>
  <c r="X247" i="1"/>
  <c r="X245" i="1"/>
  <c r="X250" i="1"/>
  <c r="X204" i="1"/>
  <c r="Y204" i="1" s="1"/>
  <c r="X205" i="1"/>
  <c r="Y205" i="1" s="1"/>
  <c r="X199" i="1"/>
  <c r="Y199" i="1" s="1"/>
  <c r="X203" i="1"/>
  <c r="Y203" i="1" s="1"/>
  <c r="X200" i="1"/>
  <c r="Y200" i="1" s="1"/>
  <c r="X201" i="1"/>
  <c r="Y201" i="1" s="1"/>
  <c r="X246" i="1"/>
  <c r="X248" i="1"/>
  <c r="X249" i="1"/>
  <c r="X202" i="1"/>
  <c r="Y202" i="1" s="1"/>
  <c r="X252" i="1"/>
  <c r="X251" i="1"/>
  <c r="X206" i="1"/>
  <c r="Y206" i="1" s="1"/>
  <c r="X253" i="1"/>
  <c r="X208" i="1"/>
  <c r="Y208" i="1" s="1"/>
  <c r="X207" i="1"/>
  <c r="Y207" i="1" s="1"/>
  <c r="X255" i="1"/>
  <c r="X254" i="1"/>
  <c r="X209" i="1"/>
  <c r="Y209" i="1" s="1"/>
  <c r="M185" i="25"/>
  <c r="N208" i="25"/>
  <c r="X211" i="1"/>
  <c r="Y211" i="1" s="1"/>
  <c r="X210" i="1"/>
  <c r="Y210" i="1" s="1"/>
  <c r="AX182" i="25"/>
  <c r="AY182" i="25"/>
  <c r="G190" i="25"/>
  <c r="H213" i="25"/>
  <c r="T177" i="25"/>
  <c r="U200" i="25"/>
  <c r="R179" i="25"/>
  <c r="S202" i="25"/>
  <c r="Q180" i="25"/>
  <c r="R203" i="25"/>
  <c r="X258" i="1"/>
  <c r="X257" i="1"/>
  <c r="R191" i="1"/>
  <c r="S214" i="1"/>
  <c r="S190" i="1"/>
  <c r="T213" i="1"/>
  <c r="T189" i="1"/>
  <c r="U212" i="1"/>
  <c r="R192" i="1"/>
  <c r="S215" i="1"/>
  <c r="Q217" i="1"/>
  <c r="P194" i="1"/>
  <c r="P193" i="1"/>
  <c r="Q216" i="1"/>
  <c r="AA256" i="1"/>
  <c r="N253" i="25"/>
  <c r="S248" i="25"/>
  <c r="U246" i="25"/>
  <c r="K20" i="31"/>
  <c r="E20" i="31"/>
  <c r="R262" i="1"/>
  <c r="O264" i="1"/>
  <c r="G260" i="25"/>
  <c r="Y256" i="1"/>
  <c r="E262" i="25"/>
  <c r="F261" i="25"/>
  <c r="T247" i="25"/>
  <c r="Q250" i="25"/>
  <c r="F18" i="31"/>
  <c r="R261" i="1"/>
  <c r="N254" i="25"/>
  <c r="R249" i="25"/>
  <c r="C264" i="25"/>
  <c r="H259" i="25"/>
  <c r="AC38" i="1"/>
  <c r="L18" i="31"/>
  <c r="K256" i="25"/>
  <c r="T259" i="1"/>
  <c r="E263" i="25"/>
  <c r="M255" i="25"/>
  <c r="P252" i="25"/>
  <c r="J258" i="25"/>
  <c r="K257" i="25"/>
  <c r="Q251" i="25"/>
  <c r="S260" i="1"/>
  <c r="P263" i="1"/>
  <c r="AA247" i="1" l="1"/>
  <c r="K188" i="25"/>
  <c r="L211" i="25"/>
  <c r="S203" i="25"/>
  <c r="R180" i="25"/>
  <c r="U177" i="25"/>
  <c r="N185" i="25"/>
  <c r="O208" i="25"/>
  <c r="AA255" i="1"/>
  <c r="AA249" i="1"/>
  <c r="AZ170" i="25"/>
  <c r="BA171" i="25"/>
  <c r="BA170" i="25"/>
  <c r="BC199" i="25" s="1"/>
  <c r="AZ171" i="25"/>
  <c r="M210" i="25"/>
  <c r="L187" i="25"/>
  <c r="L186" i="25"/>
  <c r="M209" i="25"/>
  <c r="AA254" i="1"/>
  <c r="BB171" i="25"/>
  <c r="BB170" i="25"/>
  <c r="S204" i="25"/>
  <c r="R181" i="25"/>
  <c r="E217" i="25"/>
  <c r="D194" i="25"/>
  <c r="AA251" i="1"/>
  <c r="AA248" i="1"/>
  <c r="AA250" i="1"/>
  <c r="Q182" i="25"/>
  <c r="R205" i="25"/>
  <c r="T178" i="25"/>
  <c r="U201" i="25"/>
  <c r="O183" i="25"/>
  <c r="P206" i="25"/>
  <c r="AA253" i="1"/>
  <c r="I189" i="25"/>
  <c r="J212" i="25"/>
  <c r="T202" i="25"/>
  <c r="S179" i="25"/>
  <c r="I213" i="25"/>
  <c r="H190" i="25"/>
  <c r="AA252" i="1"/>
  <c r="AA246" i="1"/>
  <c r="AA245" i="1"/>
  <c r="F193" i="25"/>
  <c r="G216" i="25"/>
  <c r="G191" i="25"/>
  <c r="H214" i="25"/>
  <c r="P207" i="25"/>
  <c r="O184" i="25"/>
  <c r="G215" i="25"/>
  <c r="F192" i="25"/>
  <c r="H20" i="31"/>
  <c r="I18" i="31"/>
  <c r="U189" i="1"/>
  <c r="X212" i="1"/>
  <c r="Y212" i="1" s="1"/>
  <c r="U213" i="1"/>
  <c r="T190" i="1"/>
  <c r="T214" i="1"/>
  <c r="S191" i="1"/>
  <c r="R217" i="1"/>
  <c r="Q194" i="1"/>
  <c r="S192" i="1"/>
  <c r="T215" i="1"/>
  <c r="AA257" i="1"/>
  <c r="A3" i="36"/>
  <c r="AG3" i="36"/>
  <c r="Q193" i="1"/>
  <c r="R216" i="1"/>
  <c r="AA258" i="1"/>
  <c r="Y255" i="1"/>
  <c r="Y251" i="1"/>
  <c r="Y253" i="1"/>
  <c r="Y252" i="1"/>
  <c r="L20" i="31"/>
  <c r="S262" i="1"/>
  <c r="Q252" i="25"/>
  <c r="Y247" i="1"/>
  <c r="U259" i="1"/>
  <c r="U247" i="25"/>
  <c r="P264" i="1"/>
  <c r="Y254" i="1"/>
  <c r="Y250" i="1"/>
  <c r="Y245" i="1"/>
  <c r="F19" i="31"/>
  <c r="K19" i="31"/>
  <c r="T260" i="1"/>
  <c r="F262" i="25"/>
  <c r="Y249" i="1"/>
  <c r="Y246" i="1"/>
  <c r="F20" i="31"/>
  <c r="Y248" i="1"/>
  <c r="Y257" i="1"/>
  <c r="Y258" i="1"/>
  <c r="L19" i="31"/>
  <c r="E19" i="31"/>
  <c r="Q263" i="1"/>
  <c r="I259" i="25"/>
  <c r="S261" i="1"/>
  <c r="R250" i="25"/>
  <c r="L256" i="25"/>
  <c r="D264" i="25"/>
  <c r="O253" i="25"/>
  <c r="H260" i="25"/>
  <c r="F263" i="25"/>
  <c r="K258" i="25"/>
  <c r="O254" i="25"/>
  <c r="N255" i="25"/>
  <c r="R251" i="25"/>
  <c r="T248" i="25"/>
  <c r="S249" i="25"/>
  <c r="G261" i="25"/>
  <c r="L257" i="25"/>
  <c r="AZ217" i="25" l="1"/>
  <c r="AZ198" i="25"/>
  <c r="AZ191" i="25"/>
  <c r="AZ214" i="25"/>
  <c r="AZ208" i="25"/>
  <c r="AZ197" i="25"/>
  <c r="AZ182" i="25"/>
  <c r="AZ183" i="25"/>
  <c r="AZ209" i="25"/>
  <c r="AZ201" i="25"/>
  <c r="AZ187" i="25"/>
  <c r="AZ207" i="25"/>
  <c r="AZ192" i="25"/>
  <c r="AZ188" i="25"/>
  <c r="AZ199" i="25"/>
  <c r="AZ206" i="25"/>
  <c r="AZ184" i="25"/>
  <c r="AZ186" i="25"/>
  <c r="AZ195" i="25"/>
  <c r="AZ200" i="25"/>
  <c r="AZ210" i="25"/>
  <c r="AZ204" i="25"/>
  <c r="AZ196" i="25"/>
  <c r="AZ185" i="25"/>
  <c r="AZ194" i="25"/>
  <c r="AZ211" i="25"/>
  <c r="AZ189" i="25"/>
  <c r="AZ212" i="25"/>
  <c r="AZ213" i="25"/>
  <c r="AZ218" i="25"/>
  <c r="AZ203" i="25"/>
  <c r="AZ215" i="25"/>
  <c r="AZ193" i="25"/>
  <c r="AZ205" i="25"/>
  <c r="AZ181" i="25"/>
  <c r="AZ190" i="25"/>
  <c r="AZ180" i="25"/>
  <c r="AZ202" i="25"/>
  <c r="AZ219" i="25"/>
  <c r="AZ216" i="25"/>
  <c r="O185" i="25"/>
  <c r="P208" i="25"/>
  <c r="Q207" i="25"/>
  <c r="P184" i="25"/>
  <c r="I190" i="25"/>
  <c r="J213" i="25"/>
  <c r="F217" i="25"/>
  <c r="E194" i="25"/>
  <c r="BB194" i="25"/>
  <c r="BB217" i="25"/>
  <c r="BB219" i="25"/>
  <c r="BB215" i="25"/>
  <c r="BB203" i="25"/>
  <c r="BB196" i="25"/>
  <c r="BB187" i="25"/>
  <c r="BB192" i="25"/>
  <c r="BB184" i="25"/>
  <c r="BB211" i="25"/>
  <c r="BB210" i="25"/>
  <c r="BB183" i="25"/>
  <c r="BB214" i="25"/>
  <c r="BB201" i="25"/>
  <c r="BB195" i="25"/>
  <c r="BB205" i="25"/>
  <c r="BB185" i="25"/>
  <c r="BB182" i="25"/>
  <c r="BB198" i="25"/>
  <c r="BB189" i="25"/>
  <c r="BB204" i="25"/>
  <c r="BB193" i="25"/>
  <c r="BB181" i="25"/>
  <c r="BB190" i="25"/>
  <c r="BB188" i="25"/>
  <c r="BB212" i="25"/>
  <c r="BB209" i="25"/>
  <c r="BB191" i="25"/>
  <c r="BB218" i="25"/>
  <c r="BB213" i="25"/>
  <c r="BB199" i="25"/>
  <c r="BB207" i="25"/>
  <c r="BB208" i="25"/>
  <c r="BB186" i="25"/>
  <c r="BB206" i="25"/>
  <c r="BB180" i="25"/>
  <c r="BB197" i="25"/>
  <c r="BB200" i="25"/>
  <c r="BB202" i="25"/>
  <c r="BB216" i="25"/>
  <c r="BC200" i="25"/>
  <c r="BC201" i="25" s="1"/>
  <c r="BC202" i="25" s="1"/>
  <c r="BC203" i="25" s="1"/>
  <c r="BC204" i="25" s="1"/>
  <c r="BC205" i="25" s="1"/>
  <c r="BC206" i="25" s="1"/>
  <c r="BC207" i="25" s="1"/>
  <c r="BC208" i="25" s="1"/>
  <c r="BC209" i="25" s="1"/>
  <c r="BC210" i="25" s="1"/>
  <c r="BC211" i="25" s="1"/>
  <c r="BC212" i="25" s="1"/>
  <c r="BC213" i="25" s="1"/>
  <c r="BC214" i="25" s="1"/>
  <c r="BC215" i="25" s="1"/>
  <c r="BC216" i="25" s="1"/>
  <c r="BC217" i="25" s="1"/>
  <c r="BC218" i="25" s="1"/>
  <c r="BC219" i="25" s="1"/>
  <c r="T203" i="25"/>
  <c r="S180" i="25"/>
  <c r="G193" i="25"/>
  <c r="H216" i="25"/>
  <c r="J189" i="25"/>
  <c r="K212" i="25"/>
  <c r="P183" i="25"/>
  <c r="Q206" i="25"/>
  <c r="R182" i="25"/>
  <c r="S205" i="25"/>
  <c r="I214" i="25"/>
  <c r="H191" i="25"/>
  <c r="U178" i="25"/>
  <c r="BA215" i="25"/>
  <c r="BA214" i="25"/>
  <c r="BA218" i="25"/>
  <c r="BA207" i="25"/>
  <c r="BA203" i="25"/>
  <c r="BA180" i="25"/>
  <c r="BA182" i="25"/>
  <c r="BA188" i="25"/>
  <c r="BA208" i="25"/>
  <c r="BA198" i="25"/>
  <c r="BA212" i="25"/>
  <c r="BA191" i="25"/>
  <c r="BA189" i="25"/>
  <c r="BA183" i="25"/>
  <c r="BA181" i="25"/>
  <c r="BA199" i="25"/>
  <c r="BA187" i="25"/>
  <c r="BA195" i="25"/>
  <c r="BA200" i="25"/>
  <c r="BA190" i="25"/>
  <c r="BA217" i="25"/>
  <c r="BA205" i="25"/>
  <c r="BA193" i="25"/>
  <c r="BA185" i="25"/>
  <c r="BA192" i="25"/>
  <c r="BA204" i="25"/>
  <c r="BA197" i="25"/>
  <c r="BA194" i="25"/>
  <c r="BA202" i="25"/>
  <c r="BA216" i="25"/>
  <c r="BA213" i="25"/>
  <c r="BA210" i="25"/>
  <c r="BA209" i="25"/>
  <c r="BA219" i="25"/>
  <c r="BA201" i="25"/>
  <c r="BA186" i="25"/>
  <c r="BA211" i="25"/>
  <c r="BA196" i="25"/>
  <c r="BA184" i="25"/>
  <c r="BA206" i="25"/>
  <c r="M211" i="25"/>
  <c r="L188" i="25"/>
  <c r="N209" i="25"/>
  <c r="M186" i="25"/>
  <c r="H215" i="25"/>
  <c r="G192" i="25"/>
  <c r="T179" i="25"/>
  <c r="U202" i="25"/>
  <c r="T204" i="25"/>
  <c r="S181" i="25"/>
  <c r="N210" i="25"/>
  <c r="M187" i="25"/>
  <c r="X259" i="1"/>
  <c r="H19" i="31"/>
  <c r="I20" i="31"/>
  <c r="I19" i="31"/>
  <c r="U215" i="1"/>
  <c r="T192" i="1"/>
  <c r="U190" i="1"/>
  <c r="X213" i="1"/>
  <c r="Y213" i="1" s="1"/>
  <c r="S216" i="1"/>
  <c r="R193" i="1"/>
  <c r="U214" i="1"/>
  <c r="T191" i="1"/>
  <c r="S217" i="1"/>
  <c r="R194" i="1"/>
  <c r="K21" i="31"/>
  <c r="T261" i="1"/>
  <c r="E21" i="31"/>
  <c r="Q264" i="1"/>
  <c r="T262" i="1"/>
  <c r="L258" i="25"/>
  <c r="E264" i="25"/>
  <c r="U260" i="1"/>
  <c r="O255" i="25"/>
  <c r="I260" i="25"/>
  <c r="H261" i="25"/>
  <c r="T249" i="25"/>
  <c r="G262" i="25"/>
  <c r="J259" i="25"/>
  <c r="R252" i="25"/>
  <c r="U248" i="25"/>
  <c r="M256" i="25"/>
  <c r="M257" i="25"/>
  <c r="R263" i="1"/>
  <c r="S250" i="25"/>
  <c r="P254" i="25"/>
  <c r="G263" i="25"/>
  <c r="P253" i="25"/>
  <c r="S251" i="25"/>
  <c r="BB169" i="25" l="1"/>
  <c r="G217" i="25"/>
  <c r="F194" i="25"/>
  <c r="Q184" i="25"/>
  <c r="R207" i="25"/>
  <c r="AZ169" i="25"/>
  <c r="Q183" i="25"/>
  <c r="R206" i="25"/>
  <c r="H193" i="25"/>
  <c r="I216" i="25"/>
  <c r="BC169" i="25"/>
  <c r="J190" i="25"/>
  <c r="K213" i="25"/>
  <c r="Q208" i="25"/>
  <c r="P185" i="25"/>
  <c r="N187" i="25"/>
  <c r="O210" i="25"/>
  <c r="U203" i="25"/>
  <c r="T180" i="25"/>
  <c r="T181" i="25"/>
  <c r="U204" i="25"/>
  <c r="N211" i="25"/>
  <c r="M188" i="25"/>
  <c r="I191" i="25"/>
  <c r="J214" i="25"/>
  <c r="N186" i="25"/>
  <c r="O209" i="25"/>
  <c r="H192" i="25"/>
  <c r="I215" i="25"/>
  <c r="U179" i="25"/>
  <c r="BA169" i="25"/>
  <c r="T205" i="25"/>
  <c r="S182" i="25"/>
  <c r="L212" i="25"/>
  <c r="K189" i="25"/>
  <c r="H21" i="31"/>
  <c r="X260" i="1"/>
  <c r="T216" i="1"/>
  <c r="S193" i="1"/>
  <c r="S194" i="1"/>
  <c r="T217" i="1"/>
  <c r="U191" i="1"/>
  <c r="X214" i="1"/>
  <c r="Y214" i="1" s="1"/>
  <c r="AA259" i="1"/>
  <c r="U192" i="1"/>
  <c r="X215" i="1"/>
  <c r="Y215" i="1" s="1"/>
  <c r="P255" i="25"/>
  <c r="R264" i="1"/>
  <c r="E22" i="31"/>
  <c r="Y259" i="1"/>
  <c r="L21" i="31"/>
  <c r="K22" i="31"/>
  <c r="F21" i="31"/>
  <c r="S263" i="1"/>
  <c r="H263" i="25"/>
  <c r="S252" i="25"/>
  <c r="U262" i="1"/>
  <c r="Q254" i="25"/>
  <c r="T251" i="25"/>
  <c r="N256" i="25"/>
  <c r="U249" i="25"/>
  <c r="U261" i="1"/>
  <c r="J260" i="25"/>
  <c r="I261" i="25"/>
  <c r="F264" i="25"/>
  <c r="Q253" i="25"/>
  <c r="T250" i="25"/>
  <c r="M258" i="25"/>
  <c r="K259" i="25"/>
  <c r="N257" i="25"/>
  <c r="H262" i="25"/>
  <c r="S206" i="25" l="1"/>
  <c r="R183" i="25"/>
  <c r="L189" i="25"/>
  <c r="M212" i="25"/>
  <c r="O186" i="25"/>
  <c r="P209" i="25"/>
  <c r="N188" i="25"/>
  <c r="O211" i="25"/>
  <c r="U180" i="25"/>
  <c r="Q185" i="25"/>
  <c r="R208" i="25"/>
  <c r="I193" i="25"/>
  <c r="J216" i="25"/>
  <c r="AW169" i="25"/>
  <c r="AQ249" i="25" s="1"/>
  <c r="BE196" i="25"/>
  <c r="H217" i="25"/>
  <c r="G194" i="25"/>
  <c r="U205" i="25"/>
  <c r="T182" i="25"/>
  <c r="I192" i="25"/>
  <c r="J215" i="25"/>
  <c r="K214" i="25"/>
  <c r="J191" i="25"/>
  <c r="U181" i="25"/>
  <c r="P210" i="25"/>
  <c r="O187" i="25"/>
  <c r="K190" i="25"/>
  <c r="L213" i="25"/>
  <c r="S207" i="25"/>
  <c r="R184" i="25"/>
  <c r="X262" i="1"/>
  <c r="I21" i="31"/>
  <c r="X261" i="1"/>
  <c r="H22" i="31"/>
  <c r="T193" i="1"/>
  <c r="U216" i="1"/>
  <c r="T194" i="1"/>
  <c r="U217" i="1"/>
  <c r="AA260" i="1"/>
  <c r="Y260" i="1"/>
  <c r="L22" i="31"/>
  <c r="T252" i="25"/>
  <c r="S264" i="1"/>
  <c r="K24" i="31"/>
  <c r="F22" i="31"/>
  <c r="E24" i="31"/>
  <c r="K23" i="31"/>
  <c r="N258" i="25"/>
  <c r="E23" i="31"/>
  <c r="O256" i="25"/>
  <c r="U250" i="25"/>
  <c r="G264" i="25"/>
  <c r="I263" i="25"/>
  <c r="U251" i="25"/>
  <c r="R253" i="25"/>
  <c r="Q255" i="25"/>
  <c r="K260" i="25"/>
  <c r="L259" i="25"/>
  <c r="J261" i="25"/>
  <c r="O257" i="25"/>
  <c r="R254" i="25"/>
  <c r="I262" i="25"/>
  <c r="T263" i="1"/>
  <c r="AQ204" i="25" l="1"/>
  <c r="AR204" i="25" s="1"/>
  <c r="AQ251" i="25"/>
  <c r="AQ250" i="25"/>
  <c r="S183" i="25"/>
  <c r="T206" i="25"/>
  <c r="BE214" i="25"/>
  <c r="BE200" i="25"/>
  <c r="BE215" i="25"/>
  <c r="BE209" i="25"/>
  <c r="BE204" i="25"/>
  <c r="BE213" i="25"/>
  <c r="BE212" i="25"/>
  <c r="BE210" i="25"/>
  <c r="BE218" i="25"/>
  <c r="BE203" i="25"/>
  <c r="BE216" i="25"/>
  <c r="BE205" i="25"/>
  <c r="BE202" i="25"/>
  <c r="BE219" i="25"/>
  <c r="BE217" i="25"/>
  <c r="BE208" i="25"/>
  <c r="BE211" i="25"/>
  <c r="BE206" i="25"/>
  <c r="BE199" i="25"/>
  <c r="V249" i="25" s="1"/>
  <c r="BE201" i="25"/>
  <c r="BE207" i="25"/>
  <c r="S208" i="25"/>
  <c r="R185" i="25"/>
  <c r="P211" i="25"/>
  <c r="O188" i="25"/>
  <c r="N212" i="25"/>
  <c r="M189" i="25"/>
  <c r="H194" i="25"/>
  <c r="I217" i="25"/>
  <c r="S184" i="25"/>
  <c r="T207" i="25"/>
  <c r="P187" i="25"/>
  <c r="Q210" i="25"/>
  <c r="L214" i="25"/>
  <c r="K191" i="25"/>
  <c r="U182" i="25"/>
  <c r="AQ205" i="25"/>
  <c r="AR205" i="25" s="1"/>
  <c r="AQ198" i="25"/>
  <c r="AR198" i="25" s="1"/>
  <c r="AQ245" i="25"/>
  <c r="AQ199" i="25"/>
  <c r="AR199" i="25" s="1"/>
  <c r="AQ200" i="25"/>
  <c r="AR200" i="25" s="1"/>
  <c r="AQ246" i="25"/>
  <c r="AQ201" i="25"/>
  <c r="AR201" i="25" s="1"/>
  <c r="AQ247" i="25"/>
  <c r="AQ202" i="25"/>
  <c r="AR202" i="25" s="1"/>
  <c r="AQ248" i="25"/>
  <c r="L190" i="25"/>
  <c r="M213" i="25"/>
  <c r="K215" i="25"/>
  <c r="J192" i="25"/>
  <c r="J193" i="25"/>
  <c r="K216" i="25"/>
  <c r="AQ203" i="25"/>
  <c r="AR203" i="25" s="1"/>
  <c r="Q209" i="25"/>
  <c r="P186" i="25"/>
  <c r="H23" i="31"/>
  <c r="I22" i="31"/>
  <c r="H24" i="31"/>
  <c r="U194" i="1"/>
  <c r="X217" i="1"/>
  <c r="AA261" i="1"/>
  <c r="AA262" i="1"/>
  <c r="X216" i="1"/>
  <c r="Y216" i="1" s="1"/>
  <c r="U193" i="1"/>
  <c r="AR251" i="25"/>
  <c r="Y262" i="1"/>
  <c r="E25" i="31"/>
  <c r="L23" i="31"/>
  <c r="AR250" i="25"/>
  <c r="T264" i="1"/>
  <c r="Y261" i="1"/>
  <c r="L24" i="31"/>
  <c r="F23" i="31"/>
  <c r="K25" i="31"/>
  <c r="F24" i="31"/>
  <c r="K261" i="25"/>
  <c r="S253" i="25"/>
  <c r="H264" i="25"/>
  <c r="P256" i="25"/>
  <c r="AR249" i="25"/>
  <c r="U263" i="1"/>
  <c r="R255" i="25"/>
  <c r="M259" i="25"/>
  <c r="L260" i="25"/>
  <c r="J263" i="25"/>
  <c r="P257" i="25"/>
  <c r="U252" i="25"/>
  <c r="O258" i="25"/>
  <c r="S254" i="25"/>
  <c r="J262" i="25"/>
  <c r="V251" i="25" l="1"/>
  <c r="W251" i="25" s="1"/>
  <c r="X251" i="25" s="1"/>
  <c r="Y251" i="25" s="1"/>
  <c r="Z251" i="25" s="1"/>
  <c r="AA251" i="25" s="1"/>
  <c r="AB251" i="25" s="1"/>
  <c r="AC251" i="25" s="1"/>
  <c r="AD251" i="25" s="1"/>
  <c r="AE251" i="25" s="1"/>
  <c r="AF251" i="25" s="1"/>
  <c r="AG251" i="25" s="1"/>
  <c r="AH251" i="25" s="1"/>
  <c r="AI251" i="25" s="1"/>
  <c r="AJ251" i="25" s="1"/>
  <c r="AK251" i="25" s="1"/>
  <c r="AL251" i="25" s="1"/>
  <c r="AM251" i="25" s="1"/>
  <c r="AN251" i="25" s="1"/>
  <c r="AO251" i="25" s="1"/>
  <c r="V250" i="25"/>
  <c r="W250" i="25" s="1"/>
  <c r="X250" i="25" s="1"/>
  <c r="Y250" i="25" s="1"/>
  <c r="Z250" i="25" s="1"/>
  <c r="AA250" i="25" s="1"/>
  <c r="AB250" i="25" s="1"/>
  <c r="AC250" i="25" s="1"/>
  <c r="AD250" i="25" s="1"/>
  <c r="AE250" i="25" s="1"/>
  <c r="AF250" i="25" s="1"/>
  <c r="AG250" i="25" s="1"/>
  <c r="AH250" i="25" s="1"/>
  <c r="AI250" i="25" s="1"/>
  <c r="AJ250" i="25" s="1"/>
  <c r="AK250" i="25" s="1"/>
  <c r="AL250" i="25" s="1"/>
  <c r="AM250" i="25" s="1"/>
  <c r="AN250" i="25" s="1"/>
  <c r="AO250" i="25" s="1"/>
  <c r="AQ252" i="25"/>
  <c r="W249" i="25"/>
  <c r="X249" i="25" s="1"/>
  <c r="Y249" i="25" s="1"/>
  <c r="Z249" i="25" s="1"/>
  <c r="AA249" i="25" s="1"/>
  <c r="AB249" i="25" s="1"/>
  <c r="AC249" i="25" s="1"/>
  <c r="AD249" i="25" s="1"/>
  <c r="AE249" i="25" s="1"/>
  <c r="AF249" i="25" s="1"/>
  <c r="AG249" i="25" s="1"/>
  <c r="AH249" i="25" s="1"/>
  <c r="AI249" i="25" s="1"/>
  <c r="AJ249" i="25" s="1"/>
  <c r="AK249" i="25" s="1"/>
  <c r="AL249" i="25" s="1"/>
  <c r="AM249" i="25" s="1"/>
  <c r="AN249" i="25" s="1"/>
  <c r="AO249" i="25" s="1"/>
  <c r="R210" i="25"/>
  <c r="Q187" i="25"/>
  <c r="L216" i="25"/>
  <c r="K193" i="25"/>
  <c r="N213" i="25"/>
  <c r="M190" i="25"/>
  <c r="V247" i="25"/>
  <c r="P188" i="25"/>
  <c r="Q211" i="25"/>
  <c r="T183" i="25"/>
  <c r="U206" i="25"/>
  <c r="L215" i="25"/>
  <c r="K192" i="25"/>
  <c r="J217" i="25"/>
  <c r="I194" i="25"/>
  <c r="V245" i="25"/>
  <c r="T184" i="25"/>
  <c r="U207" i="25"/>
  <c r="Q186" i="25"/>
  <c r="R209" i="25"/>
  <c r="V248" i="25"/>
  <c r="V246" i="25"/>
  <c r="L191" i="25"/>
  <c r="M214" i="25"/>
  <c r="N189" i="25"/>
  <c r="O212" i="25"/>
  <c r="T208" i="25"/>
  <c r="S185" i="25"/>
  <c r="I23" i="31"/>
  <c r="X263" i="1"/>
  <c r="I24" i="31"/>
  <c r="H25" i="31"/>
  <c r="Y217" i="1"/>
  <c r="X219" i="1"/>
  <c r="I264" i="25"/>
  <c r="AC14" i="28"/>
  <c r="AR247" i="25"/>
  <c r="AC19" i="28"/>
  <c r="AR245" i="25"/>
  <c r="AR246" i="25"/>
  <c r="Y219" i="1"/>
  <c r="AR252" i="25"/>
  <c r="U264" i="1"/>
  <c r="AR248" i="25"/>
  <c r="Y269" i="1"/>
  <c r="Q256" i="25"/>
  <c r="L261" i="25"/>
  <c r="N259" i="25"/>
  <c r="M260" i="25"/>
  <c r="K263" i="25"/>
  <c r="P258" i="25"/>
  <c r="S255" i="25"/>
  <c r="T253" i="25"/>
  <c r="K262" i="25"/>
  <c r="T254" i="25"/>
  <c r="Q257" i="25"/>
  <c r="X264" i="1" l="1"/>
  <c r="K217" i="25"/>
  <c r="J194" i="25"/>
  <c r="L193" i="25"/>
  <c r="M216" i="25"/>
  <c r="P212" i="25"/>
  <c r="O189" i="25"/>
  <c r="W245" i="25"/>
  <c r="X245" i="25" s="1"/>
  <c r="Y245" i="25" s="1"/>
  <c r="Z245" i="25" s="1"/>
  <c r="AA245" i="25" s="1"/>
  <c r="AB245" i="25" s="1"/>
  <c r="AC245" i="25" s="1"/>
  <c r="AD245" i="25" s="1"/>
  <c r="AE245" i="25" s="1"/>
  <c r="AF245" i="25" s="1"/>
  <c r="AG245" i="25" s="1"/>
  <c r="AH245" i="25" s="1"/>
  <c r="AI245" i="25" s="1"/>
  <c r="AJ245" i="25" s="1"/>
  <c r="AK245" i="25" s="1"/>
  <c r="AL245" i="25" s="1"/>
  <c r="AM245" i="25" s="1"/>
  <c r="AN245" i="25" s="1"/>
  <c r="AO245" i="25" s="1"/>
  <c r="B266" i="25"/>
  <c r="B267" i="25" s="1"/>
  <c r="L192" i="25"/>
  <c r="M215" i="25"/>
  <c r="N190" i="25"/>
  <c r="O213" i="25"/>
  <c r="R187" i="25"/>
  <c r="S210" i="25"/>
  <c r="T185" i="25"/>
  <c r="U208" i="25"/>
  <c r="W246" i="25"/>
  <c r="X246" i="25" s="1"/>
  <c r="Y246" i="25" s="1"/>
  <c r="Z246" i="25" s="1"/>
  <c r="AA246" i="25" s="1"/>
  <c r="AB246" i="25" s="1"/>
  <c r="AC246" i="25" s="1"/>
  <c r="AD246" i="25" s="1"/>
  <c r="AE246" i="25" s="1"/>
  <c r="AF246" i="25" s="1"/>
  <c r="AG246" i="25" s="1"/>
  <c r="AH246" i="25" s="1"/>
  <c r="AI246" i="25" s="1"/>
  <c r="AJ246" i="25" s="1"/>
  <c r="AK246" i="25" s="1"/>
  <c r="AL246" i="25" s="1"/>
  <c r="AM246" i="25" s="1"/>
  <c r="AN246" i="25" s="1"/>
  <c r="AO246" i="25" s="1"/>
  <c r="R186" i="25"/>
  <c r="S209" i="25"/>
  <c r="R211" i="25"/>
  <c r="Q188" i="25"/>
  <c r="N214" i="25"/>
  <c r="M191" i="25"/>
  <c r="W248" i="25"/>
  <c r="U184" i="25"/>
  <c r="AQ207" i="25"/>
  <c r="AR207" i="25" s="1"/>
  <c r="AQ206" i="25"/>
  <c r="AR206" i="25" s="1"/>
  <c r="U183" i="25"/>
  <c r="W247" i="25"/>
  <c r="X247" i="25" s="1"/>
  <c r="Y247" i="25" s="1"/>
  <c r="Z247" i="25" s="1"/>
  <c r="AA247" i="25" s="1"/>
  <c r="AB247" i="25" s="1"/>
  <c r="AC247" i="25" s="1"/>
  <c r="AD247" i="25" s="1"/>
  <c r="AE247" i="25" s="1"/>
  <c r="AF247" i="25" s="1"/>
  <c r="AG247" i="25" s="1"/>
  <c r="AH247" i="25" s="1"/>
  <c r="AI247" i="25" s="1"/>
  <c r="AJ247" i="25" s="1"/>
  <c r="AK247" i="25" s="1"/>
  <c r="AL247" i="25" s="1"/>
  <c r="AM247" i="25" s="1"/>
  <c r="AN247" i="25" s="1"/>
  <c r="AO247" i="25" s="1"/>
  <c r="V252" i="25"/>
  <c r="W252" i="25" s="1"/>
  <c r="X252" i="25" s="1"/>
  <c r="Y252" i="25" s="1"/>
  <c r="Z252" i="25" s="1"/>
  <c r="AA252" i="25" s="1"/>
  <c r="AB252" i="25" s="1"/>
  <c r="AC252" i="25" s="1"/>
  <c r="AD252" i="25" s="1"/>
  <c r="AE252" i="25" s="1"/>
  <c r="AF252" i="25" s="1"/>
  <c r="AG252" i="25" s="1"/>
  <c r="AH252" i="25" s="1"/>
  <c r="AI252" i="25" s="1"/>
  <c r="AJ252" i="25" s="1"/>
  <c r="AK252" i="25" s="1"/>
  <c r="AL252" i="25" s="1"/>
  <c r="AM252" i="25" s="1"/>
  <c r="AN252" i="25" s="1"/>
  <c r="AO252" i="25" s="1"/>
  <c r="AC24" i="28"/>
  <c r="C24" i="28"/>
  <c r="G24" i="28"/>
  <c r="F8" i="37" s="1"/>
  <c r="K24" i="28"/>
  <c r="F12" i="37" s="1"/>
  <c r="O24" i="28"/>
  <c r="F16" i="37" s="1"/>
  <c r="S24" i="28"/>
  <c r="F20" i="37" s="1"/>
  <c r="W24" i="28"/>
  <c r="F24" i="37" s="1"/>
  <c r="AA24" i="28"/>
  <c r="F28" i="37" s="1"/>
  <c r="D24" i="28"/>
  <c r="F5" i="37" s="1"/>
  <c r="H24" i="28"/>
  <c r="F9" i="37" s="1"/>
  <c r="L24" i="28"/>
  <c r="F13" i="37" s="1"/>
  <c r="P24" i="28"/>
  <c r="F17" i="37" s="1"/>
  <c r="T24" i="28"/>
  <c r="F21" i="37" s="1"/>
  <c r="X24" i="28"/>
  <c r="F25" i="37" s="1"/>
  <c r="AB24" i="28"/>
  <c r="F29" i="37" s="1"/>
  <c r="E24" i="28"/>
  <c r="F6" i="37" s="1"/>
  <c r="I24" i="28"/>
  <c r="F10" i="37" s="1"/>
  <c r="M24" i="28"/>
  <c r="F14" i="37" s="1"/>
  <c r="Q24" i="28"/>
  <c r="F18" i="37" s="1"/>
  <c r="U24" i="28"/>
  <c r="F22" i="37" s="1"/>
  <c r="Y24" i="28"/>
  <c r="F26" i="37" s="1"/>
  <c r="F24" i="28"/>
  <c r="F7" i="37" s="1"/>
  <c r="J24" i="28"/>
  <c r="F11" i="37" s="1"/>
  <c r="N24" i="28"/>
  <c r="F15" i="37" s="1"/>
  <c r="R24" i="28"/>
  <c r="F19" i="37" s="1"/>
  <c r="V24" i="28"/>
  <c r="F23" i="37" s="1"/>
  <c r="Z24" i="28"/>
  <c r="F27" i="37" s="1"/>
  <c r="AA263" i="1"/>
  <c r="AA264" i="1"/>
  <c r="X266" i="1"/>
  <c r="F26" i="31"/>
  <c r="AC15" i="28"/>
  <c r="L25" i="31"/>
  <c r="L26" i="31"/>
  <c r="L263" i="25"/>
  <c r="Y263" i="1"/>
  <c r="AC20" i="28"/>
  <c r="F25" i="31"/>
  <c r="N260" i="25"/>
  <c r="Y264" i="1"/>
  <c r="M261" i="25"/>
  <c r="R256" i="25"/>
  <c r="L262" i="25"/>
  <c r="R257" i="25"/>
  <c r="U254" i="25"/>
  <c r="J264" i="25"/>
  <c r="O259" i="25"/>
  <c r="Q258" i="25"/>
  <c r="U253" i="25"/>
  <c r="T255" i="25"/>
  <c r="AA266" i="1" l="1"/>
  <c r="E266" i="25"/>
  <c r="E267" i="25" s="1"/>
  <c r="C266" i="25"/>
  <c r="C267" i="25" s="1"/>
  <c r="D266" i="25"/>
  <c r="D267" i="25" s="1"/>
  <c r="AQ253" i="25"/>
  <c r="V253" i="25" s="1"/>
  <c r="W253" i="25" s="1"/>
  <c r="X253" i="25" s="1"/>
  <c r="Y253" i="25" s="1"/>
  <c r="Z253" i="25" s="1"/>
  <c r="AA253" i="25" s="1"/>
  <c r="AB253" i="25" s="1"/>
  <c r="AC253" i="25" s="1"/>
  <c r="AD253" i="25" s="1"/>
  <c r="AE253" i="25" s="1"/>
  <c r="AF253" i="25" s="1"/>
  <c r="AG253" i="25" s="1"/>
  <c r="AH253" i="25" s="1"/>
  <c r="AI253" i="25" s="1"/>
  <c r="AJ253" i="25" s="1"/>
  <c r="AK253" i="25" s="1"/>
  <c r="AL253" i="25" s="1"/>
  <c r="AM253" i="25" s="1"/>
  <c r="AN253" i="25" s="1"/>
  <c r="AO253" i="25" s="1"/>
  <c r="AQ254" i="25"/>
  <c r="M192" i="25"/>
  <c r="N215" i="25"/>
  <c r="X248" i="25"/>
  <c r="F266" i="25"/>
  <c r="F267" i="25" s="1"/>
  <c r="R188" i="25"/>
  <c r="S211" i="25"/>
  <c r="P189" i="25"/>
  <c r="Q212" i="25"/>
  <c r="K194" i="25"/>
  <c r="L217" i="25"/>
  <c r="T210" i="25"/>
  <c r="S187" i="25"/>
  <c r="S186" i="25"/>
  <c r="T209" i="25"/>
  <c r="AQ208" i="25"/>
  <c r="U185" i="25"/>
  <c r="O190" i="25"/>
  <c r="P213" i="25"/>
  <c r="N216" i="25"/>
  <c r="M193" i="25"/>
  <c r="O214" i="25"/>
  <c r="N191" i="25"/>
  <c r="AC25" i="28"/>
  <c r="F4" i="37"/>
  <c r="D25" i="28"/>
  <c r="J5" i="37" s="1"/>
  <c r="H25" i="28"/>
  <c r="J9" i="37" s="1"/>
  <c r="L25" i="28"/>
  <c r="J13" i="37" s="1"/>
  <c r="P25" i="28"/>
  <c r="J17" i="37" s="1"/>
  <c r="T25" i="28"/>
  <c r="J21" i="37" s="1"/>
  <c r="X25" i="28"/>
  <c r="J25" i="37" s="1"/>
  <c r="AB25" i="28"/>
  <c r="J29" i="37" s="1"/>
  <c r="E25" i="28"/>
  <c r="J6" i="37" s="1"/>
  <c r="I25" i="28"/>
  <c r="J10" i="37" s="1"/>
  <c r="M25" i="28"/>
  <c r="J14" i="37" s="1"/>
  <c r="Q25" i="28"/>
  <c r="J18" i="37" s="1"/>
  <c r="U25" i="28"/>
  <c r="J22" i="37" s="1"/>
  <c r="Y25" i="28"/>
  <c r="J26" i="37" s="1"/>
  <c r="F25" i="28"/>
  <c r="J7" i="37" s="1"/>
  <c r="J25" i="28"/>
  <c r="J11" i="37" s="1"/>
  <c r="N25" i="28"/>
  <c r="J15" i="37" s="1"/>
  <c r="R25" i="28"/>
  <c r="J19" i="37" s="1"/>
  <c r="V25" i="28"/>
  <c r="J23" i="37" s="1"/>
  <c r="C25" i="28"/>
  <c r="J4" i="37" s="1"/>
  <c r="G25" i="28"/>
  <c r="J8" i="37" s="1"/>
  <c r="K25" i="28"/>
  <c r="J12" i="37" s="1"/>
  <c r="O25" i="28"/>
  <c r="J16" i="37" s="1"/>
  <c r="S25" i="28"/>
  <c r="J20" i="37" s="1"/>
  <c r="W25" i="28"/>
  <c r="J24" i="37" s="1"/>
  <c r="AA25" i="28"/>
  <c r="J28" i="37" s="1"/>
  <c r="Z25" i="28"/>
  <c r="J27" i="37" s="1"/>
  <c r="I25" i="31"/>
  <c r="I26" i="31"/>
  <c r="F29" i="31"/>
  <c r="F30" i="31" s="1"/>
  <c r="Y266" i="1"/>
  <c r="AC12" i="28"/>
  <c r="U71" i="28"/>
  <c r="E71" i="28"/>
  <c r="P70" i="28"/>
  <c r="AA69" i="28"/>
  <c r="K69" i="28"/>
  <c r="V68" i="28"/>
  <c r="F68" i="28"/>
  <c r="Q67" i="28"/>
  <c r="AB66" i="28"/>
  <c r="L66" i="28"/>
  <c r="S65" i="28"/>
  <c r="Y64" i="28"/>
  <c r="D64" i="28"/>
  <c r="I63" i="28"/>
  <c r="O62" i="28"/>
  <c r="J61" i="28"/>
  <c r="E60" i="28"/>
  <c r="Z57" i="28"/>
  <c r="P55" i="28"/>
  <c r="F53" i="28"/>
  <c r="P71" i="28"/>
  <c r="AA70" i="28"/>
  <c r="K70" i="28"/>
  <c r="V69" i="28"/>
  <c r="F69" i="28"/>
  <c r="Q68" i="28"/>
  <c r="AB67" i="28"/>
  <c r="L67" i="28"/>
  <c r="W66" i="28"/>
  <c r="G66" i="28"/>
  <c r="M65" i="28"/>
  <c r="R64" i="28"/>
  <c r="X63" i="28"/>
  <c r="C63" i="28"/>
  <c r="D62" i="28"/>
  <c r="Z60" i="28"/>
  <c r="P59" i="28"/>
  <c r="F57" i="28"/>
  <c r="W54" i="28"/>
  <c r="W71" i="28"/>
  <c r="G71" i="28"/>
  <c r="R70" i="28"/>
  <c r="AC69" i="28"/>
  <c r="M69" i="28"/>
  <c r="X68" i="28"/>
  <c r="H68" i="28"/>
  <c r="S67" i="28"/>
  <c r="C67" i="28"/>
  <c r="N66" i="28"/>
  <c r="V65" i="28"/>
  <c r="AB64" i="28"/>
  <c r="F64" i="28"/>
  <c r="L63" i="28"/>
  <c r="R62" i="28"/>
  <c r="N61" i="28"/>
  <c r="I60" i="28"/>
  <c r="G58" i="28"/>
  <c r="X55" i="28"/>
  <c r="N53" i="28"/>
  <c r="N71" i="28"/>
  <c r="Y70" i="28"/>
  <c r="I70" i="28"/>
  <c r="T69" i="28"/>
  <c r="D69" i="28"/>
  <c r="O68" i="28"/>
  <c r="Z67" i="28"/>
  <c r="J67" i="28"/>
  <c r="U66" i="28"/>
  <c r="D66" i="28"/>
  <c r="J65" i="28"/>
  <c r="P64" i="28"/>
  <c r="U63" i="28"/>
  <c r="AA62" i="28"/>
  <c r="AA61" i="28"/>
  <c r="V60" i="28"/>
  <c r="H59" i="28"/>
  <c r="Y56" i="28"/>
  <c r="O54" i="28"/>
  <c r="AB65" i="28"/>
  <c r="L65" i="28"/>
  <c r="W64" i="28"/>
  <c r="G64" i="28"/>
  <c r="R63" i="28"/>
  <c r="AC62" i="28"/>
  <c r="M62" i="28"/>
  <c r="X61" i="28"/>
  <c r="H61" i="28"/>
  <c r="S60" i="28"/>
  <c r="C60" i="28"/>
  <c r="N59" i="28"/>
  <c r="Y58" i="28"/>
  <c r="I58" i="28"/>
  <c r="T57" i="28"/>
  <c r="D57" i="28"/>
  <c r="O56" i="28"/>
  <c r="Z55" i="28"/>
  <c r="J55" i="28"/>
  <c r="U54" i="28"/>
  <c r="E54" i="28"/>
  <c r="P53" i="28"/>
  <c r="Y59" i="28"/>
  <c r="I59" i="28"/>
  <c r="T58" i="28"/>
  <c r="D58" i="28"/>
  <c r="O57" i="28"/>
  <c r="Z56" i="28"/>
  <c r="J56" i="28"/>
  <c r="U55" i="28"/>
  <c r="E55" i="28"/>
  <c r="P54" i="28"/>
  <c r="AA53" i="28"/>
  <c r="K53" i="28"/>
  <c r="J62" i="28"/>
  <c r="U61" i="28"/>
  <c r="E61" i="28"/>
  <c r="P60" i="28"/>
  <c r="AA59" i="28"/>
  <c r="K59" i="28"/>
  <c r="V58" i="28"/>
  <c r="F58" i="28"/>
  <c r="Q57" i="28"/>
  <c r="AB56" i="28"/>
  <c r="L56" i="28"/>
  <c r="W55" i="28"/>
  <c r="G55" i="28"/>
  <c r="R54" i="28"/>
  <c r="AC53" i="28"/>
  <c r="M53" i="28"/>
  <c r="E26" i="31"/>
  <c r="S256" i="25"/>
  <c r="Y71" i="28"/>
  <c r="D70" i="28"/>
  <c r="J68" i="28"/>
  <c r="E67" i="28"/>
  <c r="C65" i="28"/>
  <c r="T62" i="28"/>
  <c r="O58" i="28"/>
  <c r="T71" i="28"/>
  <c r="Z69" i="28"/>
  <c r="E68" i="28"/>
  <c r="K66" i="28"/>
  <c r="AC63" i="28"/>
  <c r="AC59" i="28"/>
  <c r="AA71" i="28"/>
  <c r="Q69" i="28"/>
  <c r="W67" i="28"/>
  <c r="AA65" i="28"/>
  <c r="Q63" i="28"/>
  <c r="Q60" i="28"/>
  <c r="R71" i="28"/>
  <c r="X69" i="28"/>
  <c r="C68" i="28"/>
  <c r="I66" i="28"/>
  <c r="AA63" i="28"/>
  <c r="C61" i="28"/>
  <c r="D55" i="28"/>
  <c r="AA64" i="28"/>
  <c r="F63" i="28"/>
  <c r="L61" i="28"/>
  <c r="R59" i="28"/>
  <c r="X57" i="28"/>
  <c r="C56" i="28"/>
  <c r="T53" i="28"/>
  <c r="X58" i="28"/>
  <c r="C57" i="28"/>
  <c r="I55" i="28"/>
  <c r="O53" i="28"/>
  <c r="T60" i="28"/>
  <c r="Z58" i="28"/>
  <c r="U57" i="28"/>
  <c r="AA55" i="28"/>
  <c r="F54" i="28"/>
  <c r="AR253" i="25"/>
  <c r="AC17" i="28"/>
  <c r="Q71" i="28"/>
  <c r="AB70" i="28"/>
  <c r="L70" i="28"/>
  <c r="W69" i="28"/>
  <c r="G69" i="28"/>
  <c r="R68" i="28"/>
  <c r="AC67" i="28"/>
  <c r="M67" i="28"/>
  <c r="X66" i="28"/>
  <c r="H66" i="28"/>
  <c r="N65" i="28"/>
  <c r="T64" i="28"/>
  <c r="Y63" i="28"/>
  <c r="D63" i="28"/>
  <c r="G62" i="28"/>
  <c r="AC60" i="28"/>
  <c r="T59" i="28"/>
  <c r="J57" i="28"/>
  <c r="AA54" i="28"/>
  <c r="AB71" i="28"/>
  <c r="L71" i="28"/>
  <c r="W70" i="28"/>
  <c r="G70" i="28"/>
  <c r="R69" i="28"/>
  <c r="AC68" i="28"/>
  <c r="M68" i="28"/>
  <c r="X67" i="28"/>
  <c r="H67" i="28"/>
  <c r="S66" i="28"/>
  <c r="AC65" i="28"/>
  <c r="G65" i="28"/>
  <c r="M64" i="28"/>
  <c r="S63" i="28"/>
  <c r="X62" i="28"/>
  <c r="W61" i="28"/>
  <c r="R60" i="28"/>
  <c r="AA58" i="28"/>
  <c r="Q56" i="28"/>
  <c r="G54" i="28"/>
  <c r="S71" i="28"/>
  <c r="C71" i="28"/>
  <c r="N70" i="28"/>
  <c r="Y69" i="28"/>
  <c r="I69" i="28"/>
  <c r="T68" i="28"/>
  <c r="D68" i="28"/>
  <c r="O67" i="28"/>
  <c r="Z66" i="28"/>
  <c r="J66" i="28"/>
  <c r="Q65" i="28"/>
  <c r="V64" i="28"/>
  <c r="AB63" i="28"/>
  <c r="G63" i="28"/>
  <c r="K62" i="28"/>
  <c r="F61" i="28"/>
  <c r="AB59" i="28"/>
  <c r="R57" i="28"/>
  <c r="H55" i="28"/>
  <c r="Z71" i="28"/>
  <c r="J71" i="28"/>
  <c r="U70" i="28"/>
  <c r="E70" i="28"/>
  <c r="P69" i="28"/>
  <c r="AA68" i="28"/>
  <c r="K68" i="28"/>
  <c r="V67" i="28"/>
  <c r="F67" i="28"/>
  <c r="Q66" i="28"/>
  <c r="Z65" i="28"/>
  <c r="E65" i="28"/>
  <c r="J64" i="28"/>
  <c r="P63" i="28"/>
  <c r="V62" i="28"/>
  <c r="S61" i="28"/>
  <c r="N60" i="28"/>
  <c r="S58" i="28"/>
  <c r="I56" i="28"/>
  <c r="Z53" i="28"/>
  <c r="X65" i="28"/>
  <c r="H65" i="28"/>
  <c r="S64" i="28"/>
  <c r="C64" i="28"/>
  <c r="N63" i="28"/>
  <c r="Y62" i="28"/>
  <c r="I62" i="28"/>
  <c r="T61" i="28"/>
  <c r="D61" i="28"/>
  <c r="O60" i="28"/>
  <c r="Z59" i="28"/>
  <c r="J59" i="28"/>
  <c r="U58" i="28"/>
  <c r="E58" i="28"/>
  <c r="P57" i="28"/>
  <c r="AA56" i="28"/>
  <c r="K56" i="28"/>
  <c r="V55" i="28"/>
  <c r="F55" i="28"/>
  <c r="Q54" i="28"/>
  <c r="AB53" i="28"/>
  <c r="L53" i="28"/>
  <c r="U59" i="28"/>
  <c r="E59" i="28"/>
  <c r="P58" i="28"/>
  <c r="AA57" i="28"/>
  <c r="K57" i="28"/>
  <c r="V56" i="28"/>
  <c r="F56" i="28"/>
  <c r="Q55" i="28"/>
  <c r="AB54" i="28"/>
  <c r="L54" i="28"/>
  <c r="W53" i="28"/>
  <c r="G53" i="28"/>
  <c r="F62" i="28"/>
  <c r="Q61" i="28"/>
  <c r="AB60" i="28"/>
  <c r="L60" i="28"/>
  <c r="W59" i="28"/>
  <c r="G59" i="28"/>
  <c r="R58" i="28"/>
  <c r="AC57" i="28"/>
  <c r="M57" i="28"/>
  <c r="X56" i="28"/>
  <c r="H56" i="28"/>
  <c r="S55" i="28"/>
  <c r="C55" i="28"/>
  <c r="N54" i="28"/>
  <c r="Y53" i="28"/>
  <c r="I53" i="28"/>
  <c r="I71" i="28"/>
  <c r="O69" i="28"/>
  <c r="U67" i="28"/>
  <c r="Y65" i="28"/>
  <c r="O63" i="28"/>
  <c r="R61" i="28"/>
  <c r="E56" i="28"/>
  <c r="D71" i="28"/>
  <c r="J69" i="28"/>
  <c r="P67" i="28"/>
  <c r="R65" i="28"/>
  <c r="H63" i="28"/>
  <c r="V57" i="28"/>
  <c r="K71" i="28"/>
  <c r="F70" i="28"/>
  <c r="L68" i="28"/>
  <c r="R66" i="28"/>
  <c r="L64" i="28"/>
  <c r="V61" i="28"/>
  <c r="W58" i="28"/>
  <c r="C54" i="28"/>
  <c r="M70" i="28"/>
  <c r="S68" i="28"/>
  <c r="Y66" i="28"/>
  <c r="U64" i="28"/>
  <c r="H62" i="28"/>
  <c r="N57" i="28"/>
  <c r="P65" i="28"/>
  <c r="V63" i="28"/>
  <c r="AB61" i="28"/>
  <c r="G60" i="28"/>
  <c r="M58" i="28"/>
  <c r="S56" i="28"/>
  <c r="Y54" i="28"/>
  <c r="D53" i="28"/>
  <c r="H58" i="28"/>
  <c r="N56" i="28"/>
  <c r="T54" i="28"/>
  <c r="N62" i="28"/>
  <c r="Y61" i="28"/>
  <c r="D60" i="28"/>
  <c r="J58" i="28"/>
  <c r="P56" i="28"/>
  <c r="V54" i="28"/>
  <c r="K26" i="31"/>
  <c r="AC71" i="28"/>
  <c r="M71" i="28"/>
  <c r="X70" i="28"/>
  <c r="H70" i="28"/>
  <c r="S69" i="28"/>
  <c r="C69" i="28"/>
  <c r="N68" i="28"/>
  <c r="Y67" i="28"/>
  <c r="I67" i="28"/>
  <c r="T66" i="28"/>
  <c r="C66" i="28"/>
  <c r="I65" i="28"/>
  <c r="N64" i="28"/>
  <c r="T63" i="28"/>
  <c r="Z62" i="28"/>
  <c r="Z61" i="28"/>
  <c r="U60" i="28"/>
  <c r="D59" i="28"/>
  <c r="U56" i="28"/>
  <c r="K54" i="28"/>
  <c r="X71" i="28"/>
  <c r="H71" i="28"/>
  <c r="S70" i="28"/>
  <c r="C70" i="28"/>
  <c r="N69" i="28"/>
  <c r="Y68" i="28"/>
  <c r="I68" i="28"/>
  <c r="T67" i="28"/>
  <c r="D67" i="28"/>
  <c r="O66" i="28"/>
  <c r="W65" i="28"/>
  <c r="AC64" i="28"/>
  <c r="H64" i="28"/>
  <c r="M63" i="28"/>
  <c r="S62" i="28"/>
  <c r="O61" i="28"/>
  <c r="J60" i="28"/>
  <c r="K58" i="28"/>
  <c r="AB55" i="28"/>
  <c r="R53" i="28"/>
  <c r="O71" i="28"/>
  <c r="Z70" i="28"/>
  <c r="J70" i="28"/>
  <c r="U69" i="28"/>
  <c r="E69" i="28"/>
  <c r="P68" i="28"/>
  <c r="AA67" i="28"/>
  <c r="K67" i="28"/>
  <c r="V66" i="28"/>
  <c r="F66" i="28"/>
  <c r="K65" i="28"/>
  <c r="Q64" i="28"/>
  <c r="W63" i="28"/>
  <c r="AB62" i="28"/>
  <c r="C62" i="28"/>
  <c r="Y60" i="28"/>
  <c r="L59" i="28"/>
  <c r="AC56" i="28"/>
  <c r="S54" i="28"/>
  <c r="V71" i="28"/>
  <c r="F71" i="28"/>
  <c r="Q70" i="28"/>
  <c r="AB69" i="28"/>
  <c r="L69" i="28"/>
  <c r="W68" i="28"/>
  <c r="G68" i="28"/>
  <c r="R67" i="28"/>
  <c r="AC66" i="28"/>
  <c r="M66" i="28"/>
  <c r="U65" i="28"/>
  <c r="Z64" i="28"/>
  <c r="E64" i="28"/>
  <c r="K63" i="28"/>
  <c r="P62" i="28"/>
  <c r="K61" i="28"/>
  <c r="F60" i="28"/>
  <c r="C58" i="28"/>
  <c r="T55" i="28"/>
  <c r="J53" i="28"/>
  <c r="T65" i="28"/>
  <c r="D65" i="28"/>
  <c r="O64" i="28"/>
  <c r="Z63" i="28"/>
  <c r="J63" i="28"/>
  <c r="U62" i="28"/>
  <c r="E62" i="28"/>
  <c r="P61" i="28"/>
  <c r="AA60" i="28"/>
  <c r="K60" i="28"/>
  <c r="V59" i="28"/>
  <c r="F59" i="28"/>
  <c r="Q58" i="28"/>
  <c r="AB57" i="28"/>
  <c r="L57" i="28"/>
  <c r="W56" i="28"/>
  <c r="G56" i="28"/>
  <c r="R55" i="28"/>
  <c r="AC54" i="28"/>
  <c r="M54" i="28"/>
  <c r="X53" i="28"/>
  <c r="H53" i="28"/>
  <c r="Q59" i="28"/>
  <c r="AB58" i="28"/>
  <c r="L58" i="28"/>
  <c r="W57" i="28"/>
  <c r="G57" i="28"/>
  <c r="R56" i="28"/>
  <c r="AC55" i="28"/>
  <c r="M55" i="28"/>
  <c r="X54" i="28"/>
  <c r="H54" i="28"/>
  <c r="S53" i="28"/>
  <c r="C53" i="28"/>
  <c r="AC61" i="28"/>
  <c r="M61" i="28"/>
  <c r="X60" i="28"/>
  <c r="H60" i="28"/>
  <c r="S59" i="28"/>
  <c r="C59" i="28"/>
  <c r="N58" i="28"/>
  <c r="Y57" i="28"/>
  <c r="I57" i="28"/>
  <c r="T56" i="28"/>
  <c r="D56" i="28"/>
  <c r="O55" i="28"/>
  <c r="Z54" i="28"/>
  <c r="J54" i="28"/>
  <c r="U53" i="28"/>
  <c r="E53" i="28"/>
  <c r="AR254" i="25"/>
  <c r="T70" i="28"/>
  <c r="Z68" i="28"/>
  <c r="P66" i="28"/>
  <c r="I64" i="28"/>
  <c r="M60" i="28"/>
  <c r="V53" i="28"/>
  <c r="O70" i="28"/>
  <c r="U68" i="28"/>
  <c r="AA66" i="28"/>
  <c r="X64" i="28"/>
  <c r="L62" i="28"/>
  <c r="G61" i="28"/>
  <c r="L55" i="28"/>
  <c r="V70" i="28"/>
  <c r="AB68" i="28"/>
  <c r="G67" i="28"/>
  <c r="F65" i="28"/>
  <c r="W62" i="28"/>
  <c r="M56" i="28"/>
  <c r="AC70" i="28"/>
  <c r="H69" i="28"/>
  <c r="N67" i="28"/>
  <c r="O65" i="28"/>
  <c r="E63" i="28"/>
  <c r="X59" i="28"/>
  <c r="E66" i="28"/>
  <c r="K64" i="28"/>
  <c r="Q62" i="28"/>
  <c r="W60" i="28"/>
  <c r="AC58" i="28"/>
  <c r="H57" i="28"/>
  <c r="N55" i="28"/>
  <c r="I54" i="28"/>
  <c r="M59" i="28"/>
  <c r="S57" i="28"/>
  <c r="Y55" i="28"/>
  <c r="D54" i="28"/>
  <c r="I61" i="28"/>
  <c r="O59" i="28"/>
  <c r="E57" i="28"/>
  <c r="K55" i="28"/>
  <c r="Q53" i="28"/>
  <c r="S257" i="25"/>
  <c r="U255" i="25"/>
  <c r="M263" i="25"/>
  <c r="P259" i="25"/>
  <c r="M262" i="25"/>
  <c r="R258" i="25"/>
  <c r="K264" i="25"/>
  <c r="O260" i="25"/>
  <c r="N261" i="25"/>
  <c r="AQ255" i="25" l="1"/>
  <c r="V255" i="25" s="1"/>
  <c r="W255" i="25" s="1"/>
  <c r="X255" i="25" s="1"/>
  <c r="Y255" i="25" s="1"/>
  <c r="Z255" i="25" s="1"/>
  <c r="AA255" i="25" s="1"/>
  <c r="AB255" i="25" s="1"/>
  <c r="AC255" i="25" s="1"/>
  <c r="AD255" i="25" s="1"/>
  <c r="AE255" i="25" s="1"/>
  <c r="AF255" i="25" s="1"/>
  <c r="AG255" i="25" s="1"/>
  <c r="AH255" i="25" s="1"/>
  <c r="AI255" i="25" s="1"/>
  <c r="AJ255" i="25" s="1"/>
  <c r="AK255" i="25" s="1"/>
  <c r="AL255" i="25" s="1"/>
  <c r="AM255" i="25" s="1"/>
  <c r="AN255" i="25" s="1"/>
  <c r="AO255" i="25" s="1"/>
  <c r="R212" i="25"/>
  <c r="Q189" i="25"/>
  <c r="O191" i="25"/>
  <c r="P214" i="25"/>
  <c r="N193" i="25"/>
  <c r="O216" i="25"/>
  <c r="AR208" i="25"/>
  <c r="T187" i="25"/>
  <c r="U210" i="25"/>
  <c r="Y248" i="25"/>
  <c r="G266" i="25"/>
  <c r="G267" i="25" s="1"/>
  <c r="Q213" i="25"/>
  <c r="P190" i="25"/>
  <c r="T186" i="25"/>
  <c r="U209" i="25"/>
  <c r="M217" i="25"/>
  <c r="L194" i="25"/>
  <c r="S188" i="25"/>
  <c r="T211" i="25"/>
  <c r="N192" i="25"/>
  <c r="O215" i="25"/>
  <c r="V254" i="25"/>
  <c r="W254" i="25" s="1"/>
  <c r="X254" i="25" s="1"/>
  <c r="Y254" i="25" s="1"/>
  <c r="Z254" i="25" s="1"/>
  <c r="AA254" i="25" s="1"/>
  <c r="AB254" i="25" s="1"/>
  <c r="AC254" i="25" s="1"/>
  <c r="AD254" i="25" s="1"/>
  <c r="AE254" i="25" s="1"/>
  <c r="AF254" i="25" s="1"/>
  <c r="AG254" i="25" s="1"/>
  <c r="AH254" i="25" s="1"/>
  <c r="AI254" i="25" s="1"/>
  <c r="AJ254" i="25" s="1"/>
  <c r="AK254" i="25" s="1"/>
  <c r="AL254" i="25" s="1"/>
  <c r="AM254" i="25" s="1"/>
  <c r="AN254" i="25" s="1"/>
  <c r="AO254" i="25" s="1"/>
  <c r="AC22" i="28"/>
  <c r="H26" i="31"/>
  <c r="H29" i="31" s="1"/>
  <c r="H30" i="31" s="1"/>
  <c r="E29" i="31"/>
  <c r="E30" i="31" s="1"/>
  <c r="E22" i="28"/>
  <c r="E6" i="37" s="1"/>
  <c r="G6" i="37" s="1"/>
  <c r="I22" i="28"/>
  <c r="E10" i="37" s="1"/>
  <c r="G10" i="37" s="1"/>
  <c r="M22" i="28"/>
  <c r="E14" i="37" s="1"/>
  <c r="G14" i="37" s="1"/>
  <c r="Q22" i="28"/>
  <c r="E18" i="37" s="1"/>
  <c r="G18" i="37" s="1"/>
  <c r="U22" i="28"/>
  <c r="E22" i="37" s="1"/>
  <c r="G22" i="37" s="1"/>
  <c r="Y22" i="28"/>
  <c r="E26" i="37" s="1"/>
  <c r="G26" i="37" s="1"/>
  <c r="F22" i="28"/>
  <c r="E7" i="37" s="1"/>
  <c r="G7" i="37" s="1"/>
  <c r="J22" i="28"/>
  <c r="E11" i="37" s="1"/>
  <c r="G11" i="37" s="1"/>
  <c r="N22" i="28"/>
  <c r="E15" i="37" s="1"/>
  <c r="G15" i="37" s="1"/>
  <c r="R22" i="28"/>
  <c r="E19" i="37" s="1"/>
  <c r="G19" i="37" s="1"/>
  <c r="V22" i="28"/>
  <c r="E23" i="37" s="1"/>
  <c r="G23" i="37" s="1"/>
  <c r="Z22" i="28"/>
  <c r="E27" i="37" s="1"/>
  <c r="G27" i="37" s="1"/>
  <c r="C22" i="28"/>
  <c r="G22" i="28"/>
  <c r="E8" i="37" s="1"/>
  <c r="G8" i="37" s="1"/>
  <c r="K22" i="28"/>
  <c r="E12" i="37" s="1"/>
  <c r="G12" i="37" s="1"/>
  <c r="O22" i="28"/>
  <c r="E16" i="37" s="1"/>
  <c r="G16" i="37" s="1"/>
  <c r="S22" i="28"/>
  <c r="E20" i="37" s="1"/>
  <c r="G20" i="37" s="1"/>
  <c r="W22" i="28"/>
  <c r="E24" i="37" s="1"/>
  <c r="G24" i="37" s="1"/>
  <c r="AA22" i="28"/>
  <c r="E28" i="37" s="1"/>
  <c r="G28" i="37" s="1"/>
  <c r="D22" i="28"/>
  <c r="E5" i="37" s="1"/>
  <c r="G5" i="37" s="1"/>
  <c r="H22" i="28"/>
  <c r="E9" i="37" s="1"/>
  <c r="G9" i="37" s="1"/>
  <c r="L22" i="28"/>
  <c r="E13" i="37" s="1"/>
  <c r="G13" i="37" s="1"/>
  <c r="P22" i="28"/>
  <c r="E17" i="37" s="1"/>
  <c r="G17" i="37" s="1"/>
  <c r="T22" i="28"/>
  <c r="E21" i="37" s="1"/>
  <c r="G21" i="37" s="1"/>
  <c r="X22" i="28"/>
  <c r="E25" i="37" s="1"/>
  <c r="G25" i="37" s="1"/>
  <c r="AB22" i="28"/>
  <c r="E29" i="37" s="1"/>
  <c r="G29" i="37" s="1"/>
  <c r="I29" i="31"/>
  <c r="I30" i="31" s="1"/>
  <c r="AR255" i="25"/>
  <c r="AR266" i="25"/>
  <c r="AC13" i="28"/>
  <c r="S49" i="28"/>
  <c r="C49" i="28"/>
  <c r="N48" i="28"/>
  <c r="Y47" i="28"/>
  <c r="I47" i="28"/>
  <c r="T46" i="28"/>
  <c r="D46" i="28"/>
  <c r="O45" i="28"/>
  <c r="Z44" i="28"/>
  <c r="J44" i="28"/>
  <c r="U43" i="28"/>
  <c r="D43" i="28"/>
  <c r="J42" i="28"/>
  <c r="O41" i="28"/>
  <c r="U40" i="28"/>
  <c r="AA39" i="28"/>
  <c r="E39" i="28"/>
  <c r="K38" i="28"/>
  <c r="O37" i="28"/>
  <c r="J36" i="28"/>
  <c r="E35" i="28"/>
  <c r="AA33" i="28"/>
  <c r="V49" i="28"/>
  <c r="F49" i="28"/>
  <c r="Q48" i="28"/>
  <c r="AB47" i="28"/>
  <c r="L47" i="28"/>
  <c r="W46" i="28"/>
  <c r="G46" i="28"/>
  <c r="R45" i="28"/>
  <c r="AC44" i="28"/>
  <c r="M44" i="28"/>
  <c r="X43" i="28"/>
  <c r="H43" i="28"/>
  <c r="N42" i="28"/>
  <c r="S41" i="28"/>
  <c r="Y40" i="28"/>
  <c r="D40" i="28"/>
  <c r="I39" i="28"/>
  <c r="O38" i="28"/>
  <c r="U37" i="28"/>
  <c r="P36" i="28"/>
  <c r="K35" i="28"/>
  <c r="F34" i="28"/>
  <c r="AC49" i="28"/>
  <c r="M49" i="28"/>
  <c r="X48" i="28"/>
  <c r="H48" i="28"/>
  <c r="S47" i="28"/>
  <c r="C47" i="28"/>
  <c r="N46" i="28"/>
  <c r="Y45" i="28"/>
  <c r="I45" i="28"/>
  <c r="T44" i="28"/>
  <c r="D44" i="28"/>
  <c r="O43" i="28"/>
  <c r="W42" i="28"/>
  <c r="AC41" i="28"/>
  <c r="G41" i="28"/>
  <c r="M40" i="28"/>
  <c r="S39" i="28"/>
  <c r="X38" i="28"/>
  <c r="C38" i="28"/>
  <c r="C37" i="28"/>
  <c r="Y35" i="28"/>
  <c r="T34" i="28"/>
  <c r="G33" i="28"/>
  <c r="T49" i="28"/>
  <c r="D49" i="28"/>
  <c r="O48" i="28"/>
  <c r="Z47" i="28"/>
  <c r="J47" i="28"/>
  <c r="U46" i="28"/>
  <c r="E46" i="28"/>
  <c r="P45" i="28"/>
  <c r="AA44" i="28"/>
  <c r="K44" i="28"/>
  <c r="V43" i="28"/>
  <c r="E43" i="28"/>
  <c r="K42" i="28"/>
  <c r="Q41" i="28"/>
  <c r="V40" i="28"/>
  <c r="AB39" i="28"/>
  <c r="G39" i="28"/>
  <c r="L38" i="28"/>
  <c r="Q37" i="28"/>
  <c r="L36" i="28"/>
  <c r="G35" i="28"/>
  <c r="AC33" i="28"/>
  <c r="F43" i="28"/>
  <c r="Q42" i="28"/>
  <c r="AB41" i="28"/>
  <c r="L41" i="28"/>
  <c r="W40" i="28"/>
  <c r="G40" i="28"/>
  <c r="R39" i="28"/>
  <c r="AC38" i="28"/>
  <c r="M38" i="28"/>
  <c r="X37" i="28"/>
  <c r="H37" i="28"/>
  <c r="S36" i="28"/>
  <c r="C36" i="28"/>
  <c r="N35" i="28"/>
  <c r="Y34" i="28"/>
  <c r="I34" i="28"/>
  <c r="T33" i="28"/>
  <c r="D33" i="28"/>
  <c r="O32" i="28"/>
  <c r="Z31" i="28"/>
  <c r="J31" i="28"/>
  <c r="AC31" i="28"/>
  <c r="M31" i="28"/>
  <c r="N37" i="28"/>
  <c r="Y36" i="28"/>
  <c r="I36" i="28"/>
  <c r="T35" i="28"/>
  <c r="D35" i="28"/>
  <c r="O34" i="28"/>
  <c r="Z33" i="28"/>
  <c r="J33" i="28"/>
  <c r="U32" i="28"/>
  <c r="E32" i="28"/>
  <c r="P31" i="28"/>
  <c r="U33" i="28"/>
  <c r="E33" i="28"/>
  <c r="P32" i="28"/>
  <c r="AA31" i="28"/>
  <c r="K31" i="28"/>
  <c r="F37" i="28"/>
  <c r="W34" i="28"/>
  <c r="AC32" i="28"/>
  <c r="H31" i="28"/>
  <c r="H32" i="28"/>
  <c r="C31" i="28"/>
  <c r="T256" i="25"/>
  <c r="W49" i="28"/>
  <c r="M47" i="28"/>
  <c r="H46" i="28"/>
  <c r="N44" i="28"/>
  <c r="O42" i="28"/>
  <c r="Z40" i="28"/>
  <c r="P38" i="28"/>
  <c r="M35" i="28"/>
  <c r="J49" i="28"/>
  <c r="P47" i="28"/>
  <c r="V45" i="28"/>
  <c r="AB43" i="28"/>
  <c r="C41" i="28"/>
  <c r="T38" i="28"/>
  <c r="S35" i="28"/>
  <c r="Q49" i="28"/>
  <c r="W47" i="28"/>
  <c r="AC45" i="28"/>
  <c r="H44" i="28"/>
  <c r="G42" i="28"/>
  <c r="X39" i="28"/>
  <c r="K37" i="28"/>
  <c r="W33" i="28"/>
  <c r="S48" i="28"/>
  <c r="Y46" i="28"/>
  <c r="D45" i="28"/>
  <c r="J43" i="28"/>
  <c r="AB40" i="28"/>
  <c r="R38" i="28"/>
  <c r="O35" i="28"/>
  <c r="U42" i="28"/>
  <c r="P41" i="28"/>
  <c r="V39" i="28"/>
  <c r="L37" i="28"/>
  <c r="R35" i="28"/>
  <c r="X33" i="28"/>
  <c r="C32" i="28"/>
  <c r="F32" i="28"/>
  <c r="R37" i="28"/>
  <c r="X35" i="28"/>
  <c r="C34" i="28"/>
  <c r="I32" i="28"/>
  <c r="I33" i="28"/>
  <c r="O31" i="28"/>
  <c r="AC18" i="28"/>
  <c r="O49" i="28"/>
  <c r="Z48" i="28"/>
  <c r="J48" i="28"/>
  <c r="U47" i="28"/>
  <c r="E47" i="28"/>
  <c r="P46" i="28"/>
  <c r="AA45" i="28"/>
  <c r="K45" i="28"/>
  <c r="V44" i="28"/>
  <c r="F44" i="28"/>
  <c r="Q43" i="28"/>
  <c r="Z42" i="28"/>
  <c r="D42" i="28"/>
  <c r="J41" i="28"/>
  <c r="P40" i="28"/>
  <c r="U39" i="28"/>
  <c r="AA38" i="28"/>
  <c r="F38" i="28"/>
  <c r="G37" i="28"/>
  <c r="AC35" i="28"/>
  <c r="X34" i="28"/>
  <c r="O33" i="28"/>
  <c r="R49" i="28"/>
  <c r="AC48" i="28"/>
  <c r="M48" i="28"/>
  <c r="X47" i="28"/>
  <c r="H47" i="28"/>
  <c r="S46" i="28"/>
  <c r="C46" i="28"/>
  <c r="N45" i="28"/>
  <c r="Y44" i="28"/>
  <c r="I44" i="28"/>
  <c r="T43" i="28"/>
  <c r="C43" i="28"/>
  <c r="H42" i="28"/>
  <c r="N41" i="28"/>
  <c r="T40" i="28"/>
  <c r="Y39" i="28"/>
  <c r="D39" i="28"/>
  <c r="J38" i="28"/>
  <c r="M37" i="28"/>
  <c r="H36" i="28"/>
  <c r="C35" i="28"/>
  <c r="Y33" i="28"/>
  <c r="Y49" i="28"/>
  <c r="I49" i="28"/>
  <c r="T48" i="28"/>
  <c r="D48" i="28"/>
  <c r="O47" i="28"/>
  <c r="Z46" i="28"/>
  <c r="J46" i="28"/>
  <c r="U45" i="28"/>
  <c r="E45" i="28"/>
  <c r="P44" i="28"/>
  <c r="AA43" i="28"/>
  <c r="K43" i="28"/>
  <c r="R42" i="28"/>
  <c r="W41" i="28"/>
  <c r="AC40" i="28"/>
  <c r="H40" i="28"/>
  <c r="M39" i="28"/>
  <c r="S38" i="28"/>
  <c r="Y37" i="28"/>
  <c r="V36" i="28"/>
  <c r="Q35" i="28"/>
  <c r="L34" i="28"/>
  <c r="R32" i="28"/>
  <c r="P49" i="28"/>
  <c r="AA48" i="28"/>
  <c r="K48" i="28"/>
  <c r="V47" i="28"/>
  <c r="F47" i="28"/>
  <c r="Q46" i="28"/>
  <c r="AB45" i="28"/>
  <c r="L45" i="28"/>
  <c r="W44" i="28"/>
  <c r="G44" i="28"/>
  <c r="R43" i="28"/>
  <c r="AA42" i="28"/>
  <c r="F42" i="28"/>
  <c r="K41" i="28"/>
  <c r="Q40" i="28"/>
  <c r="W39" i="28"/>
  <c r="AB38" i="28"/>
  <c r="G38" i="28"/>
  <c r="I37" i="28"/>
  <c r="D36" i="28"/>
  <c r="Z34" i="28"/>
  <c r="S33" i="28"/>
  <c r="AC42" i="28"/>
  <c r="M42" i="28"/>
  <c r="X41" i="28"/>
  <c r="H41" i="28"/>
  <c r="S40" i="28"/>
  <c r="C40" i="28"/>
  <c r="N39" i="28"/>
  <c r="Y38" i="28"/>
  <c r="I38" i="28"/>
  <c r="T37" i="28"/>
  <c r="D37" i="28"/>
  <c r="O36" i="28"/>
  <c r="Z35" i="28"/>
  <c r="J35" i="28"/>
  <c r="U34" i="28"/>
  <c r="E34" i="28"/>
  <c r="P33" i="28"/>
  <c r="AA32" i="28"/>
  <c r="K32" i="28"/>
  <c r="V31" i="28"/>
  <c r="F31" i="28"/>
  <c r="Y31" i="28"/>
  <c r="I31" i="28"/>
  <c r="J37" i="28"/>
  <c r="U36" i="28"/>
  <c r="E36" i="28"/>
  <c r="P35" i="28"/>
  <c r="AA34" i="28"/>
  <c r="K34" i="28"/>
  <c r="V33" i="28"/>
  <c r="F33" i="28"/>
  <c r="Q32" i="28"/>
  <c r="AB31" i="28"/>
  <c r="L31" i="28"/>
  <c r="Q33" i="28"/>
  <c r="AB32" i="28"/>
  <c r="L32" i="28"/>
  <c r="W31" i="28"/>
  <c r="G31" i="28"/>
  <c r="Q36" i="28"/>
  <c r="G34" i="28"/>
  <c r="M32" i="28"/>
  <c r="M33" i="28"/>
  <c r="S31" i="28"/>
  <c r="N263" i="25"/>
  <c r="G49" i="28"/>
  <c r="R48" i="28"/>
  <c r="X46" i="28"/>
  <c r="S45" i="28"/>
  <c r="Y43" i="28"/>
  <c r="U41" i="28"/>
  <c r="K39" i="28"/>
  <c r="R36" i="28"/>
  <c r="H34" i="28"/>
  <c r="U48" i="28"/>
  <c r="AA46" i="28"/>
  <c r="F45" i="28"/>
  <c r="L43" i="28"/>
  <c r="Y41" i="28"/>
  <c r="O39" i="28"/>
  <c r="X36" i="28"/>
  <c r="V32" i="28"/>
  <c r="L48" i="28"/>
  <c r="R46" i="28"/>
  <c r="X44" i="28"/>
  <c r="AB42" i="28"/>
  <c r="R40" i="28"/>
  <c r="H38" i="28"/>
  <c r="AB34" i="28"/>
  <c r="H49" i="28"/>
  <c r="N47" i="28"/>
  <c r="T45" i="28"/>
  <c r="Z43" i="28"/>
  <c r="V41" i="28"/>
  <c r="L39" i="28"/>
  <c r="T36" i="28"/>
  <c r="N32" i="28"/>
  <c r="AA40" i="28"/>
  <c r="F39" i="28"/>
  <c r="AB37" i="28"/>
  <c r="G36" i="28"/>
  <c r="M34" i="28"/>
  <c r="S32" i="28"/>
  <c r="N31" i="28"/>
  <c r="AC36" i="28"/>
  <c r="H35" i="28"/>
  <c r="N33" i="28"/>
  <c r="T31" i="28"/>
  <c r="T32" i="28"/>
  <c r="AA49" i="28"/>
  <c r="K49" i="28"/>
  <c r="V48" i="28"/>
  <c r="F48" i="28"/>
  <c r="Q47" i="28"/>
  <c r="AB46" i="28"/>
  <c r="L46" i="28"/>
  <c r="W45" i="28"/>
  <c r="G45" i="28"/>
  <c r="R44" i="28"/>
  <c r="AC43" i="28"/>
  <c r="M43" i="28"/>
  <c r="T42" i="28"/>
  <c r="Z41" i="28"/>
  <c r="E41" i="28"/>
  <c r="J40" i="28"/>
  <c r="P39" i="28"/>
  <c r="V38" i="28"/>
  <c r="AA37" i="28"/>
  <c r="Z36" i="28"/>
  <c r="U35" i="28"/>
  <c r="P34" i="28"/>
  <c r="Z32" i="28"/>
  <c r="N49" i="28"/>
  <c r="Y48" i="28"/>
  <c r="I48" i="28"/>
  <c r="T47" i="28"/>
  <c r="D47" i="28"/>
  <c r="O46" i="28"/>
  <c r="Z45" i="28"/>
  <c r="J45" i="28"/>
  <c r="U44" i="28"/>
  <c r="E44" i="28"/>
  <c r="P43" i="28"/>
  <c r="X42" i="28"/>
  <c r="C42" i="28"/>
  <c r="I41" i="28"/>
  <c r="N40" i="28"/>
  <c r="T39" i="28"/>
  <c r="Z38" i="28"/>
  <c r="D38" i="28"/>
  <c r="E37" i="28"/>
  <c r="AA35" i="28"/>
  <c r="V34" i="28"/>
  <c r="K33" i="28"/>
  <c r="U49" i="28"/>
  <c r="E49" i="28"/>
  <c r="P48" i="28"/>
  <c r="AA47" i="28"/>
  <c r="K47" i="28"/>
  <c r="V46" i="28"/>
  <c r="F46" i="28"/>
  <c r="Q45" i="28"/>
  <c r="AB44" i="28"/>
  <c r="L44" i="28"/>
  <c r="W43" i="28"/>
  <c r="G43" i="28"/>
  <c r="L42" i="28"/>
  <c r="R41" i="28"/>
  <c r="X40" i="28"/>
  <c r="AC39" i="28"/>
  <c r="H39" i="28"/>
  <c r="N38" i="28"/>
  <c r="S37" i="28"/>
  <c r="N36" i="28"/>
  <c r="I35" i="28"/>
  <c r="D34" i="28"/>
  <c r="AB49" i="28"/>
  <c r="L49" i="28"/>
  <c r="W48" i="28"/>
  <c r="G48" i="28"/>
  <c r="R47" i="28"/>
  <c r="AC46" i="28"/>
  <c r="M46" i="28"/>
  <c r="X45" i="28"/>
  <c r="H45" i="28"/>
  <c r="S44" i="28"/>
  <c r="C44" i="28"/>
  <c r="N43" i="28"/>
  <c r="V42" i="28"/>
  <c r="AA41" i="28"/>
  <c r="F41" i="28"/>
  <c r="L40" i="28"/>
  <c r="Q39" i="28"/>
  <c r="W38" i="28"/>
  <c r="AC37" i="28"/>
  <c r="AB36" i="28"/>
  <c r="W35" i="28"/>
  <c r="R34" i="28"/>
  <c r="C33" i="28"/>
  <c r="Y42" i="28"/>
  <c r="I42" i="28"/>
  <c r="T41" i="28"/>
  <c r="D41" i="28"/>
  <c r="O40" i="28"/>
  <c r="Z39" i="28"/>
  <c r="J39" i="28"/>
  <c r="U38" i="28"/>
  <c r="E38" i="28"/>
  <c r="P37" i="28"/>
  <c r="AA36" i="28"/>
  <c r="K36" i="28"/>
  <c r="V35" i="28"/>
  <c r="F35" i="28"/>
  <c r="Q34" i="28"/>
  <c r="AB33" i="28"/>
  <c r="L33" i="28"/>
  <c r="W32" i="28"/>
  <c r="G32" i="28"/>
  <c r="R31" i="28"/>
  <c r="J32" i="28"/>
  <c r="U31" i="28"/>
  <c r="E31" i="28"/>
  <c r="AB35" i="28"/>
  <c r="L35" i="28"/>
  <c r="R33" i="28"/>
  <c r="X31" i="28"/>
  <c r="X32" i="28"/>
  <c r="AC47" i="28"/>
  <c r="C45" i="28"/>
  <c r="I43" i="28"/>
  <c r="E40" i="28"/>
  <c r="V37" i="28"/>
  <c r="Z49" i="28"/>
  <c r="E48" i="28"/>
  <c r="K46" i="28"/>
  <c r="Q44" i="28"/>
  <c r="S42" i="28"/>
  <c r="I40" i="28"/>
  <c r="Z37" i="28"/>
  <c r="N34" i="28"/>
  <c r="AB48" i="28"/>
  <c r="G47" i="28"/>
  <c r="M45" i="28"/>
  <c r="S43" i="28"/>
  <c r="M41" i="28"/>
  <c r="C39" i="28"/>
  <c r="F36" i="28"/>
  <c r="X49" i="28"/>
  <c r="C48" i="28"/>
  <c r="I46" i="28"/>
  <c r="O44" i="28"/>
  <c r="P42" i="28"/>
  <c r="F40" i="28"/>
  <c r="W37" i="28"/>
  <c r="J34" i="28"/>
  <c r="E42" i="28"/>
  <c r="K40" i="28"/>
  <c r="Q38" i="28"/>
  <c r="W36" i="28"/>
  <c r="AC34" i="28"/>
  <c r="H33" i="28"/>
  <c r="Q31" i="28"/>
  <c r="M36" i="28"/>
  <c r="S34" i="28"/>
  <c r="Y32" i="28"/>
  <c r="D31" i="28"/>
  <c r="D32" i="28"/>
  <c r="P260" i="25"/>
  <c r="L264" i="25"/>
  <c r="O261" i="25"/>
  <c r="N262" i="25"/>
  <c r="Q259" i="25"/>
  <c r="S258" i="25"/>
  <c r="T257" i="25"/>
  <c r="U211" i="25" l="1"/>
  <c r="T188" i="25"/>
  <c r="P191" i="25"/>
  <c r="Q214" i="25"/>
  <c r="Z248" i="25"/>
  <c r="H266" i="25"/>
  <c r="H267" i="25" s="1"/>
  <c r="AQ209" i="25"/>
  <c r="U186" i="25"/>
  <c r="P215" i="25"/>
  <c r="O192" i="25"/>
  <c r="AQ210" i="25"/>
  <c r="AR210" i="25" s="1"/>
  <c r="U187" i="25"/>
  <c r="O193" i="25"/>
  <c r="P216" i="25"/>
  <c r="M194" i="25"/>
  <c r="N217" i="25"/>
  <c r="Q190" i="25"/>
  <c r="R213" i="25"/>
  <c r="S212" i="25"/>
  <c r="R189" i="25"/>
  <c r="AC23" i="28"/>
  <c r="E4" i="37"/>
  <c r="G4" i="37" s="1"/>
  <c r="F23" i="28"/>
  <c r="I7" i="37" s="1"/>
  <c r="K7" i="37" s="1"/>
  <c r="J23" i="28"/>
  <c r="I11" i="37" s="1"/>
  <c r="K11" i="37" s="1"/>
  <c r="N23" i="28"/>
  <c r="I15" i="37" s="1"/>
  <c r="K15" i="37" s="1"/>
  <c r="R23" i="28"/>
  <c r="I19" i="37" s="1"/>
  <c r="K19" i="37" s="1"/>
  <c r="V23" i="28"/>
  <c r="I23" i="37" s="1"/>
  <c r="K23" i="37" s="1"/>
  <c r="Z23" i="28"/>
  <c r="I27" i="37" s="1"/>
  <c r="K27" i="37" s="1"/>
  <c r="F10" i="28"/>
  <c r="J10" i="28"/>
  <c r="N10" i="28"/>
  <c r="C23" i="28"/>
  <c r="I4" i="37" s="1"/>
  <c r="K4" i="37" s="1"/>
  <c r="G23" i="28"/>
  <c r="I8" i="37" s="1"/>
  <c r="K8" i="37" s="1"/>
  <c r="K23" i="28"/>
  <c r="I12" i="37" s="1"/>
  <c r="K12" i="37" s="1"/>
  <c r="O23" i="28"/>
  <c r="I16" i="37" s="1"/>
  <c r="K16" i="37" s="1"/>
  <c r="S23" i="28"/>
  <c r="I20" i="37" s="1"/>
  <c r="K20" i="37" s="1"/>
  <c r="W23" i="28"/>
  <c r="I24" i="37" s="1"/>
  <c r="K24" i="37" s="1"/>
  <c r="AA23" i="28"/>
  <c r="I28" i="37" s="1"/>
  <c r="K28" i="37" s="1"/>
  <c r="C10" i="28"/>
  <c r="G10" i="28"/>
  <c r="K10" i="28"/>
  <c r="O10" i="28"/>
  <c r="D23" i="28"/>
  <c r="I5" i="37" s="1"/>
  <c r="K5" i="37" s="1"/>
  <c r="H23" i="28"/>
  <c r="I9" i="37" s="1"/>
  <c r="K9" i="37" s="1"/>
  <c r="L23" i="28"/>
  <c r="I13" i="37" s="1"/>
  <c r="K13" i="37" s="1"/>
  <c r="P23" i="28"/>
  <c r="I17" i="37" s="1"/>
  <c r="K17" i="37" s="1"/>
  <c r="T23" i="28"/>
  <c r="I21" i="37" s="1"/>
  <c r="K21" i="37" s="1"/>
  <c r="X23" i="28"/>
  <c r="I25" i="37" s="1"/>
  <c r="K25" i="37" s="1"/>
  <c r="AB23" i="28"/>
  <c r="I29" i="37" s="1"/>
  <c r="K29" i="37" s="1"/>
  <c r="E23" i="28"/>
  <c r="I6" i="37" s="1"/>
  <c r="K6" i="37" s="1"/>
  <c r="I23" i="28"/>
  <c r="I10" i="37" s="1"/>
  <c r="K10" i="37" s="1"/>
  <c r="M23" i="28"/>
  <c r="I14" i="37" s="1"/>
  <c r="K14" i="37" s="1"/>
  <c r="Q23" i="28"/>
  <c r="I18" i="37" s="1"/>
  <c r="K18" i="37" s="1"/>
  <c r="U23" i="28"/>
  <c r="I22" i="37" s="1"/>
  <c r="K22" i="37" s="1"/>
  <c r="Y23" i="28"/>
  <c r="I26" i="37" s="1"/>
  <c r="K26" i="37" s="1"/>
  <c r="E10" i="28"/>
  <c r="I10" i="28"/>
  <c r="M10" i="28"/>
  <c r="Q10" i="28"/>
  <c r="U10" i="28"/>
  <c r="Y10" i="28"/>
  <c r="AC10" i="28"/>
  <c r="D10" i="28"/>
  <c r="R10" i="28"/>
  <c r="W10" i="28"/>
  <c r="AB10" i="28"/>
  <c r="H10" i="28"/>
  <c r="S10" i="28"/>
  <c r="X10" i="28"/>
  <c r="L10" i="28"/>
  <c r="T10" i="28"/>
  <c r="Z10" i="28"/>
  <c r="P10" i="28"/>
  <c r="V10" i="28"/>
  <c r="AA10" i="28"/>
  <c r="Q260" i="25"/>
  <c r="O263" i="25"/>
  <c r="U256" i="25"/>
  <c r="T258" i="25"/>
  <c r="O262" i="25"/>
  <c r="U257" i="25"/>
  <c r="P261" i="25"/>
  <c r="M264" i="25"/>
  <c r="R259" i="25"/>
  <c r="AQ257" i="25" l="1"/>
  <c r="AQ256" i="25"/>
  <c r="S213" i="25"/>
  <c r="R190" i="25"/>
  <c r="Q215" i="25"/>
  <c r="P192" i="25"/>
  <c r="AA248" i="25"/>
  <c r="I266" i="25"/>
  <c r="I267" i="25" s="1"/>
  <c r="U188" i="25"/>
  <c r="AQ211" i="25"/>
  <c r="AR211" i="25" s="1"/>
  <c r="P193" i="25"/>
  <c r="Q216" i="25"/>
  <c r="O217" i="25"/>
  <c r="N194" i="25"/>
  <c r="R214" i="25"/>
  <c r="Q191" i="25"/>
  <c r="S189" i="25"/>
  <c r="T212" i="25"/>
  <c r="AR209" i="25"/>
  <c r="AR256" i="25"/>
  <c r="U258" i="25"/>
  <c r="S259" i="25"/>
  <c r="R260" i="25"/>
  <c r="P262" i="25"/>
  <c r="N264" i="25"/>
  <c r="P263" i="25"/>
  <c r="Q261" i="25"/>
  <c r="AQ258" i="25" l="1"/>
  <c r="Q193" i="25"/>
  <c r="R216" i="25"/>
  <c r="S214" i="25"/>
  <c r="R191" i="25"/>
  <c r="AB248" i="25"/>
  <c r="J266" i="25"/>
  <c r="J267" i="25" s="1"/>
  <c r="S190" i="25"/>
  <c r="T213" i="25"/>
  <c r="T189" i="25"/>
  <c r="U212" i="25"/>
  <c r="O194" i="25"/>
  <c r="P217" i="25"/>
  <c r="Q192" i="25"/>
  <c r="R215" i="25"/>
  <c r="V256" i="25"/>
  <c r="W256" i="25" s="1"/>
  <c r="X256" i="25" s="1"/>
  <c r="Y256" i="25" s="1"/>
  <c r="Z256" i="25" s="1"/>
  <c r="AA256" i="25" s="1"/>
  <c r="AB256" i="25" s="1"/>
  <c r="AC256" i="25" s="1"/>
  <c r="AD256" i="25" s="1"/>
  <c r="AE256" i="25" s="1"/>
  <c r="AF256" i="25" s="1"/>
  <c r="AG256" i="25" s="1"/>
  <c r="AH256" i="25" s="1"/>
  <c r="AI256" i="25" s="1"/>
  <c r="AJ256" i="25" s="1"/>
  <c r="AK256" i="25" s="1"/>
  <c r="AL256" i="25" s="1"/>
  <c r="AM256" i="25" s="1"/>
  <c r="AN256" i="25" s="1"/>
  <c r="AO256" i="25" s="1"/>
  <c r="V257" i="25"/>
  <c r="W257" i="25" s="1"/>
  <c r="X257" i="25" s="1"/>
  <c r="Y257" i="25" s="1"/>
  <c r="Z257" i="25" s="1"/>
  <c r="AA257" i="25" s="1"/>
  <c r="AB257" i="25" s="1"/>
  <c r="AC257" i="25" s="1"/>
  <c r="AD257" i="25" s="1"/>
  <c r="AE257" i="25" s="1"/>
  <c r="AF257" i="25" s="1"/>
  <c r="AG257" i="25" s="1"/>
  <c r="AH257" i="25" s="1"/>
  <c r="AI257" i="25" s="1"/>
  <c r="AJ257" i="25" s="1"/>
  <c r="AK257" i="25" s="1"/>
  <c r="AL257" i="25" s="1"/>
  <c r="AM257" i="25" s="1"/>
  <c r="AN257" i="25" s="1"/>
  <c r="AO257" i="25" s="1"/>
  <c r="AR257" i="25"/>
  <c r="AR258" i="25"/>
  <c r="R261" i="25"/>
  <c r="O264" i="25"/>
  <c r="Q263" i="25"/>
  <c r="T259" i="25"/>
  <c r="Q262" i="25"/>
  <c r="S260" i="25"/>
  <c r="R193" i="25" l="1"/>
  <c r="S216" i="25"/>
  <c r="S191" i="25"/>
  <c r="T214" i="25"/>
  <c r="R192" i="25"/>
  <c r="S215" i="25"/>
  <c r="AQ212" i="25"/>
  <c r="U189" i="25"/>
  <c r="AC248" i="25"/>
  <c r="K266" i="25"/>
  <c r="K267" i="25" s="1"/>
  <c r="P194" i="25"/>
  <c r="Q217" i="25"/>
  <c r="T190" i="25"/>
  <c r="U213" i="25"/>
  <c r="V258" i="25"/>
  <c r="W258" i="25" s="1"/>
  <c r="X258" i="25" s="1"/>
  <c r="Y258" i="25" s="1"/>
  <c r="Z258" i="25" s="1"/>
  <c r="AA258" i="25" s="1"/>
  <c r="AB258" i="25" s="1"/>
  <c r="AC258" i="25" s="1"/>
  <c r="AD258" i="25" s="1"/>
  <c r="AE258" i="25" s="1"/>
  <c r="AF258" i="25" s="1"/>
  <c r="AG258" i="25" s="1"/>
  <c r="AH258" i="25" s="1"/>
  <c r="AI258" i="25" s="1"/>
  <c r="AJ258" i="25" s="1"/>
  <c r="AK258" i="25" s="1"/>
  <c r="AL258" i="25" s="1"/>
  <c r="AM258" i="25" s="1"/>
  <c r="AN258" i="25" s="1"/>
  <c r="AO258" i="25" s="1"/>
  <c r="R263" i="25"/>
  <c r="R262" i="25"/>
  <c r="T260" i="25"/>
  <c r="U259" i="25"/>
  <c r="P264" i="25"/>
  <c r="S261" i="25"/>
  <c r="AQ259" i="25" l="1"/>
  <c r="AR212" i="25"/>
  <c r="T215" i="25"/>
  <c r="S192" i="25"/>
  <c r="R217" i="25"/>
  <c r="Q194" i="25"/>
  <c r="T191" i="25"/>
  <c r="U214" i="25"/>
  <c r="AQ213" i="25"/>
  <c r="AR213" i="25" s="1"/>
  <c r="U190" i="25"/>
  <c r="AD248" i="25"/>
  <c r="L266" i="25"/>
  <c r="L267" i="25" s="1"/>
  <c r="S193" i="25"/>
  <c r="T216" i="25"/>
  <c r="AR259" i="25"/>
  <c r="S263" i="25"/>
  <c r="U260" i="25"/>
  <c r="S262" i="25"/>
  <c r="Q264" i="25"/>
  <c r="T261" i="25"/>
  <c r="AQ260" i="25" l="1"/>
  <c r="V260" i="25" s="1"/>
  <c r="W260" i="25" s="1"/>
  <c r="X260" i="25" s="1"/>
  <c r="Y260" i="25" s="1"/>
  <c r="Z260" i="25" s="1"/>
  <c r="AA260" i="25" s="1"/>
  <c r="AB260" i="25" s="1"/>
  <c r="AC260" i="25" s="1"/>
  <c r="AD260" i="25" s="1"/>
  <c r="AE260" i="25" s="1"/>
  <c r="AF260" i="25" s="1"/>
  <c r="AG260" i="25" s="1"/>
  <c r="AH260" i="25" s="1"/>
  <c r="AI260" i="25" s="1"/>
  <c r="AJ260" i="25" s="1"/>
  <c r="AK260" i="25" s="1"/>
  <c r="AL260" i="25" s="1"/>
  <c r="AM260" i="25" s="1"/>
  <c r="AN260" i="25" s="1"/>
  <c r="AO260" i="25" s="1"/>
  <c r="AE248" i="25"/>
  <c r="M266" i="25"/>
  <c r="M267" i="25" s="1"/>
  <c r="T192" i="25"/>
  <c r="U215" i="25"/>
  <c r="U191" i="25"/>
  <c r="AQ214" i="25"/>
  <c r="AR214" i="25" s="1"/>
  <c r="U216" i="25"/>
  <c r="T193" i="25"/>
  <c r="R194" i="25"/>
  <c r="S217" i="25"/>
  <c r="V259" i="25"/>
  <c r="W259" i="25" s="1"/>
  <c r="X259" i="25" s="1"/>
  <c r="Y259" i="25" s="1"/>
  <c r="Z259" i="25" s="1"/>
  <c r="AA259" i="25" s="1"/>
  <c r="AB259" i="25" s="1"/>
  <c r="AC259" i="25" s="1"/>
  <c r="AD259" i="25" s="1"/>
  <c r="AE259" i="25" s="1"/>
  <c r="AF259" i="25" s="1"/>
  <c r="AG259" i="25" s="1"/>
  <c r="AH259" i="25" s="1"/>
  <c r="AI259" i="25" s="1"/>
  <c r="AJ259" i="25" s="1"/>
  <c r="AK259" i="25" s="1"/>
  <c r="AL259" i="25" s="1"/>
  <c r="AM259" i="25" s="1"/>
  <c r="AN259" i="25" s="1"/>
  <c r="AO259" i="25" s="1"/>
  <c r="AR260" i="25"/>
  <c r="T262" i="25"/>
  <c r="U261" i="25"/>
  <c r="R264" i="25"/>
  <c r="T263" i="25"/>
  <c r="AQ261" i="25" l="1"/>
  <c r="AQ215" i="25"/>
  <c r="AR215" i="25" s="1"/>
  <c r="U192" i="25"/>
  <c r="AF248" i="25"/>
  <c r="N266" i="25"/>
  <c r="N267" i="25" s="1"/>
  <c r="T217" i="25"/>
  <c r="S194" i="25"/>
  <c r="U193" i="25"/>
  <c r="AQ216" i="25"/>
  <c r="AR216" i="25" s="1"/>
  <c r="AR261" i="25"/>
  <c r="U262" i="25"/>
  <c r="U263" i="25"/>
  <c r="S264" i="25"/>
  <c r="AQ263" i="25" l="1"/>
  <c r="V263" i="25"/>
  <c r="W263" i="25" s="1"/>
  <c r="X263" i="25" s="1"/>
  <c r="Y263" i="25" s="1"/>
  <c r="Z263" i="25" s="1"/>
  <c r="AA263" i="25" s="1"/>
  <c r="AB263" i="25" s="1"/>
  <c r="AC263" i="25" s="1"/>
  <c r="AD263" i="25" s="1"/>
  <c r="AE263" i="25" s="1"/>
  <c r="AF263" i="25" s="1"/>
  <c r="AG263" i="25" s="1"/>
  <c r="AH263" i="25" s="1"/>
  <c r="AI263" i="25" s="1"/>
  <c r="AJ263" i="25" s="1"/>
  <c r="AK263" i="25" s="1"/>
  <c r="AL263" i="25" s="1"/>
  <c r="AM263" i="25" s="1"/>
  <c r="AN263" i="25" s="1"/>
  <c r="AO263" i="25" s="1"/>
  <c r="AQ262" i="25"/>
  <c r="V262" i="25" s="1"/>
  <c r="W262" i="25" s="1"/>
  <c r="X262" i="25" s="1"/>
  <c r="Y262" i="25" s="1"/>
  <c r="Z262" i="25" s="1"/>
  <c r="AA262" i="25" s="1"/>
  <c r="AB262" i="25" s="1"/>
  <c r="AC262" i="25" s="1"/>
  <c r="AD262" i="25" s="1"/>
  <c r="AE262" i="25" s="1"/>
  <c r="AF262" i="25" s="1"/>
  <c r="AG262" i="25" s="1"/>
  <c r="AH262" i="25" s="1"/>
  <c r="AI262" i="25" s="1"/>
  <c r="AJ262" i="25" s="1"/>
  <c r="AK262" i="25" s="1"/>
  <c r="AL262" i="25" s="1"/>
  <c r="AM262" i="25" s="1"/>
  <c r="AN262" i="25" s="1"/>
  <c r="AO262" i="25" s="1"/>
  <c r="AG248" i="25"/>
  <c r="O266" i="25"/>
  <c r="O267" i="25" s="1"/>
  <c r="T194" i="25"/>
  <c r="U217" i="25"/>
  <c r="V261" i="25"/>
  <c r="W261" i="25" s="1"/>
  <c r="X261" i="25" s="1"/>
  <c r="Y261" i="25" s="1"/>
  <c r="Z261" i="25" s="1"/>
  <c r="AA261" i="25" s="1"/>
  <c r="AB261" i="25" s="1"/>
  <c r="AC261" i="25" s="1"/>
  <c r="AD261" i="25" s="1"/>
  <c r="AE261" i="25" s="1"/>
  <c r="AF261" i="25" s="1"/>
  <c r="AG261" i="25" s="1"/>
  <c r="AH261" i="25" s="1"/>
  <c r="AI261" i="25" s="1"/>
  <c r="AJ261" i="25" s="1"/>
  <c r="AK261" i="25" s="1"/>
  <c r="AL261" i="25" s="1"/>
  <c r="AM261" i="25" s="1"/>
  <c r="AN261" i="25" s="1"/>
  <c r="AO261" i="25" s="1"/>
  <c r="AR262" i="25"/>
  <c r="AR263" i="25"/>
  <c r="T264" i="25"/>
  <c r="AH248" i="25" l="1"/>
  <c r="P266" i="25"/>
  <c r="P267" i="25" s="1"/>
  <c r="AQ217" i="25"/>
  <c r="U194" i="25"/>
  <c r="U264" i="25"/>
  <c r="AR269" i="25" s="1"/>
  <c r="AQ264" i="25" l="1"/>
  <c r="AI248" i="25"/>
  <c r="Q266" i="25"/>
  <c r="Q267" i="25" s="1"/>
  <c r="AR217" i="25"/>
  <c r="AQ219" i="25"/>
  <c r="AR264" i="25"/>
  <c r="AR219" i="25"/>
  <c r="V264" i="25" l="1"/>
  <c r="AQ266" i="25"/>
  <c r="W264" i="25"/>
  <c r="AJ248" i="25"/>
  <c r="R266" i="25"/>
  <c r="R267" i="25" s="1"/>
  <c r="AK248" i="25" l="1"/>
  <c r="S266" i="25"/>
  <c r="S267" i="25" s="1"/>
  <c r="X264" i="25"/>
  <c r="Y264" i="25" l="1"/>
  <c r="AL248" i="25"/>
  <c r="T266" i="25"/>
  <c r="T267" i="25" s="1"/>
  <c r="AM248" i="25" l="1"/>
  <c r="U266" i="25"/>
  <c r="U267" i="25" s="1"/>
  <c r="Z264" i="25"/>
  <c r="AA264" i="25" l="1"/>
  <c r="Y266" i="25"/>
  <c r="Y267" i="25" s="1"/>
  <c r="AN248" i="25"/>
  <c r="V266" i="25"/>
  <c r="V267" i="25" s="1"/>
  <c r="AO248" i="25" l="1"/>
  <c r="X266" i="25" s="1"/>
  <c r="X267" i="25" s="1"/>
  <c r="W266" i="25"/>
  <c r="W267" i="25" s="1"/>
  <c r="AB264" i="25"/>
  <c r="Z266" i="25"/>
  <c r="Z267" i="25" s="1"/>
  <c r="AC264" i="25" l="1"/>
  <c r="AA266" i="25"/>
  <c r="AA267" i="25" s="1"/>
  <c r="AD264" i="25" l="1"/>
  <c r="AB266" i="25"/>
  <c r="AB267" i="25" s="1"/>
  <c r="AE264" i="25" l="1"/>
  <c r="AC266" i="25"/>
  <c r="AC267" i="25" s="1"/>
  <c r="AF264" i="25" l="1"/>
  <c r="AD266" i="25"/>
  <c r="AD267" i="25" l="1"/>
  <c r="AG264" i="25"/>
  <c r="AE266" i="25"/>
  <c r="AE267" i="25" s="1"/>
  <c r="AH264" i="25" l="1"/>
  <c r="AF266" i="25"/>
  <c r="AF267" i="25" s="1"/>
  <c r="AI264" i="25" l="1"/>
  <c r="AG266" i="25"/>
  <c r="AG267" i="25" l="1"/>
  <c r="AJ264" i="25"/>
  <c r="AH266" i="25"/>
  <c r="AH267" i="25" s="1"/>
  <c r="AK264" i="25" l="1"/>
  <c r="AI266" i="25"/>
  <c r="AI267" i="25" s="1"/>
  <c r="AJ266" i="25" l="1"/>
  <c r="AJ267" i="25" s="1"/>
  <c r="AL264" i="25"/>
  <c r="AK266" i="25" l="1"/>
  <c r="AK267" i="25" s="1"/>
  <c r="AM264" i="25"/>
  <c r="AL266" i="25" l="1"/>
  <c r="AL267" i="25" s="1"/>
  <c r="AN264" i="25"/>
  <c r="AM266" i="25" l="1"/>
  <c r="AM267" i="25" s="1"/>
  <c r="AO264" i="25"/>
  <c r="AN266" i="25" s="1"/>
  <c r="AN267" i="25" l="1"/>
  <c r="B271" i="25"/>
  <c r="B269" i="25"/>
  <c r="AR267" i="25" s="1"/>
  <c r="B270" i="25" l="1"/>
</calcChain>
</file>

<file path=xl/comments1.xml><?xml version="1.0" encoding="utf-8"?>
<comments xmlns="http://schemas.openxmlformats.org/spreadsheetml/2006/main">
  <authors>
    <author>c1420</author>
  </authors>
  <commentList>
    <comment ref="AC5" authorId="0" shapeId="0">
      <text>
        <r>
          <rPr>
            <b/>
            <sz val="8"/>
            <color indexed="81"/>
            <rFont val="Tahoma"/>
            <family val="2"/>
          </rPr>
          <t>c1420:</t>
        </r>
        <r>
          <rPr>
            <sz val="8"/>
            <color indexed="81"/>
            <rFont val="Tahoma"/>
            <family val="2"/>
          </rPr>
          <t xml:space="preserve">
Hard-coded</t>
        </r>
      </text>
    </comment>
  </commentList>
</comments>
</file>

<file path=xl/comments2.xml><?xml version="1.0" encoding="utf-8"?>
<comments xmlns="http://schemas.openxmlformats.org/spreadsheetml/2006/main">
  <authors>
    <author>Derek Wong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Derek Wong:</t>
        </r>
        <r>
          <rPr>
            <sz val="8"/>
            <color indexed="81"/>
            <rFont val="Tahoma"/>
            <family val="2"/>
          </rPr>
          <t xml:space="preserve">
double checks that data pull reference is correct</t>
        </r>
      </text>
    </comment>
  </commentList>
</comments>
</file>

<file path=xl/comments3.xml><?xml version="1.0" encoding="utf-8"?>
<comments xmlns="http://schemas.openxmlformats.org/spreadsheetml/2006/main">
  <authors>
    <author>c3988</author>
  </authors>
  <commentList>
    <comment ref="A490" authorId="0" shapeId="0">
      <text>
        <r>
          <rPr>
            <sz val="8"/>
            <color indexed="81"/>
            <rFont val="Tahoma"/>
            <family val="2"/>
          </rPr>
          <t>replacing net data with gross (net of Ded &amp; SS)</t>
        </r>
      </text>
    </comment>
  </commentList>
</comments>
</file>

<file path=xl/comments4.xml><?xml version="1.0" encoding="utf-8"?>
<comments xmlns="http://schemas.openxmlformats.org/spreadsheetml/2006/main">
  <authors>
    <author>c3988</author>
  </authors>
  <commentList>
    <comment ref="A490" authorId="0" shapeId="0">
      <text>
        <r>
          <rPr>
            <sz val="8"/>
            <color indexed="81"/>
            <rFont val="Tahoma"/>
            <family val="2"/>
          </rPr>
          <t>replacing net data with gross (net of Ded &amp; SS)</t>
        </r>
      </text>
    </comment>
    <comment ref="A533" authorId="0" shapeId="0">
      <text>
        <r>
          <rPr>
            <b/>
            <sz val="8"/>
            <color indexed="81"/>
            <rFont val="Tahoma"/>
            <family val="2"/>
          </rPr>
          <t>c3988:</t>
        </r>
        <r>
          <rPr>
            <sz val="8"/>
            <color indexed="81"/>
            <rFont val="Tahoma"/>
            <family val="2"/>
          </rPr>
          <t xml:space="preserve">
replacing net data with gross</t>
        </r>
      </text>
    </comment>
  </commentList>
</comments>
</file>

<file path=xl/sharedStrings.xml><?xml version="1.0" encoding="utf-8"?>
<sst xmlns="http://schemas.openxmlformats.org/spreadsheetml/2006/main" count="3481" uniqueCount="279">
  <si>
    <t>Paid TriData</t>
  </si>
  <si>
    <t>Inc TriData</t>
  </si>
  <si>
    <t>A01</t>
  </si>
  <si>
    <t>A02</t>
  </si>
  <si>
    <t>A03</t>
  </si>
  <si>
    <t>A04</t>
  </si>
  <si>
    <t>A06</t>
  </si>
  <si>
    <t>A07</t>
  </si>
  <si>
    <t>A08</t>
  </si>
  <si>
    <t>Restated Ultimate based on Triangle Paid, understated because of Munich commutation</t>
  </si>
  <si>
    <t>Group S01, Auto</t>
  </si>
  <si>
    <t>Group A01, Canada Commercial</t>
  </si>
  <si>
    <t>Group A02, Canada Specialty</t>
  </si>
  <si>
    <t>Group A03, Other GRM</t>
  </si>
  <si>
    <t>Group A04, CNA Re</t>
  </si>
  <si>
    <t>Group A05, Warranty</t>
  </si>
  <si>
    <t>Group A06, Surety</t>
  </si>
  <si>
    <t>Group A07, Mass Tort</t>
  </si>
  <si>
    <t xml:space="preserve">Fast track medical only claims (WCMOX) are excluded from the count projections due to the distortion to counts and averages methods.  However, the loss amounts are included here.  </t>
  </si>
  <si>
    <t>Group S02, Workers Comp</t>
  </si>
  <si>
    <t>Group S03, Loss Sensitive WC</t>
  </si>
  <si>
    <t>Group S04, Defense-Based Acts</t>
  </si>
  <si>
    <t>Group S05, Package Liability</t>
  </si>
  <si>
    <t>Group S06, Casualty</t>
  </si>
  <si>
    <t>Group S07, Umbrella</t>
  </si>
  <si>
    <t>Group S08, Wexford</t>
  </si>
  <si>
    <t>Group S09, Large Property</t>
  </si>
  <si>
    <t>Group S10, Property</t>
  </si>
  <si>
    <t>Group S11, Ocean Marine</t>
  </si>
  <si>
    <t>Group S12, WC Ded</t>
  </si>
  <si>
    <t>Group S13, Third Party Ded</t>
  </si>
  <si>
    <t>Group S14, Aging Services</t>
  </si>
  <si>
    <t>Group S15, Ind Practitioners</t>
  </si>
  <si>
    <t>Group S16, Facilities Primary</t>
  </si>
  <si>
    <t>Group S17, Facilities Excess</t>
  </si>
  <si>
    <t>Group S18, Life Sciences</t>
  </si>
  <si>
    <t>Group S19, Architects &amp; Engineers</t>
  </si>
  <si>
    <t>Group S20, Program Lawyers</t>
  </si>
  <si>
    <t>Group S21, Lawyers Large</t>
  </si>
  <si>
    <t>Group S22, Professional E&amp;O</t>
  </si>
  <si>
    <t>Group S23, Other E&amp;O</t>
  </si>
  <si>
    <t>Group S24, Public D&amp;O</t>
  </si>
  <si>
    <t>Group S25, Private D&amp;O</t>
  </si>
  <si>
    <t>Group S26, Fidelity</t>
  </si>
  <si>
    <t>S25</t>
  </si>
  <si>
    <t>S26</t>
  </si>
  <si>
    <t>Group Wexford, Ocean Marine and Warranty triangles (Groups S08, S11, A05) include TPA data</t>
  </si>
  <si>
    <t>Paid Percentiles</t>
  </si>
  <si>
    <t>Incurred Percentiles</t>
  </si>
  <si>
    <t>Model</t>
  </si>
  <si>
    <t>BETS TNR</t>
  </si>
  <si>
    <t>Point Est</t>
  </si>
  <si>
    <t>Difference from Point</t>
  </si>
  <si>
    <t>Total</t>
  </si>
  <si>
    <t>Excl Current</t>
  </si>
  <si>
    <t>Paid</t>
  </si>
  <si>
    <t>Case</t>
  </si>
  <si>
    <t>Carried</t>
  </si>
  <si>
    <t>Point</t>
  </si>
  <si>
    <t>Paid Mean to Point</t>
  </si>
  <si>
    <t>WhiteSheets Net TNR*</t>
  </si>
  <si>
    <t>AY</t>
  </si>
  <si>
    <t>Incurred</t>
  </si>
  <si>
    <t>Group C-2, Commercial Auto Liability PD, underprojects most recent year, but point/carried are much higher than indicated by triangle.</t>
  </si>
  <si>
    <t>Group H1-3, Other Liability Occ - Excess WC, Triangles don't measure risk</t>
  </si>
  <si>
    <t>Group H2-3, Other Liability CM - Open Brokerage, Triangles don't measure risk</t>
  </si>
  <si>
    <t>Group F2-4, Medical Malpractice CM - Excess Institutions, Triangles don't measure risk</t>
  </si>
  <si>
    <t>Observations</t>
  </si>
  <si>
    <t xml:space="preserve">Tends to underproject recent accident years.  To the extent these years have more volatility, scaling at the group level understates variability.  </t>
  </si>
  <si>
    <t>% TPA (Case)</t>
  </si>
  <si>
    <t>IBNR</t>
  </si>
  <si>
    <t>Incurred Development Factors</t>
  </si>
  <si>
    <t>UY</t>
  </si>
  <si>
    <t>Bootstrap Method to Estimate Percentiles</t>
  </si>
  <si>
    <t>Incurred Loss &amp; ALAE</t>
  </si>
  <si>
    <t>Most Recent Accident Year</t>
  </si>
  <si>
    <t>Paid Loss &amp; ALAE</t>
  </si>
  <si>
    <t>Line Of Business</t>
  </si>
  <si>
    <t>As of</t>
  </si>
  <si>
    <t>x</t>
  </si>
  <si>
    <t>y</t>
  </si>
  <si>
    <t>b</t>
  </si>
  <si>
    <t>a</t>
  </si>
  <si>
    <t>Exponential</t>
  </si>
  <si>
    <t>Weibull</t>
  </si>
  <si>
    <t>Tail Estimates</t>
  </si>
  <si>
    <t>TNR</t>
  </si>
  <si>
    <t>Vol-Wtd Avg</t>
  </si>
  <si>
    <t>Normalized (Pearson) Residuals</t>
  </si>
  <si>
    <t>Title1</t>
  </si>
  <si>
    <t>Best Estimate</t>
  </si>
  <si>
    <t>White Sheets</t>
  </si>
  <si>
    <t>Ultimate Loss &amp; ALAE</t>
  </si>
  <si>
    <t>ln(x)</t>
  </si>
  <si>
    <t>ln(y-1)</t>
  </si>
  <si>
    <t>Group Number</t>
  </si>
  <si>
    <t>Group Def</t>
  </si>
  <si>
    <t>Bootstrap</t>
  </si>
  <si>
    <t>Paid Development Factors</t>
  </si>
  <si>
    <t>Ultimate</t>
  </si>
  <si>
    <t>Current</t>
  </si>
  <si>
    <t>Implied TNR</t>
  </si>
  <si>
    <t>Description of Worksheets</t>
  </si>
  <si>
    <t>Inputs</t>
  </si>
  <si>
    <t>Incurred Bootstrap</t>
  </si>
  <si>
    <t>Paid Bootstrap</t>
  </si>
  <si>
    <t>BE-WS Summary</t>
  </si>
  <si>
    <t>Group Number selection (SimTable if running multiple).  Paid and Incurred Triangles</t>
  </si>
  <si>
    <t>Template to Run Bootstrap method on Incurred Triangle</t>
  </si>
  <si>
    <t>Template to Run Bootstrap method on Paid Triangle</t>
  </si>
  <si>
    <t>Backwards Recursive Cumulative Incurred Loss &amp; ALAE</t>
  </si>
  <si>
    <t>Unscaled Pearson Residuals [ (original - new) / sqrt(new) ]</t>
  </si>
  <si>
    <t>Scale Factor &amp; Bias Adjustment</t>
  </si>
  <si>
    <t xml:space="preserve">Sum of Squares = </t>
  </si>
  <si>
    <t xml:space="preserve">N (# of data points in triangle) = </t>
  </si>
  <si>
    <t xml:space="preserve">P (# of parameters estimate) = </t>
  </si>
  <si>
    <t xml:space="preserve">Scale Factor = </t>
  </si>
  <si>
    <t xml:space="preserve">Bias Adjustment = </t>
  </si>
  <si>
    <t>Col Count</t>
  </si>
  <si>
    <t>Random Draw</t>
  </si>
  <si>
    <t>"Pseudo" Incremental Paid Loss</t>
  </si>
  <si>
    <t>"Pseudo" Cumulative Paid Loss</t>
  </si>
  <si>
    <t>"Pseudo" Incurred Development Factors</t>
  </si>
  <si>
    <t>Tail</t>
  </si>
  <si>
    <t>Inverse Power</t>
  </si>
  <si>
    <t>Curve</t>
  </si>
  <si>
    <t>Implied</t>
  </si>
  <si>
    <t>Factor</t>
  </si>
  <si>
    <t>Variable</t>
  </si>
  <si>
    <t>Decay</t>
  </si>
  <si>
    <t>Average</t>
  </si>
  <si>
    <t>2x implied</t>
  </si>
  <si>
    <t>Max tail</t>
  </si>
  <si>
    <t>Effective Cap</t>
  </si>
  <si>
    <t>Y t-form</t>
  </si>
  <si>
    <t>Backwards Recursive Cumulative Paid Loss &amp; ALAE</t>
  </si>
  <si>
    <t>"Pseudo" Paid Development Factors</t>
  </si>
  <si>
    <t>to Paid</t>
  </si>
  <si>
    <t>Implied Inc</t>
  </si>
  <si>
    <t>Assuming the same tail (random draw) for all years results in a distribution that is choppy, driven exclusively by the tail selection.</t>
  </si>
  <si>
    <t>For that reason, the random draw tail selection varies by accident year.</t>
  </si>
  <si>
    <t>"Pseudo" Cumulative Paid Loss Square w/ Process Variance</t>
  </si>
  <si>
    <t>Random Index</t>
  </si>
  <si>
    <t>F1</t>
  </si>
  <si>
    <t>Years in InputTri</t>
  </si>
  <si>
    <t>Triangle Types</t>
  </si>
  <si>
    <t>Tail Payout</t>
  </si>
  <si>
    <t>CY Payout</t>
  </si>
  <si>
    <t>Discount Rate</t>
  </si>
  <si>
    <t>Discount Factor</t>
  </si>
  <si>
    <t>Avg Payout</t>
  </si>
  <si>
    <t>Mean</t>
  </si>
  <si>
    <t>Case + Inc IBNR</t>
  </si>
  <si>
    <t>Paid TNR</t>
  </si>
  <si>
    <t>Std Dev</t>
  </si>
  <si>
    <t>Named ranges</t>
  </si>
  <si>
    <t>BEWSSummary</t>
  </si>
  <si>
    <t>='BE-WS Summary'!$C$3:$G$695</t>
  </si>
  <si>
    <t>Used mostly for Tail</t>
  </si>
  <si>
    <t>Group</t>
  </si>
  <si>
    <t>=Inputs!$D$2</t>
  </si>
  <si>
    <t>Index for group, set to E2 if running multiple simulations</t>
  </si>
  <si>
    <t>Rate</t>
  </si>
  <si>
    <t>=Inputs!$I$5</t>
  </si>
  <si>
    <t xml:space="preserve">Discount rate for paid bootstrap </t>
  </si>
  <si>
    <t>Row.Breaks</t>
  </si>
  <si>
    <t>='Incurred Bootstrap'!$W$110:$W$128</t>
  </si>
  <si>
    <t>Breakpoints for Random draw index</t>
  </si>
  <si>
    <t>TailPayout</t>
  </si>
  <si>
    <t>='Paid Bootstrap'!$BE$199:$BE$219</t>
  </si>
  <si>
    <t>20-year Payout of tail (for discount factor calculation)</t>
  </si>
  <si>
    <t>Triangle data.  Formulas refer to named range.</t>
  </si>
  <si>
    <t>Notes:</t>
  </si>
  <si>
    <t>Summary</t>
  </si>
  <si>
    <t>Mean and Std Dev of Paid, Incurred and Discounted Paid TNR.  Requires active @Risk session.</t>
  </si>
  <si>
    <t>CV</t>
  </si>
  <si>
    <t>Group G-2, Ocean Marine, Triangles don't measure risk</t>
  </si>
  <si>
    <t>GROUP</t>
  </si>
  <si>
    <t>ACC_YEAR</t>
  </si>
  <si>
    <t>Case_RSV</t>
  </si>
  <si>
    <t>Point BULK</t>
  </si>
  <si>
    <t>Carried BULK</t>
  </si>
  <si>
    <t>Point Ult</t>
  </si>
  <si>
    <t>Carried Ult</t>
  </si>
  <si>
    <t>Loss__YR</t>
  </si>
  <si>
    <t>SumOfDEV_MO_12</t>
  </si>
  <si>
    <t>SumOfDEV_MO_24</t>
  </si>
  <si>
    <t>SumOfDEV_MO_36</t>
  </si>
  <si>
    <t>SumOfDEV_MO_48</t>
  </si>
  <si>
    <t>SumOfDEV_MO_60</t>
  </si>
  <si>
    <t>SumOfDEV_MO_72</t>
  </si>
  <si>
    <t>SumOfDEV_MO_84</t>
  </si>
  <si>
    <t>SumOfDEV_MO_96</t>
  </si>
  <si>
    <t>SumOfDEV_MO_108</t>
  </si>
  <si>
    <t>SumOfDEV_MO_120</t>
  </si>
  <si>
    <t>SumOfDEV_MO_132</t>
  </si>
  <si>
    <t>SumOfDEV_MO_144</t>
  </si>
  <si>
    <t>SumOfDEV_MO_156</t>
  </si>
  <si>
    <t>SumOfDEV_MO_168</t>
  </si>
  <si>
    <t>SumOfDEV_MO_180</t>
  </si>
  <si>
    <t>SumOfDEV_MO_192</t>
  </si>
  <si>
    <t>SumOfDEV_MO_204</t>
  </si>
  <si>
    <t>SumOfDEV_MO_216</t>
  </si>
  <si>
    <t>SumOfDEV_MO_228</t>
  </si>
  <si>
    <t>SumOfDEV_MO_240</t>
  </si>
  <si>
    <t>SumOfDEV_MO_252</t>
  </si>
  <si>
    <t>Gross</t>
  </si>
  <si>
    <t>Implied Paid</t>
  </si>
  <si>
    <t>WS</t>
  </si>
  <si>
    <t>Triangles (excl TPA)</t>
  </si>
  <si>
    <t>CATEGORY</t>
  </si>
  <si>
    <t>Group K-2, Surety, we sometimes collect subrogation before the claim is paid, which explains 2009 negative payments (subsequent years set at same level)</t>
  </si>
  <si>
    <t>*For most recent 20 years.  Includes TPA data, which are excluded from triangles.</t>
  </si>
  <si>
    <t>RANGE_GRP_12</t>
  </si>
  <si>
    <t>Export of BE-WS Summary Expanded query in</t>
  </si>
  <si>
    <t>Export of Triangle Method - Paid Output in</t>
  </si>
  <si>
    <t>Export of Triangle Method - Inc Output in</t>
  </si>
  <si>
    <t>Group by AY</t>
  </si>
  <si>
    <t>Diagnostics comparing methods for single Group by AY</t>
  </si>
  <si>
    <t>(per sheet)</t>
  </si>
  <si>
    <t>IncTriData</t>
  </si>
  <si>
    <t>PaidTriData</t>
  </si>
  <si>
    <t>='Paid TriData'!$C$3:$W$674</t>
  </si>
  <si>
    <t>='Inc TriData'!$C$3:$W$674</t>
  </si>
  <si>
    <t>Rows with negative net loss replaced with Gross</t>
  </si>
  <si>
    <t>Calendar Year</t>
  </si>
  <si>
    <t>Cum.</t>
  </si>
  <si>
    <t>Incr</t>
  </si>
  <si>
    <t>Set to Zero (questionable history)</t>
  </si>
  <si>
    <t>RANGE_GRP_13</t>
  </si>
  <si>
    <t>A05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</si>
  <si>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</si>
  <si>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</si>
  <si>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</si>
  <si>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</si>
  <si>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</si>
  <si>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</si>
  <si>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</si>
  <si>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</si>
  <si>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</si>
  <si>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</si>
  <si>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</si>
  <si>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</si>
  <si>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</si>
  <si>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</si>
  <si>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</si>
  <si>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</si>
  <si>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</si>
  <si>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</si>
  <si>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</si>
  <si>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</si>
  <si>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</si>
  <si>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</si>
  <si>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S10</t>
  </si>
  <si>
    <t>S11</t>
  </si>
  <si>
    <t>Groups</t>
  </si>
  <si>
    <t>Difference from 12/2012</t>
  </si>
  <si>
    <t>Check of Data Being Pulled In</t>
  </si>
  <si>
    <t>A09</t>
  </si>
  <si>
    <t>Group A09, Allstate</t>
  </si>
  <si>
    <t>Data for Range-2015.mdb</t>
  </si>
  <si>
    <t>GF1_rK0qDwEADwDmAAwjACYAQwBkAHgAeQCHAJUAwADiANwAKgD//wAAAAAAAQQAAAAADyMsIyMwXyk7KCMsIyMwKQAAAAEbMjAwNyAvIEluYyBUTlIgKFMwMSAtIEF1dG8pAQABARAAAgABClN0YXRpc3RpY3MDAQEA/wEBAQEBAAEBAQAEAAAAAQEBAQEAAQEBAAQAAAABmQACIwAbMjAwNyAvIEluYyBUTlIgKFMwMSAtIEF1dG8pAAAvAQACAAIAyADSAAEBAgGamZmZmZmpPwAAZmZmZmZm7j8AAAUAAQEBAAEBAQA=</t>
  </si>
  <si>
    <t>&gt;75%</t>
  </si>
  <si>
    <t>&lt;25%</t>
  </si>
  <si>
    <t>&gt;90%</t>
  </si>
  <si>
    <t>AY 1995 ITD Paid Loss &amp; ALAE as of 12/2015 from Historical Ultimates</t>
  </si>
  <si>
    <t>BSO</t>
  </si>
  <si>
    <t>XXX</t>
  </si>
  <si>
    <t>Carried was 1 higher than point</t>
  </si>
  <si>
    <t>Case + Inc IBNR No Tail</t>
  </si>
  <si>
    <t>Paid TNR No Tail</t>
  </si>
  <si>
    <t>Point TNR</t>
  </si>
  <si>
    <t xml:space="preserve"> ($m)</t>
  </si>
  <si>
    <t>Paid Bootstrap CV</t>
  </si>
  <si>
    <t>with Tail</t>
  </si>
  <si>
    <t>w/o Tail</t>
  </si>
  <si>
    <t>Diff</t>
  </si>
  <si>
    <t>Incurred Bootstrap CV</t>
  </si>
  <si>
    <t>Formula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</si>
</sst>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1" formatCode="_(* #,##0_);_(* \(#,##0\);_(* &quot;-&quot;_);_(@_)"/>
    <numFmt numFmtId="43" formatCode="_(* #,##0.00_);_(* \(#,##0.00\);_(* &quot;-&quot;??_);_(@_)"/>
    <numFmt numFmtId="164" formatCode="#,##0.000_);\(#,##0.000\)"/>
    <numFmt numFmtId="165" formatCode="_(* #,##0_);_(* \(#,##0\);_(* &quot;-&quot;??_);_(@_)"/>
    <numFmt numFmtId="166" formatCode="#,##0_)"/>
    <numFmt numFmtId="167" formatCode="0.0%"/>
    <numFmt numFmtId="168" formatCode="0.0000"/>
    <numFmt numFmtId="169" formatCode="_(* #,##0.000_);_(* \(#,##0.000\);_(* &quot;-&quot;??_);_(@_)"/>
    <numFmt numFmtId="170" formatCode="_(* #,##0.0000_);_(* \(#,##0.0000\);_(* &quot;-&quot;??_);_(@_)"/>
    <numFmt numFmtId="171" formatCode="mmmm\ d\,\ yyyy"/>
    <numFmt numFmtId="172" formatCode="_(* #,##0,_);_(* \(#,##0,\)"/>
    <numFmt numFmtId="173" formatCode="#,##0.000"/>
    <numFmt numFmtId="174" formatCode="&quot;$&quot;#,##0"/>
    <numFmt numFmtId="175" formatCode="_(* #,##0.0,,_);_(* \(#,##0.0,,\)"/>
  </numFmts>
  <fonts count="24" x14ac:knownFonts="1">
    <font>
      <sz val="10"/>
      <name val="Times New Roman"/>
    </font>
    <font>
      <sz val="10"/>
      <name val="Times New Roman"/>
    </font>
    <font>
      <b/>
      <sz val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10"/>
      <color indexed="12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10"/>
      <color indexed="8"/>
      <name val="Arial"/>
      <family val="2"/>
    </font>
    <font>
      <sz val="10"/>
      <color indexed="9"/>
      <name val="Times New Roman"/>
      <family val="1"/>
    </font>
    <font>
      <u/>
      <sz val="10"/>
      <color indexed="12"/>
      <name val="Times New Roman"/>
      <family val="1"/>
    </font>
    <font>
      <sz val="10"/>
      <color indexed="55"/>
      <name val="Times New Roman"/>
      <family val="1"/>
    </font>
    <font>
      <sz val="8"/>
      <name val="Arial"/>
      <family val="2"/>
    </font>
    <font>
      <u/>
      <sz val="8"/>
      <name val="Arial"/>
      <family val="2"/>
    </font>
    <font>
      <sz val="10"/>
      <color indexed="55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8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12"/>
      <name val="Times New Roman"/>
      <family val="1"/>
    </font>
    <font>
      <sz val="11"/>
      <color indexed="8"/>
      <name val="Calibri"/>
      <family val="2"/>
    </font>
    <font>
      <b/>
      <u val="singleAccounting"/>
      <sz val="10"/>
      <name val="Times New Roman"/>
      <family val="1"/>
    </font>
    <font>
      <u val="singleAccounting"/>
      <sz val="1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0"/>
      </patternFill>
    </fill>
    <fill>
      <patternFill patternType="solid">
        <fgColor indexed="22"/>
        <bgColor indexed="0"/>
      </patternFill>
    </fill>
    <fill>
      <patternFill patternType="solid">
        <fgColor indexed="13"/>
        <bgColor indexed="8"/>
      </patternFill>
    </fill>
    <fill>
      <patternFill patternType="solid">
        <fgColor indexed="4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15" fillId="0" borderId="0"/>
    <xf numFmtId="9" fontId="1" fillId="0" borderId="0" applyFont="0" applyFill="0" applyBorder="0" applyAlignment="0" applyProtection="0"/>
  </cellStyleXfs>
  <cellXfs count="200">
    <xf numFmtId="0" fontId="0" fillId="0" borderId="0" xfId="0"/>
    <xf numFmtId="0" fontId="0" fillId="0" borderId="0" xfId="0" applyAlignment="1">
      <alignment horizontal="center"/>
    </xf>
    <xf numFmtId="38" fontId="0" fillId="2" borderId="0" xfId="1" applyNumberFormat="1" applyFont="1" applyFill="1"/>
    <xf numFmtId="0" fontId="0" fillId="2" borderId="0" xfId="0" applyFill="1"/>
    <xf numFmtId="0" fontId="0" fillId="0" borderId="0" xfId="0" applyAlignment="1">
      <alignment horizontal="right"/>
    </xf>
    <xf numFmtId="165" fontId="3" fillId="0" borderId="0" xfId="1" applyNumberFormat="1" applyFont="1"/>
    <xf numFmtId="165" fontId="5" fillId="0" borderId="0" xfId="1" applyNumberFormat="1" applyFont="1" applyBorder="1"/>
    <xf numFmtId="0" fontId="3" fillId="0" borderId="0" xfId="0" applyFont="1"/>
    <xf numFmtId="166" fontId="5" fillId="0" borderId="0" xfId="0" applyNumberFormat="1" applyFont="1" applyBorder="1"/>
    <xf numFmtId="165" fontId="3" fillId="0" borderId="0" xfId="1" applyNumberFormat="1" applyFont="1" applyBorder="1"/>
    <xf numFmtId="0" fontId="3" fillId="0" borderId="0" xfId="0" applyFont="1" applyBorder="1"/>
    <xf numFmtId="165" fontId="3" fillId="0" borderId="0" xfId="0" applyNumberFormat="1" applyFont="1"/>
    <xf numFmtId="0" fontId="2" fillId="0" borderId="0" xfId="0" applyFont="1" applyAlignment="1">
      <alignment horizontal="centerContinuous"/>
    </xf>
    <xf numFmtId="171" fontId="2" fillId="0" borderId="0" xfId="0" applyNumberFormat="1" applyFont="1" applyAlignment="1">
      <alignment horizontal="centerContinuous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3" fillId="0" borderId="0" xfId="0" applyFont="1" applyAlignment="1">
      <alignment horizontal="center"/>
    </xf>
    <xf numFmtId="166" fontId="3" fillId="0" borderId="0" xfId="0" applyNumberFormat="1" applyFont="1"/>
    <xf numFmtId="170" fontId="3" fillId="0" borderId="0" xfId="1" applyNumberFormat="1" applyFont="1"/>
    <xf numFmtId="0" fontId="6" fillId="0" borderId="0" xfId="0" applyNumberFormat="1" applyFont="1" applyAlignment="1">
      <alignment horizontal="right"/>
    </xf>
    <xf numFmtId="170" fontId="3" fillId="0" borderId="0" xfId="1" applyNumberFormat="1" applyFont="1" applyFill="1"/>
    <xf numFmtId="170" fontId="7" fillId="0" borderId="0" xfId="1" applyNumberFormat="1" applyFont="1"/>
    <xf numFmtId="170" fontId="7" fillId="0" borderId="0" xfId="0" applyNumberFormat="1" applyFont="1"/>
    <xf numFmtId="0" fontId="3" fillId="0" borderId="2" xfId="0" applyFont="1" applyBorder="1"/>
    <xf numFmtId="0" fontId="3" fillId="0" borderId="3" xfId="0" applyFont="1" applyBorder="1"/>
    <xf numFmtId="170" fontId="3" fillId="0" borderId="4" xfId="1" applyNumberFormat="1" applyFont="1" applyBorder="1"/>
    <xf numFmtId="170" fontId="3" fillId="0" borderId="0" xfId="1" applyNumberFormat="1" applyFont="1" applyBorder="1"/>
    <xf numFmtId="0" fontId="3" fillId="0" borderId="5" xfId="0" applyFont="1" applyBorder="1"/>
    <xf numFmtId="0" fontId="3" fillId="0" borderId="4" xfId="0" applyFont="1" applyBorder="1"/>
    <xf numFmtId="0" fontId="2" fillId="0" borderId="0" xfId="0" applyFont="1" applyBorder="1" applyAlignment="1">
      <alignment horizontal="center"/>
    </xf>
    <xf numFmtId="169" fontId="3" fillId="0" borderId="0" xfId="1" applyNumberFormat="1" applyFont="1"/>
    <xf numFmtId="169" fontId="3" fillId="0" borderId="0" xfId="1" applyNumberFormat="1" applyFont="1" applyBorder="1"/>
    <xf numFmtId="169" fontId="3" fillId="0" borderId="5" xfId="1" applyNumberFormat="1" applyFont="1" applyBorder="1"/>
    <xf numFmtId="170" fontId="3" fillId="3" borderId="0" xfId="1" applyNumberFormat="1" applyFont="1" applyFill="1" applyBorder="1"/>
    <xf numFmtId="169" fontId="3" fillId="3" borderId="0" xfId="1" applyNumberFormat="1" applyFont="1" applyFill="1" applyBorder="1"/>
    <xf numFmtId="0" fontId="3" fillId="3" borderId="0" xfId="0" applyFont="1" applyFill="1" applyBorder="1"/>
    <xf numFmtId="169" fontId="3" fillId="3" borderId="5" xfId="1" applyNumberFormat="1" applyFont="1" applyFill="1" applyBorder="1"/>
    <xf numFmtId="38" fontId="0" fillId="0" borderId="0" xfId="0" applyNumberFormat="1"/>
    <xf numFmtId="165" fontId="3" fillId="0" borderId="4" xfId="1" applyNumberFormat="1" applyFont="1" applyBorder="1"/>
    <xf numFmtId="165" fontId="3" fillId="0" borderId="4" xfId="0" applyNumberFormat="1" applyFont="1" applyBorder="1"/>
    <xf numFmtId="165" fontId="3" fillId="3" borderId="4" xfId="0" applyNumberFormat="1" applyFont="1" applyFill="1" applyBorder="1"/>
    <xf numFmtId="170" fontId="3" fillId="3" borderId="0" xfId="1" applyNumberFormat="1" applyFont="1" applyFill="1"/>
    <xf numFmtId="37" fontId="0" fillId="0" borderId="0" xfId="0" applyNumberFormat="1"/>
    <xf numFmtId="0" fontId="0" fillId="0" borderId="0" xfId="0" applyAlignment="1">
      <alignment horizont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4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0" fontId="0" fillId="0" borderId="0" xfId="0" applyFill="1" applyAlignment="1">
      <alignment horizontal="centerContinuous"/>
    </xf>
    <xf numFmtId="0" fontId="9" fillId="0" borderId="0" xfId="0" applyFont="1" applyFill="1"/>
    <xf numFmtId="38" fontId="9" fillId="0" borderId="0" xfId="1" applyNumberFormat="1" applyFont="1" applyFill="1"/>
    <xf numFmtId="172" fontId="0" fillId="0" borderId="0" xfId="0" applyNumberFormat="1"/>
    <xf numFmtId="0" fontId="0" fillId="2" borderId="0" xfId="0" applyFill="1" applyAlignment="1">
      <alignment horizontal="left"/>
    </xf>
    <xf numFmtId="165" fontId="3" fillId="3" borderId="0" xfId="1" applyNumberFormat="1" applyFont="1" applyFill="1"/>
    <xf numFmtId="37" fontId="3" fillId="0" borderId="0" xfId="0" applyNumberFormat="1" applyFont="1"/>
    <xf numFmtId="37" fontId="3" fillId="0" borderId="0" xfId="1" applyNumberFormat="1" applyFont="1"/>
    <xf numFmtId="0" fontId="3" fillId="0" borderId="0" xfId="0" applyFont="1" applyAlignment="1">
      <alignment horizontal="left"/>
    </xf>
    <xf numFmtId="37" fontId="3" fillId="0" borderId="0" xfId="1" applyNumberFormat="1" applyFont="1" applyFill="1"/>
    <xf numFmtId="37" fontId="3" fillId="4" borderId="0" xfId="0" applyNumberFormat="1" applyFont="1" applyFill="1"/>
    <xf numFmtId="0" fontId="10" fillId="0" borderId="0" xfId="2" applyAlignment="1" applyProtection="1"/>
    <xf numFmtId="167" fontId="0" fillId="0" borderId="0" xfId="0" applyNumberFormat="1"/>
    <xf numFmtId="165" fontId="0" fillId="0" borderId="0" xfId="0" applyNumberFormat="1"/>
    <xf numFmtId="165" fontId="11" fillId="0" borderId="0" xfId="0" applyNumberFormat="1" applyFont="1"/>
    <xf numFmtId="37" fontId="3" fillId="3" borderId="0" xfId="0" applyNumberFormat="1" applyFont="1" applyFill="1"/>
    <xf numFmtId="0" fontId="12" fillId="0" borderId="0" xfId="0" applyFont="1"/>
    <xf numFmtId="0" fontId="13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Continuous"/>
    </xf>
    <xf numFmtId="0" fontId="12" fillId="0" borderId="0" xfId="0" applyFont="1" applyAlignment="1">
      <alignment horizontal="right"/>
    </xf>
    <xf numFmtId="41" fontId="12" fillId="0" borderId="0" xfId="0" applyNumberFormat="1" applyFont="1" applyAlignment="1">
      <alignment horizontal="left"/>
    </xf>
    <xf numFmtId="41" fontId="12" fillId="0" borderId="0" xfId="0" applyNumberFormat="1" applyFont="1"/>
    <xf numFmtId="173" fontId="12" fillId="0" borderId="0" xfId="0" applyNumberFormat="1" applyFont="1"/>
    <xf numFmtId="165" fontId="11" fillId="3" borderId="0" xfId="0" applyNumberFormat="1" applyFont="1" applyFill="1"/>
    <xf numFmtId="37" fontId="3" fillId="3" borderId="0" xfId="1" applyNumberFormat="1" applyFont="1" applyFill="1"/>
    <xf numFmtId="37" fontId="7" fillId="0" borderId="0" xfId="1" applyNumberFormat="1" applyFont="1"/>
    <xf numFmtId="0" fontId="13" fillId="0" borderId="0" xfId="0" applyFont="1" applyAlignment="1">
      <alignment horizontal="center"/>
    </xf>
    <xf numFmtId="173" fontId="12" fillId="0" borderId="0" xfId="0" applyNumberFormat="1" applyFont="1" applyAlignment="1">
      <alignment horizontal="center"/>
    </xf>
    <xf numFmtId="170" fontId="3" fillId="5" borderId="0" xfId="1" applyNumberFormat="1" applyFont="1" applyFill="1"/>
    <xf numFmtId="165" fontId="3" fillId="5" borderId="4" xfId="0" applyNumberFormat="1" applyFont="1" applyFill="1" applyBorder="1"/>
    <xf numFmtId="170" fontId="3" fillId="5" borderId="0" xfId="1" applyNumberFormat="1" applyFont="1" applyFill="1" applyBorder="1"/>
    <xf numFmtId="169" fontId="3" fillId="5" borderId="0" xfId="1" applyNumberFormat="1" applyFont="1" applyFill="1" applyBorder="1"/>
    <xf numFmtId="169" fontId="3" fillId="5" borderId="5" xfId="1" applyNumberFormat="1" applyFont="1" applyFill="1" applyBorder="1"/>
    <xf numFmtId="0" fontId="0" fillId="5" borderId="0" xfId="0" applyFill="1"/>
    <xf numFmtId="168" fontId="3" fillId="0" borderId="0" xfId="0" applyNumberFormat="1" applyFont="1" applyBorder="1"/>
    <xf numFmtId="0" fontId="3" fillId="0" borderId="0" xfId="0" applyFont="1" applyBorder="1" applyAlignment="1">
      <alignment horizontal="right"/>
    </xf>
    <xf numFmtId="168" fontId="3" fillId="6" borderId="0" xfId="0" applyNumberFormat="1" applyFont="1" applyFill="1" applyBorder="1"/>
    <xf numFmtId="170" fontId="7" fillId="0" borderId="0" xfId="1" applyNumberFormat="1" applyFont="1" applyFill="1" applyBorder="1"/>
    <xf numFmtId="0" fontId="6" fillId="0" borderId="0" xfId="0" applyNumberFormat="1" applyFont="1" applyFill="1" applyBorder="1" applyAlignment="1">
      <alignment horizontal="right"/>
    </xf>
    <xf numFmtId="170" fontId="2" fillId="0" borderId="0" xfId="1" applyNumberFormat="1" applyFont="1" applyBorder="1"/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70" fontId="3" fillId="0" borderId="0" xfId="1" applyNumberFormat="1" applyFont="1" applyBorder="1" applyAlignment="1">
      <alignment horizontal="center"/>
    </xf>
    <xf numFmtId="172" fontId="3" fillId="0" borderId="0" xfId="1" applyNumberFormat="1" applyFont="1" applyBorder="1"/>
    <xf numFmtId="0" fontId="3" fillId="0" borderId="3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3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2" fillId="0" borderId="0" xfId="0" applyFont="1" applyFill="1" applyBorder="1" applyAlignment="1">
      <alignment horizontal="center"/>
    </xf>
    <xf numFmtId="165" fontId="3" fillId="3" borderId="7" xfId="0" applyNumberFormat="1" applyFont="1" applyFill="1" applyBorder="1"/>
    <xf numFmtId="0" fontId="3" fillId="3" borderId="8" xfId="0" applyFont="1" applyFill="1" applyBorder="1"/>
    <xf numFmtId="169" fontId="3" fillId="3" borderId="8" xfId="1" applyNumberFormat="1" applyFont="1" applyFill="1" applyBorder="1"/>
    <xf numFmtId="169" fontId="3" fillId="3" borderId="9" xfId="1" applyNumberFormat="1" applyFont="1" applyFill="1" applyBorder="1"/>
    <xf numFmtId="37" fontId="11" fillId="0" borderId="0" xfId="0" applyNumberFormat="1" applyFont="1"/>
    <xf numFmtId="37" fontId="11" fillId="0" borderId="0" xfId="1" applyNumberFormat="1" applyFont="1" applyFill="1"/>
    <xf numFmtId="37" fontId="14" fillId="0" borderId="0" xfId="0" applyNumberFormat="1" applyFont="1"/>
    <xf numFmtId="0" fontId="0" fillId="0" borderId="0" xfId="0" applyAlignment="1">
      <alignment horizontal="left" indent="2"/>
    </xf>
    <xf numFmtId="37" fontId="12" fillId="0" borderId="0" xfId="0" applyNumberFormat="1" applyFont="1" applyAlignment="1">
      <alignment horizontal="center"/>
    </xf>
    <xf numFmtId="37" fontId="3" fillId="0" borderId="0" xfId="0" applyNumberFormat="1" applyFont="1" applyFill="1"/>
    <xf numFmtId="0" fontId="0" fillId="0" borderId="0" xfId="0" applyFill="1" applyAlignment="1">
      <alignment horizontal="right"/>
    </xf>
    <xf numFmtId="165" fontId="11" fillId="0" borderId="0" xfId="0" applyNumberFormat="1" applyFont="1" applyFill="1"/>
    <xf numFmtId="167" fontId="0" fillId="2" borderId="0" xfId="0" applyNumberFormat="1" applyFill="1"/>
    <xf numFmtId="164" fontId="0" fillId="0" borderId="0" xfId="0" applyNumberFormat="1"/>
    <xf numFmtId="0" fontId="0" fillId="0" borderId="0" xfId="0" applyNumberFormat="1"/>
    <xf numFmtId="167" fontId="0" fillId="4" borderId="0" xfId="0" applyNumberFormat="1" applyFill="1"/>
    <xf numFmtId="167" fontId="0" fillId="0" borderId="0" xfId="0" applyNumberFormat="1" applyFill="1"/>
    <xf numFmtId="172" fontId="0" fillId="0" borderId="0" xfId="0" applyNumberFormat="1" applyFill="1"/>
    <xf numFmtId="0" fontId="0" fillId="0" borderId="0" xfId="0" applyAlignment="1">
      <alignment horizontal="left"/>
    </xf>
    <xf numFmtId="170" fontId="0" fillId="0" borderId="0" xfId="0" applyNumberFormat="1"/>
    <xf numFmtId="169" fontId="5" fillId="0" borderId="0" xfId="1" applyNumberFormat="1" applyFont="1" applyBorder="1"/>
    <xf numFmtId="169" fontId="3" fillId="0" borderId="0" xfId="0" applyNumberFormat="1" applyFont="1" applyBorder="1"/>
    <xf numFmtId="172" fontId="0" fillId="2" borderId="0" xfId="1" applyNumberFormat="1" applyFont="1" applyFill="1"/>
    <xf numFmtId="0" fontId="2" fillId="0" borderId="0" xfId="0" applyFont="1"/>
    <xf numFmtId="0" fontId="0" fillId="0" borderId="0" xfId="0" applyAlignment="1">
      <alignment horizontal="centerContinuous"/>
    </xf>
    <xf numFmtId="9" fontId="0" fillId="0" borderId="0" xfId="0" applyNumberFormat="1"/>
    <xf numFmtId="172" fontId="8" fillId="7" borderId="10" xfId="7" applyNumberFormat="1" applyFont="1" applyFill="1" applyBorder="1" applyAlignment="1">
      <alignment horizontal="center"/>
    </xf>
    <xf numFmtId="0" fontId="8" fillId="8" borderId="11" xfId="5" applyFont="1" applyFill="1" applyBorder="1" applyAlignment="1">
      <alignment horizontal="center"/>
    </xf>
    <xf numFmtId="0" fontId="8" fillId="0" borderId="1" xfId="5" applyFont="1" applyFill="1" applyBorder="1" applyAlignment="1">
      <alignment wrapText="1"/>
    </xf>
    <xf numFmtId="0" fontId="8" fillId="0" borderId="1" xfId="5" applyFont="1" applyFill="1" applyBorder="1" applyAlignment="1">
      <alignment horizontal="right" wrapText="1"/>
    </xf>
    <xf numFmtId="37" fontId="0" fillId="3" borderId="0" xfId="0" applyNumberFormat="1" applyFill="1"/>
    <xf numFmtId="172" fontId="8" fillId="0" borderId="1" xfId="5" applyNumberFormat="1" applyFont="1" applyFill="1" applyBorder="1" applyAlignment="1">
      <alignment wrapText="1"/>
    </xf>
    <xf numFmtId="37" fontId="8" fillId="0" borderId="1" xfId="5" applyNumberFormat="1" applyFont="1" applyFill="1" applyBorder="1" applyAlignment="1">
      <alignment horizontal="right" wrapText="1"/>
    </xf>
    <xf numFmtId="37" fontId="8" fillId="0" borderId="0" xfId="5" applyNumberFormat="1"/>
    <xf numFmtId="0" fontId="3" fillId="0" borderId="0" xfId="4" applyFont="1"/>
    <xf numFmtId="0" fontId="0" fillId="0" borderId="0" xfId="0" quotePrefix="1" applyNumberFormat="1"/>
    <xf numFmtId="0" fontId="16" fillId="0" borderId="0" xfId="0" applyFont="1"/>
    <xf numFmtId="172" fontId="17" fillId="0" borderId="1" xfId="7" applyNumberFormat="1" applyFont="1" applyFill="1" applyBorder="1" applyAlignment="1">
      <alignment horizontal="right" wrapText="1"/>
    </xf>
    <xf numFmtId="172" fontId="8" fillId="0" borderId="1" xfId="5" applyNumberFormat="1" applyFont="1" applyFill="1" applyBorder="1" applyAlignment="1">
      <alignment horizontal="right" wrapText="1"/>
    </xf>
    <xf numFmtId="172" fontId="8" fillId="0" borderId="0" xfId="5" applyNumberFormat="1"/>
    <xf numFmtId="172" fontId="15" fillId="0" borderId="0" xfId="8" applyNumberFormat="1" applyFont="1" applyFill="1" applyBorder="1"/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72" fontId="16" fillId="0" borderId="0" xfId="0" applyNumberFormat="1" applyFont="1" applyFill="1" applyBorder="1"/>
    <xf numFmtId="0" fontId="16" fillId="0" borderId="0" xfId="0" applyFont="1" applyFill="1" applyBorder="1"/>
    <xf numFmtId="0" fontId="16" fillId="0" borderId="0" xfId="0" applyFont="1" applyBorder="1"/>
    <xf numFmtId="172" fontId="16" fillId="0" borderId="0" xfId="0" applyNumberFormat="1" applyFont="1" applyBorder="1"/>
    <xf numFmtId="172" fontId="15" fillId="0" borderId="0" xfId="8" applyNumberFormat="1" applyFont="1" applyBorder="1"/>
    <xf numFmtId="0" fontId="8" fillId="0" borderId="0" xfId="6"/>
    <xf numFmtId="0" fontId="0" fillId="4" borderId="0" xfId="0" applyFill="1"/>
    <xf numFmtId="167" fontId="2" fillId="0" borderId="0" xfId="0" applyNumberFormat="1" applyFont="1"/>
    <xf numFmtId="167" fontId="2" fillId="0" borderId="0" xfId="0" applyNumberFormat="1" applyFont="1" applyFill="1"/>
    <xf numFmtId="0" fontId="8" fillId="8" borderId="10" xfId="5" applyFont="1" applyFill="1" applyBorder="1" applyAlignment="1">
      <alignment horizontal="center"/>
    </xf>
    <xf numFmtId="165" fontId="0" fillId="0" borderId="0" xfId="1" applyNumberFormat="1" applyFont="1"/>
    <xf numFmtId="0" fontId="20" fillId="10" borderId="0" xfId="0" applyFont="1" applyFill="1"/>
    <xf numFmtId="0" fontId="21" fillId="8" borderId="11" xfId="3" applyFont="1" applyFill="1" applyBorder="1" applyAlignment="1">
      <alignment horizontal="center"/>
    </xf>
    <xf numFmtId="0" fontId="21" fillId="0" borderId="1" xfId="3" applyFont="1" applyFill="1" applyBorder="1" applyAlignment="1">
      <alignment wrapText="1"/>
    </xf>
    <xf numFmtId="0" fontId="21" fillId="0" borderId="1" xfId="3" applyFont="1" applyFill="1" applyBorder="1" applyAlignment="1">
      <alignment horizontal="right" wrapText="1"/>
    </xf>
    <xf numFmtId="0" fontId="21" fillId="8" borderId="11" xfId="6" applyFont="1" applyFill="1" applyBorder="1" applyAlignment="1">
      <alignment horizontal="center"/>
    </xf>
    <xf numFmtId="0" fontId="21" fillId="0" borderId="1" xfId="6" applyFont="1" applyFill="1" applyBorder="1" applyAlignment="1">
      <alignment wrapText="1"/>
    </xf>
    <xf numFmtId="0" fontId="21" fillId="0" borderId="1" xfId="6" applyFont="1" applyFill="1" applyBorder="1" applyAlignment="1">
      <alignment horizontal="right" wrapText="1"/>
    </xf>
    <xf numFmtId="0" fontId="21" fillId="8" borderId="11" xfId="5" applyFont="1" applyFill="1" applyBorder="1" applyAlignment="1">
      <alignment horizontal="center"/>
    </xf>
    <xf numFmtId="0" fontId="21" fillId="0" borderId="1" xfId="5" applyFont="1" applyFill="1" applyBorder="1" applyAlignment="1">
      <alignment wrapText="1"/>
    </xf>
    <xf numFmtId="0" fontId="21" fillId="0" borderId="1" xfId="5" applyFont="1" applyFill="1" applyBorder="1" applyAlignment="1">
      <alignment horizontal="right" wrapText="1"/>
    </xf>
    <xf numFmtId="0" fontId="0" fillId="11" borderId="0" xfId="0" applyFill="1"/>
    <xf numFmtId="0" fontId="0" fillId="11" borderId="0" xfId="0" applyFill="1" applyAlignment="1">
      <alignment horizontal="left"/>
    </xf>
    <xf numFmtId="165" fontId="21" fillId="0" borderId="1" xfId="1" applyNumberFormat="1" applyFont="1" applyFill="1" applyBorder="1" applyAlignment="1">
      <alignment horizontal="right" wrapText="1"/>
    </xf>
    <xf numFmtId="165" fontId="8" fillId="0" borderId="0" xfId="1" applyNumberFormat="1" applyFont="1"/>
    <xf numFmtId="165" fontId="8" fillId="9" borderId="1" xfId="1" applyNumberFormat="1" applyFont="1" applyFill="1" applyBorder="1" applyAlignment="1">
      <alignment horizontal="right" wrapText="1"/>
    </xf>
    <xf numFmtId="0" fontId="8" fillId="9" borderId="1" xfId="5" applyFont="1" applyFill="1" applyBorder="1" applyAlignment="1">
      <alignment wrapText="1"/>
    </xf>
    <xf numFmtId="0" fontId="8" fillId="9" borderId="1" xfId="5" applyFont="1" applyFill="1" applyBorder="1" applyAlignment="1">
      <alignment horizontal="right" wrapText="1"/>
    </xf>
    <xf numFmtId="174" fontId="21" fillId="0" borderId="1" xfId="6" applyNumberFormat="1" applyFont="1" applyFill="1" applyBorder="1" applyAlignment="1">
      <alignment horizontal="right" wrapText="1"/>
    </xf>
    <xf numFmtId="174" fontId="8" fillId="0" borderId="0" xfId="6" applyNumberFormat="1"/>
    <xf numFmtId="0" fontId="8" fillId="0" borderId="1" xfId="6" applyFont="1" applyFill="1" applyBorder="1" applyAlignment="1">
      <alignment wrapText="1"/>
    </xf>
    <xf numFmtId="0" fontId="8" fillId="0" borderId="1" xfId="6" applyFont="1" applyFill="1" applyBorder="1" applyAlignment="1">
      <alignment horizontal="right" wrapText="1"/>
    </xf>
    <xf numFmtId="165" fontId="8" fillId="0" borderId="1" xfId="1" applyNumberFormat="1" applyFont="1" applyFill="1" applyBorder="1" applyAlignment="1">
      <alignment horizontal="right" wrapText="1"/>
    </xf>
    <xf numFmtId="0" fontId="21" fillId="12" borderId="1" xfId="6" applyFont="1" applyFill="1" applyBorder="1" applyAlignment="1">
      <alignment wrapText="1"/>
    </xf>
    <xf numFmtId="0" fontId="21" fillId="12" borderId="1" xfId="6" applyFont="1" applyFill="1" applyBorder="1" applyAlignment="1">
      <alignment horizontal="right" wrapText="1"/>
    </xf>
    <xf numFmtId="174" fontId="21" fillId="12" borderId="1" xfId="6" applyNumberFormat="1" applyFont="1" applyFill="1" applyBorder="1" applyAlignment="1">
      <alignment horizontal="right" wrapText="1"/>
    </xf>
    <xf numFmtId="0" fontId="21" fillId="12" borderId="1" xfId="5" applyFont="1" applyFill="1" applyBorder="1" applyAlignment="1">
      <alignment wrapText="1"/>
    </xf>
    <xf numFmtId="0" fontId="21" fillId="12" borderId="1" xfId="5" applyFont="1" applyFill="1" applyBorder="1" applyAlignment="1">
      <alignment horizontal="right" wrapText="1"/>
    </xf>
    <xf numFmtId="165" fontId="21" fillId="12" borderId="1" xfId="1" applyNumberFormat="1" applyFont="1" applyFill="1" applyBorder="1" applyAlignment="1">
      <alignment horizontal="right" wrapText="1"/>
    </xf>
    <xf numFmtId="43" fontId="12" fillId="0" borderId="0" xfId="1" applyFont="1"/>
    <xf numFmtId="9" fontId="0" fillId="0" borderId="0" xfId="9" applyFont="1"/>
    <xf numFmtId="43" fontId="3" fillId="0" borderId="0" xfId="0" applyNumberFormat="1" applyFont="1"/>
    <xf numFmtId="37" fontId="8" fillId="0" borderId="0" xfId="3" applyNumberFormat="1"/>
    <xf numFmtId="37" fontId="8" fillId="0" borderId="1" xfId="7" applyNumberFormat="1" applyFont="1" applyFill="1" applyBorder="1" applyAlignment="1">
      <alignment horizontal="right" wrapText="1"/>
    </xf>
    <xf numFmtId="37" fontId="21" fillId="0" borderId="1" xfId="3" applyNumberFormat="1" applyFont="1" applyFill="1" applyBorder="1" applyAlignment="1">
      <alignment horizontal="right" wrapText="1"/>
    </xf>
    <xf numFmtId="37" fontId="8" fillId="0" borderId="0" xfId="3" applyNumberFormat="1" applyFill="1"/>
    <xf numFmtId="37" fontId="21" fillId="13" borderId="1" xfId="1" applyNumberFormat="1" applyFont="1" applyFill="1" applyBorder="1" applyAlignment="1">
      <alignment horizontal="right" wrapText="1"/>
    </xf>
    <xf numFmtId="37" fontId="8" fillId="13" borderId="0" xfId="1" applyNumberFormat="1" applyFont="1" applyFill="1"/>
    <xf numFmtId="37" fontId="21" fillId="0" borderId="1" xfId="1" applyNumberFormat="1" applyFont="1" applyFill="1" applyBorder="1" applyAlignment="1">
      <alignment horizontal="right" wrapText="1"/>
    </xf>
    <xf numFmtId="37" fontId="8" fillId="9" borderId="1" xfId="7" applyNumberFormat="1" applyFont="1" applyFill="1" applyBorder="1" applyAlignment="1">
      <alignment horizontal="right" wrapText="1"/>
    </xf>
    <xf numFmtId="37" fontId="8" fillId="14" borderId="0" xfId="3" applyNumberFormat="1" applyFill="1"/>
    <xf numFmtId="0" fontId="2" fillId="0" borderId="0" xfId="0" applyFont="1" applyAlignment="1">
      <alignment horizontal="center" wrapText="1"/>
    </xf>
    <xf numFmtId="0" fontId="22" fillId="0" borderId="0" xfId="0" applyFont="1" applyAlignment="1">
      <alignment horizontal="center" wrapText="1"/>
    </xf>
    <xf numFmtId="175" fontId="0" fillId="0" borderId="0" xfId="0" applyNumberFormat="1"/>
    <xf numFmtId="0" fontId="22" fillId="0" borderId="0" xfId="0" applyFont="1" applyAlignment="1">
      <alignment horizontal="centerContinuous" wrapText="1"/>
    </xf>
    <xf numFmtId="0" fontId="23" fillId="0" borderId="0" xfId="0" applyFont="1" applyAlignment="1">
      <alignment horizontal="centerContinuous" wrapText="1"/>
    </xf>
  </cellXfs>
  <cellStyles count="10">
    <cellStyle name="Comma" xfId="1" builtinId="3"/>
    <cellStyle name="Hyperlink" xfId="2" builtinId="8"/>
    <cellStyle name="Normal" xfId="0" builtinId="0"/>
    <cellStyle name="Normal_BE-WS Summary" xfId="3"/>
    <cellStyle name="Normal_Bootstrap All Groups" xfId="4"/>
    <cellStyle name="Normal_Inc TriData" xfId="5"/>
    <cellStyle name="Normal_Paid TriData" xfId="6"/>
    <cellStyle name="Normal_Sheet1" xfId="7"/>
    <cellStyle name="Normal_Triangle Data" xfId="8"/>
    <cellStyle name="Percent" xfId="9" builtinId="5"/>
  </cellStyles>
  <dxfs count="1"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file:///\\cna.com\shared\CAOA.W\_CARP\ReserveVariabilityProject\December%202015\Data\Data%20for%20Range-2015.mdb" TargetMode="External"/><Relationship Id="rId1" Type="http://schemas.openxmlformats.org/officeDocument/2006/relationships/hyperlink" Target="file:///\\cna.com\shared\CAOA.W\_CARP\ReserveVariabilityProject\December%202015\Data\Data%20for%20Range-2015.mdb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J11"/>
  <sheetViews>
    <sheetView workbookViewId="0"/>
  </sheetViews>
  <sheetFormatPr defaultRowHeight="13.2" x14ac:dyDescent="0.25"/>
  <sheetData>
    <row r="1" spans="1:244" x14ac:dyDescent="0.25">
      <c r="A1">
        <v>1</v>
      </c>
      <c r="B1">
        <v>0</v>
      </c>
    </row>
    <row r="2" spans="1:244" x14ac:dyDescent="0.25">
      <c r="A2">
        <v>0</v>
      </c>
    </row>
    <row r="3" spans="1:244" x14ac:dyDescent="0.25">
      <c r="A3" s="43" t="e">
        <f ca="1">'Incurred Bootstrap'!$AC$38</f>
        <v>#NAME?</v>
      </c>
      <c r="B3" t="b">
        <v>1</v>
      </c>
      <c r="C3">
        <v>0</v>
      </c>
      <c r="D3">
        <v>27</v>
      </c>
      <c r="E3" t="s">
        <v>261</v>
      </c>
      <c r="F3">
        <v>1</v>
      </c>
      <c r="G3">
        <v>0</v>
      </c>
      <c r="H3">
        <v>0</v>
      </c>
      <c r="J3" t="s">
        <v>262</v>
      </c>
      <c r="K3" t="s">
        <v>263</v>
      </c>
      <c r="L3" t="s">
        <v>264</v>
      </c>
      <c r="AG3" s="43" t="e">
        <f ca="1">'Incurred Bootstrap'!$AC$38</f>
        <v>#NAME?</v>
      </c>
      <c r="AH3">
        <v>1</v>
      </c>
      <c r="AI3">
        <v>1</v>
      </c>
      <c r="AJ3" t="b">
        <v>0</v>
      </c>
      <c r="AK3" t="b">
        <v>1</v>
      </c>
      <c r="AL3">
        <v>0</v>
      </c>
      <c r="AM3" t="b">
        <v>0</v>
      </c>
      <c r="AN3" t="e">
        <f>_</f>
        <v>#NAME?</v>
      </c>
      <c r="AP3">
        <v>0</v>
      </c>
      <c r="AQ3">
        <v>0</v>
      </c>
      <c r="AR3">
        <v>0</v>
      </c>
      <c r="AT3" t="s">
        <v>262</v>
      </c>
      <c r="AU3" t="s">
        <v>263</v>
      </c>
      <c r="AV3" t="s">
        <v>264</v>
      </c>
      <c r="BR3">
        <v>0</v>
      </c>
      <c r="BS3">
        <v>0</v>
      </c>
      <c r="BT3">
        <v>0</v>
      </c>
      <c r="BV3" t="s">
        <v>262</v>
      </c>
      <c r="BW3" t="s">
        <v>263</v>
      </c>
      <c r="BX3" t="s">
        <v>264</v>
      </c>
      <c r="CS3" s="43"/>
      <c r="CT3">
        <v>0</v>
      </c>
      <c r="CU3">
        <v>0</v>
      </c>
      <c r="CV3">
        <v>0</v>
      </c>
      <c r="CX3" t="s">
        <v>262</v>
      </c>
      <c r="CY3" t="s">
        <v>263</v>
      </c>
      <c r="CZ3" t="s">
        <v>264</v>
      </c>
      <c r="DV3">
        <v>0</v>
      </c>
      <c r="DW3">
        <v>0</v>
      </c>
      <c r="DX3">
        <v>0</v>
      </c>
      <c r="DZ3" t="s">
        <v>262</v>
      </c>
      <c r="EA3" t="s">
        <v>263</v>
      </c>
      <c r="EB3" t="s">
        <v>264</v>
      </c>
      <c r="EC3" s="43"/>
      <c r="EX3">
        <v>0</v>
      </c>
      <c r="EY3">
        <v>0</v>
      </c>
      <c r="EZ3">
        <v>0</v>
      </c>
      <c r="FB3" t="s">
        <v>262</v>
      </c>
      <c r="FC3" t="s">
        <v>263</v>
      </c>
      <c r="FD3" t="s">
        <v>264</v>
      </c>
      <c r="FZ3">
        <v>0</v>
      </c>
      <c r="GA3">
        <v>0</v>
      </c>
      <c r="GB3">
        <v>0</v>
      </c>
      <c r="GD3" t="s">
        <v>262</v>
      </c>
      <c r="GE3" t="s">
        <v>263</v>
      </c>
      <c r="GF3" t="s">
        <v>264</v>
      </c>
      <c r="GO3" s="43"/>
      <c r="HB3">
        <v>0</v>
      </c>
      <c r="HC3">
        <v>0</v>
      </c>
      <c r="HD3">
        <v>0</v>
      </c>
      <c r="HF3" t="s">
        <v>262</v>
      </c>
      <c r="HG3" t="s">
        <v>263</v>
      </c>
      <c r="HH3" t="s">
        <v>264</v>
      </c>
      <c r="ID3">
        <v>0</v>
      </c>
      <c r="IE3">
        <v>0</v>
      </c>
      <c r="IF3">
        <v>0</v>
      </c>
      <c r="IH3" t="s">
        <v>262</v>
      </c>
      <c r="II3" t="s">
        <v>263</v>
      </c>
      <c r="IJ3" t="s">
        <v>264</v>
      </c>
    </row>
    <row r="4" spans="1:244" x14ac:dyDescent="0.25">
      <c r="A4">
        <v>0</v>
      </c>
    </row>
    <row r="5" spans="1:244" x14ac:dyDescent="0.25">
      <c r="A5" t="b">
        <v>0</v>
      </c>
      <c r="B5">
        <v>15680</v>
      </c>
      <c r="C5">
        <v>7345</v>
      </c>
      <c r="D5">
        <v>13120</v>
      </c>
      <c r="E5">
        <v>100</v>
      </c>
    </row>
    <row r="6" spans="1:244" x14ac:dyDescent="0.25">
      <c r="A6" t="b">
        <v>0</v>
      </c>
      <c r="B6">
        <v>15680</v>
      </c>
      <c r="C6">
        <v>7345</v>
      </c>
      <c r="D6">
        <v>13120</v>
      </c>
      <c r="E6">
        <v>500</v>
      </c>
    </row>
    <row r="7" spans="1:244" x14ac:dyDescent="0.25">
      <c r="A7" t="b">
        <v>0</v>
      </c>
      <c r="B7">
        <v>15680</v>
      </c>
      <c r="C7">
        <v>7345</v>
      </c>
      <c r="D7">
        <v>13120</v>
      </c>
      <c r="E7">
        <v>1000</v>
      </c>
    </row>
    <row r="8" spans="1:244" x14ac:dyDescent="0.25">
      <c r="A8" t="b">
        <v>0</v>
      </c>
      <c r="B8">
        <v>15680</v>
      </c>
      <c r="C8">
        <v>7345</v>
      </c>
      <c r="D8">
        <v>13120</v>
      </c>
      <c r="E8">
        <v>1500</v>
      </c>
    </row>
    <row r="9" spans="1:244" x14ac:dyDescent="0.25">
      <c r="A9" t="b">
        <v>0</v>
      </c>
      <c r="B9">
        <v>15680</v>
      </c>
      <c r="C9">
        <v>7345</v>
      </c>
      <c r="D9">
        <v>13120</v>
      </c>
      <c r="E9">
        <v>2000</v>
      </c>
    </row>
    <row r="10" spans="1:244" x14ac:dyDescent="0.25">
      <c r="A10">
        <v>0</v>
      </c>
    </row>
    <row r="11" spans="1:244" x14ac:dyDescent="0.25">
      <c r="A11">
        <v>0</v>
      </c>
      <c r="B11" t="b">
        <v>0</v>
      </c>
      <c r="C11" t="b">
        <v>0</v>
      </c>
      <c r="D11">
        <v>10</v>
      </c>
      <c r="E11">
        <v>0.95</v>
      </c>
      <c r="F11">
        <v>1</v>
      </c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K74"/>
  <sheetViews>
    <sheetView topLeftCell="A44" workbookViewId="0">
      <selection activeCell="C39" sqref="C39:C65"/>
    </sheetView>
  </sheetViews>
  <sheetFormatPr defaultRowHeight="13.2" x14ac:dyDescent="0.25"/>
  <cols>
    <col min="2" max="2" width="28.44140625" bestFit="1" customWidth="1"/>
    <col min="3" max="3" width="36.33203125" bestFit="1" customWidth="1"/>
  </cols>
  <sheetData>
    <row r="2" spans="1:4" x14ac:dyDescent="0.25">
      <c r="A2" t="s">
        <v>102</v>
      </c>
    </row>
    <row r="3" spans="1:4" x14ac:dyDescent="0.25">
      <c r="B3" t="s">
        <v>173</v>
      </c>
      <c r="C3" t="s">
        <v>174</v>
      </c>
    </row>
    <row r="4" spans="1:4" x14ac:dyDescent="0.25">
      <c r="B4" t="s">
        <v>217</v>
      </c>
      <c r="C4" t="s">
        <v>218</v>
      </c>
    </row>
    <row r="5" spans="1:4" x14ac:dyDescent="0.25">
      <c r="B5" t="s">
        <v>103</v>
      </c>
      <c r="C5" t="s">
        <v>107</v>
      </c>
    </row>
    <row r="6" spans="1:4" x14ac:dyDescent="0.25">
      <c r="B6" t="s">
        <v>104</v>
      </c>
      <c r="C6" t="s">
        <v>108</v>
      </c>
    </row>
    <row r="7" spans="1:4" x14ac:dyDescent="0.25">
      <c r="B7" t="s">
        <v>105</v>
      </c>
      <c r="C7" t="s">
        <v>109</v>
      </c>
    </row>
    <row r="8" spans="1:4" s="134" customFormat="1" x14ac:dyDescent="0.25">
      <c r="B8" s="134" t="s">
        <v>106</v>
      </c>
      <c r="C8" s="134" t="s">
        <v>214</v>
      </c>
      <c r="D8" s="60" t="s">
        <v>260</v>
      </c>
    </row>
    <row r="9" spans="1:4" s="134" customFormat="1" x14ac:dyDescent="0.25">
      <c r="B9" t="s">
        <v>0</v>
      </c>
      <c r="C9" s="134" t="s">
        <v>215</v>
      </c>
      <c r="D9" s="60" t="s">
        <v>260</v>
      </c>
    </row>
    <row r="10" spans="1:4" x14ac:dyDescent="0.25">
      <c r="B10" t="s">
        <v>1</v>
      </c>
      <c r="C10" s="134" t="s">
        <v>216</v>
      </c>
      <c r="D10" s="60" t="s">
        <v>260</v>
      </c>
    </row>
    <row r="12" spans="1:4" x14ac:dyDescent="0.25">
      <c r="A12" t="s">
        <v>155</v>
      </c>
    </row>
    <row r="13" spans="1:4" x14ac:dyDescent="0.25">
      <c r="B13" s="114" t="s">
        <v>156</v>
      </c>
      <c r="C13" s="114" t="s">
        <v>157</v>
      </c>
      <c r="D13" t="s">
        <v>158</v>
      </c>
    </row>
    <row r="14" spans="1:4" x14ac:dyDescent="0.25">
      <c r="B14" s="114" t="s">
        <v>159</v>
      </c>
      <c r="C14" s="114" t="s">
        <v>160</v>
      </c>
      <c r="D14" t="s">
        <v>161</v>
      </c>
    </row>
    <row r="15" spans="1:4" x14ac:dyDescent="0.25">
      <c r="B15" s="114" t="s">
        <v>162</v>
      </c>
      <c r="C15" s="114" t="s">
        <v>163</v>
      </c>
      <c r="D15" t="s">
        <v>164</v>
      </c>
    </row>
    <row r="16" spans="1:4" x14ac:dyDescent="0.25">
      <c r="B16" s="114" t="s">
        <v>165</v>
      </c>
      <c r="C16" s="114" t="s">
        <v>166</v>
      </c>
      <c r="D16" t="s">
        <v>167</v>
      </c>
    </row>
    <row r="17" spans="1:11" x14ac:dyDescent="0.25">
      <c r="B17" s="114" t="s">
        <v>168</v>
      </c>
      <c r="C17" s="114" t="s">
        <v>169</v>
      </c>
      <c r="D17" t="s">
        <v>170</v>
      </c>
    </row>
    <row r="18" spans="1:11" x14ac:dyDescent="0.25">
      <c r="B18" s="114" t="s">
        <v>220</v>
      </c>
      <c r="C18" s="135" t="s">
        <v>223</v>
      </c>
      <c r="D18" t="s">
        <v>171</v>
      </c>
    </row>
    <row r="19" spans="1:11" x14ac:dyDescent="0.25">
      <c r="B19" s="114" t="s">
        <v>221</v>
      </c>
      <c r="C19" s="135" t="s">
        <v>222</v>
      </c>
      <c r="D19" t="s">
        <v>171</v>
      </c>
    </row>
    <row r="21" spans="1:11" x14ac:dyDescent="0.25">
      <c r="A21" t="s">
        <v>172</v>
      </c>
      <c r="B21" t="s">
        <v>139</v>
      </c>
    </row>
    <row r="22" spans="1:11" x14ac:dyDescent="0.25">
      <c r="B22" t="s">
        <v>140</v>
      </c>
    </row>
    <row r="23" spans="1:11" x14ac:dyDescent="0.25">
      <c r="B23" t="s">
        <v>46</v>
      </c>
    </row>
    <row r="24" spans="1:11" x14ac:dyDescent="0.25">
      <c r="B24" t="s">
        <v>224</v>
      </c>
    </row>
    <row r="25" spans="1:11" x14ac:dyDescent="0.25">
      <c r="B25" t="s">
        <v>18</v>
      </c>
    </row>
    <row r="26" spans="1:11" x14ac:dyDescent="0.25">
      <c r="B26" s="4"/>
    </row>
    <row r="27" spans="1:11" x14ac:dyDescent="0.25">
      <c r="A27" t="s">
        <v>67</v>
      </c>
    </row>
    <row r="28" spans="1:11" x14ac:dyDescent="0.25">
      <c r="B28" s="165" t="s">
        <v>68</v>
      </c>
      <c r="C28" s="165"/>
      <c r="D28" s="165"/>
      <c r="E28" s="165"/>
      <c r="F28" s="165"/>
      <c r="G28" s="165"/>
      <c r="H28" s="165"/>
      <c r="I28" s="165"/>
      <c r="J28" s="165"/>
      <c r="K28" s="165"/>
    </row>
    <row r="29" spans="1:11" x14ac:dyDescent="0.25">
      <c r="B29" s="165"/>
      <c r="C29" s="165"/>
      <c r="D29" s="165"/>
      <c r="E29" s="165"/>
      <c r="F29" s="165"/>
      <c r="G29" s="165"/>
      <c r="H29" s="165"/>
      <c r="I29" s="165"/>
      <c r="J29" s="165"/>
      <c r="K29" s="165"/>
    </row>
    <row r="30" spans="1:11" x14ac:dyDescent="0.25">
      <c r="B30" s="166" t="s">
        <v>63</v>
      </c>
      <c r="C30" s="165"/>
      <c r="D30" s="165"/>
      <c r="E30" s="165"/>
      <c r="F30" s="165"/>
      <c r="G30" s="165"/>
      <c r="H30" s="165"/>
      <c r="I30" s="165"/>
      <c r="J30" s="165"/>
      <c r="K30" s="165"/>
    </row>
    <row r="31" spans="1:11" x14ac:dyDescent="0.25">
      <c r="B31" s="166" t="s">
        <v>66</v>
      </c>
      <c r="C31" s="165"/>
      <c r="D31" s="165"/>
      <c r="E31" s="165"/>
      <c r="F31" s="165"/>
      <c r="G31" s="165"/>
      <c r="H31" s="165"/>
      <c r="I31" s="165"/>
      <c r="J31" s="165"/>
      <c r="K31" s="165"/>
    </row>
    <row r="32" spans="1:11" x14ac:dyDescent="0.25">
      <c r="B32" s="166" t="s">
        <v>176</v>
      </c>
      <c r="C32" s="165"/>
      <c r="D32" s="165"/>
      <c r="E32" s="165"/>
      <c r="F32" s="165"/>
      <c r="G32" s="165"/>
      <c r="H32" s="165"/>
      <c r="I32" s="165"/>
      <c r="J32" s="165"/>
      <c r="K32" s="165"/>
    </row>
    <row r="33" spans="1:11" x14ac:dyDescent="0.25">
      <c r="B33" s="166" t="s">
        <v>64</v>
      </c>
      <c r="C33" s="165"/>
      <c r="D33" s="165"/>
      <c r="E33" s="165"/>
      <c r="F33" s="165"/>
      <c r="G33" s="165"/>
      <c r="H33" s="165"/>
      <c r="I33" s="165"/>
      <c r="J33" s="165"/>
      <c r="K33" s="165"/>
    </row>
    <row r="34" spans="1:11" x14ac:dyDescent="0.25">
      <c r="B34" s="166" t="s">
        <v>65</v>
      </c>
      <c r="C34" s="165"/>
      <c r="D34" s="165"/>
      <c r="E34" s="165"/>
      <c r="F34" s="165"/>
      <c r="G34" s="165"/>
      <c r="H34" s="165"/>
      <c r="I34" s="165"/>
      <c r="J34" s="165"/>
      <c r="K34" s="165"/>
    </row>
    <row r="35" spans="1:11" x14ac:dyDescent="0.25">
      <c r="B35" s="166" t="s">
        <v>211</v>
      </c>
      <c r="C35" s="165"/>
      <c r="D35" s="165"/>
      <c r="E35" s="165"/>
      <c r="F35" s="165"/>
      <c r="G35" s="165"/>
      <c r="H35" s="165"/>
      <c r="I35" s="165"/>
      <c r="J35" s="165"/>
      <c r="K35" s="165"/>
    </row>
    <row r="36" spans="1:11" x14ac:dyDescent="0.25">
      <c r="B36" s="118"/>
    </row>
    <row r="37" spans="1:11" x14ac:dyDescent="0.25">
      <c r="B37" s="118"/>
    </row>
    <row r="38" spans="1:11" x14ac:dyDescent="0.25">
      <c r="A38" t="s">
        <v>255</v>
      </c>
      <c r="B38" s="118"/>
    </row>
    <row r="39" spans="1:11" x14ac:dyDescent="0.25">
      <c r="B39" s="1" t="s">
        <v>95</v>
      </c>
      <c r="C39" s="44" t="s">
        <v>96</v>
      </c>
      <c r="D39" s="45"/>
    </row>
    <row r="40" spans="1:11" x14ac:dyDescent="0.25">
      <c r="B40" t="s">
        <v>231</v>
      </c>
      <c r="C40" t="s">
        <v>10</v>
      </c>
      <c r="D40" s="46"/>
    </row>
    <row r="41" spans="1:11" x14ac:dyDescent="0.25">
      <c r="B41" t="s">
        <v>232</v>
      </c>
      <c r="C41" t="s">
        <v>19</v>
      </c>
      <c r="D41" s="46"/>
    </row>
    <row r="42" spans="1:11" x14ac:dyDescent="0.25">
      <c r="B42" t="s">
        <v>233</v>
      </c>
      <c r="C42" t="s">
        <v>20</v>
      </c>
      <c r="D42" s="46"/>
    </row>
    <row r="43" spans="1:11" x14ac:dyDescent="0.25">
      <c r="B43" t="s">
        <v>234</v>
      </c>
      <c r="C43" t="s">
        <v>21</v>
      </c>
      <c r="D43" s="46"/>
    </row>
    <row r="44" spans="1:11" x14ac:dyDescent="0.25">
      <c r="B44" t="s">
        <v>235</v>
      </c>
      <c r="C44" t="s">
        <v>22</v>
      </c>
      <c r="D44" s="46"/>
    </row>
    <row r="45" spans="1:11" x14ac:dyDescent="0.25">
      <c r="B45" t="s">
        <v>236</v>
      </c>
      <c r="C45" t="s">
        <v>23</v>
      </c>
    </row>
    <row r="46" spans="1:11" x14ac:dyDescent="0.25">
      <c r="B46" t="s">
        <v>237</v>
      </c>
      <c r="C46" t="s">
        <v>24</v>
      </c>
    </row>
    <row r="47" spans="1:11" x14ac:dyDescent="0.25">
      <c r="B47" t="s">
        <v>238</v>
      </c>
      <c r="C47" t="s">
        <v>25</v>
      </c>
    </row>
    <row r="48" spans="1:11" x14ac:dyDescent="0.25">
      <c r="B48" t="s">
        <v>239</v>
      </c>
      <c r="C48" t="s">
        <v>26</v>
      </c>
    </row>
    <row r="49" spans="2:3" x14ac:dyDescent="0.25">
      <c r="B49" t="s">
        <v>253</v>
      </c>
      <c r="C49" t="s">
        <v>27</v>
      </c>
    </row>
    <row r="50" spans="2:3" x14ac:dyDescent="0.25">
      <c r="B50" t="s">
        <v>254</v>
      </c>
      <c r="C50" t="s">
        <v>28</v>
      </c>
    </row>
    <row r="51" spans="2:3" x14ac:dyDescent="0.25">
      <c r="B51" t="s">
        <v>240</v>
      </c>
      <c r="C51" t="s">
        <v>29</v>
      </c>
    </row>
    <row r="52" spans="2:3" x14ac:dyDescent="0.25">
      <c r="B52" t="s">
        <v>241</v>
      </c>
      <c r="C52" t="s">
        <v>30</v>
      </c>
    </row>
    <row r="53" spans="2:3" x14ac:dyDescent="0.25">
      <c r="B53" t="s">
        <v>242</v>
      </c>
      <c r="C53" t="s">
        <v>31</v>
      </c>
    </row>
    <row r="54" spans="2:3" x14ac:dyDescent="0.25">
      <c r="B54" t="s">
        <v>243</v>
      </c>
      <c r="C54" t="s">
        <v>32</v>
      </c>
    </row>
    <row r="55" spans="2:3" x14ac:dyDescent="0.25">
      <c r="B55" t="s">
        <v>244</v>
      </c>
      <c r="C55" t="s">
        <v>33</v>
      </c>
    </row>
    <row r="56" spans="2:3" x14ac:dyDescent="0.25">
      <c r="B56" t="s">
        <v>245</v>
      </c>
      <c r="C56" t="s">
        <v>34</v>
      </c>
    </row>
    <row r="57" spans="2:3" x14ac:dyDescent="0.25">
      <c r="B57" t="s">
        <v>246</v>
      </c>
      <c r="C57" t="s">
        <v>35</v>
      </c>
    </row>
    <row r="58" spans="2:3" x14ac:dyDescent="0.25">
      <c r="B58" t="s">
        <v>247</v>
      </c>
      <c r="C58" t="s">
        <v>36</v>
      </c>
    </row>
    <row r="59" spans="2:3" x14ac:dyDescent="0.25">
      <c r="B59" t="s">
        <v>248</v>
      </c>
      <c r="C59" t="s">
        <v>37</v>
      </c>
    </row>
    <row r="60" spans="2:3" x14ac:dyDescent="0.25">
      <c r="B60" t="s">
        <v>249</v>
      </c>
      <c r="C60" t="s">
        <v>38</v>
      </c>
    </row>
    <row r="61" spans="2:3" x14ac:dyDescent="0.25">
      <c r="B61" t="s">
        <v>250</v>
      </c>
      <c r="C61" t="s">
        <v>39</v>
      </c>
    </row>
    <row r="62" spans="2:3" x14ac:dyDescent="0.25">
      <c r="B62" t="s">
        <v>251</v>
      </c>
      <c r="C62" t="s">
        <v>40</v>
      </c>
    </row>
    <row r="63" spans="2:3" x14ac:dyDescent="0.25">
      <c r="B63" t="s">
        <v>252</v>
      </c>
      <c r="C63" t="s">
        <v>41</v>
      </c>
    </row>
    <row r="64" spans="2:3" x14ac:dyDescent="0.25">
      <c r="B64" t="s">
        <v>44</v>
      </c>
      <c r="C64" t="s">
        <v>42</v>
      </c>
    </row>
    <row r="65" spans="2:3" x14ac:dyDescent="0.25">
      <c r="B65" t="s">
        <v>45</v>
      </c>
      <c r="C65" t="s">
        <v>43</v>
      </c>
    </row>
    <row r="66" spans="2:3" x14ac:dyDescent="0.25">
      <c r="B66" t="s">
        <v>2</v>
      </c>
      <c r="C66" t="s">
        <v>11</v>
      </c>
    </row>
    <row r="67" spans="2:3" x14ac:dyDescent="0.25">
      <c r="B67" t="s">
        <v>2</v>
      </c>
      <c r="C67" t="s">
        <v>11</v>
      </c>
    </row>
    <row r="68" spans="2:3" x14ac:dyDescent="0.25">
      <c r="B68" t="s">
        <v>3</v>
      </c>
      <c r="C68" t="s">
        <v>12</v>
      </c>
    </row>
    <row r="69" spans="2:3" x14ac:dyDescent="0.25">
      <c r="B69" t="s">
        <v>4</v>
      </c>
      <c r="C69" t="s">
        <v>13</v>
      </c>
    </row>
    <row r="70" spans="2:3" x14ac:dyDescent="0.25">
      <c r="B70" t="s">
        <v>5</v>
      </c>
      <c r="C70" t="s">
        <v>14</v>
      </c>
    </row>
    <row r="71" spans="2:3" x14ac:dyDescent="0.25">
      <c r="B71" t="s">
        <v>230</v>
      </c>
      <c r="C71" t="s">
        <v>15</v>
      </c>
    </row>
    <row r="72" spans="2:3" x14ac:dyDescent="0.25">
      <c r="B72" t="s">
        <v>6</v>
      </c>
      <c r="C72" t="s">
        <v>16</v>
      </c>
    </row>
    <row r="73" spans="2:3" x14ac:dyDescent="0.25">
      <c r="B73" t="s">
        <v>7</v>
      </c>
      <c r="C73" t="s">
        <v>17</v>
      </c>
    </row>
    <row r="74" spans="2:3" x14ac:dyDescent="0.25">
      <c r="B74" t="s">
        <v>258</v>
      </c>
      <c r="C74" t="s">
        <v>259</v>
      </c>
    </row>
  </sheetData>
  <phoneticPr fontId="4" type="noConversion"/>
  <hyperlinks>
    <hyperlink ref="D8" r:id="rId1"/>
    <hyperlink ref="D9:D10" r:id="rId2" display="Data for Range-2015.mdb"/>
  </hyperlink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29"/>
  <sheetViews>
    <sheetView topLeftCell="A2" workbookViewId="0">
      <selection activeCell="E4" sqref="E4:K29"/>
    </sheetView>
  </sheetViews>
  <sheetFormatPr defaultRowHeight="13.2" x14ac:dyDescent="0.25"/>
  <cols>
    <col min="2" max="2" width="33" bestFit="1" customWidth="1"/>
    <col min="3" max="3" width="10.77734375" customWidth="1"/>
    <col min="4" max="4" width="4.77734375" customWidth="1"/>
    <col min="8" max="8" width="4.77734375" customWidth="1"/>
  </cols>
  <sheetData>
    <row r="2" spans="2:11" ht="16.8" x14ac:dyDescent="0.55000000000000004">
      <c r="C2" s="195" t="s">
        <v>271</v>
      </c>
      <c r="E2" s="198" t="s">
        <v>277</v>
      </c>
      <c r="F2" s="199"/>
      <c r="G2" s="199"/>
      <c r="I2" s="198" t="s">
        <v>273</v>
      </c>
      <c r="J2" s="199"/>
      <c r="K2" s="199"/>
    </row>
    <row r="3" spans="2:11" ht="16.8" x14ac:dyDescent="0.55000000000000004">
      <c r="B3" s="196" t="s">
        <v>96</v>
      </c>
      <c r="C3" s="196" t="s">
        <v>272</v>
      </c>
      <c r="E3" s="196" t="s">
        <v>274</v>
      </c>
      <c r="F3" s="196" t="s">
        <v>275</v>
      </c>
      <c r="G3" s="196" t="s">
        <v>276</v>
      </c>
      <c r="I3" s="196" t="s">
        <v>274</v>
      </c>
      <c r="J3" s="196" t="s">
        <v>275</v>
      </c>
      <c r="K3" s="196" t="s">
        <v>276</v>
      </c>
    </row>
    <row r="4" spans="2:11" x14ac:dyDescent="0.25">
      <c r="B4" t="s">
        <v>10</v>
      </c>
      <c r="C4" s="197">
        <f ca="1">INDEX(Summary!$C$8:$AC$8,VALUE(MID(B4,8,2)))</f>
        <v>437414657.84000003</v>
      </c>
      <c r="E4" s="61">
        <f>INDEX(Summary!$C$22:$AC$22,VALUE(MID($B4,8,2)))</f>
        <v>6.2918372512496226E-2</v>
      </c>
      <c r="F4" s="61">
        <f>INDEX(Summary!$C$24:$AC$24,VALUE(MID($B4,8,2)))</f>
        <v>6.3035542812122328E-2</v>
      </c>
      <c r="G4" s="61">
        <f>E4-F4</f>
        <v>-1.1717029962610148E-4</v>
      </c>
      <c r="I4" s="61">
        <f>INDEX(Summary!$C$23:$AC$23,VALUE(MID($B4,8,2)))</f>
        <v>4.4812935708537775E-2</v>
      </c>
      <c r="J4" s="61">
        <f>INDEX(Summary!$C$25:$AC$25,VALUE(MID($B4,8,2)))</f>
        <v>4.5283547900209734E-2</v>
      </c>
      <c r="K4" s="61">
        <f>I4-J4</f>
        <v>-4.7061219167195828E-4</v>
      </c>
    </row>
    <row r="5" spans="2:11" x14ac:dyDescent="0.25">
      <c r="B5" t="s">
        <v>19</v>
      </c>
      <c r="C5" s="197">
        <f ca="1">INDEX(Summary!$C$8:$AC$8,VALUE(MID(B5,8,2)))</f>
        <v>1997122589.1100001</v>
      </c>
      <c r="E5" s="61">
        <f>INDEX(Summary!$C$22:$AC$22,VALUE(MID($B5,8,2)))</f>
        <v>9.2399531526014655E-2</v>
      </c>
      <c r="F5" s="61">
        <f>INDEX(Summary!$C$24:$AC$24,VALUE(MID($B5,8,2)))</f>
        <v>5.6156796834856963E-2</v>
      </c>
      <c r="G5" s="61">
        <f t="shared" ref="G5:G29" si="0">E5-F5</f>
        <v>3.6242734691157692E-2</v>
      </c>
      <c r="I5" s="61">
        <f>INDEX(Summary!$C$23:$AC$23,VALUE(MID($B5,8,2)))</f>
        <v>0.24200187890510316</v>
      </c>
      <c r="J5" s="61">
        <f>INDEX(Summary!$C$25:$AC$25,VALUE(MID($B5,8,2)))</f>
        <v>0.19321438034747779</v>
      </c>
      <c r="K5" s="61">
        <f t="shared" ref="K5:K29" si="1">I5-J5</f>
        <v>4.8787498557625375E-2</v>
      </c>
    </row>
    <row r="6" spans="2:11" x14ac:dyDescent="0.25">
      <c r="B6" t="s">
        <v>20</v>
      </c>
      <c r="C6" s="197">
        <f ca="1">INDEX(Summary!$C$8:$AC$8,VALUE(MID(B6,8,2)))</f>
        <v>2222495980.8200002</v>
      </c>
      <c r="E6" s="61">
        <f>INDEX(Summary!$C$22:$AC$22,VALUE(MID($B6,8,2)))</f>
        <v>0.1047043978827697</v>
      </c>
      <c r="F6" s="61">
        <f>INDEX(Summary!$C$24:$AC$24,VALUE(MID($B6,8,2)))</f>
        <v>3.6586922005628422E-2</v>
      </c>
      <c r="G6" s="61">
        <f t="shared" si="0"/>
        <v>6.8117475877141273E-2</v>
      </c>
      <c r="I6" s="61">
        <f>INDEX(Summary!$C$23:$AC$23,VALUE(MID($B6,8,2)))</f>
        <v>0.22673794040387496</v>
      </c>
      <c r="J6" s="61">
        <f>INDEX(Summary!$C$25:$AC$25,VALUE(MID($B6,8,2)))</f>
        <v>3.2395081613901332E-2</v>
      </c>
      <c r="K6" s="61">
        <f t="shared" si="1"/>
        <v>0.19434285878997362</v>
      </c>
    </row>
    <row r="7" spans="2:11" x14ac:dyDescent="0.25">
      <c r="B7" t="s">
        <v>21</v>
      </c>
      <c r="C7" s="197">
        <f ca="1">INDEX(Summary!$C$8:$AC$8,VALUE(MID(B7,8,2)))</f>
        <v>84618690.61999999</v>
      </c>
      <c r="E7" s="61">
        <f>INDEX(Summary!$C$22:$AC$22,VALUE(MID($B7,8,2)))</f>
        <v>0.13737935365285184</v>
      </c>
      <c r="F7" s="61">
        <f>INDEX(Summary!$C$24:$AC$24,VALUE(MID($B7,8,2)))</f>
        <v>4.9978764199896414E-2</v>
      </c>
      <c r="G7" s="61">
        <f t="shared" si="0"/>
        <v>8.7400589452955424E-2</v>
      </c>
      <c r="I7" s="61">
        <f>INDEX(Summary!$C$23:$AC$23,VALUE(MID($B7,8,2)))</f>
        <v>0.28084637850824756</v>
      </c>
      <c r="J7" s="61">
        <f>INDEX(Summary!$C$25:$AC$25,VALUE(MID($B7,8,2)))</f>
        <v>3.7277328731432108E-2</v>
      </c>
      <c r="K7" s="61">
        <f t="shared" si="1"/>
        <v>0.24356904977681545</v>
      </c>
    </row>
    <row r="8" spans="2:11" x14ac:dyDescent="0.25">
      <c r="B8" t="s">
        <v>22</v>
      </c>
      <c r="C8" s="197">
        <f ca="1">INDEX(Summary!$C$8:$AC$8,VALUE(MID(B8,8,2)))</f>
        <v>939298932.11999989</v>
      </c>
      <c r="E8" s="61">
        <f>INDEX(Summary!$C$22:$AC$22,VALUE(MID($B8,8,2)))</f>
        <v>6.1840828624257868E-2</v>
      </c>
      <c r="F8" s="61">
        <f>INDEX(Summary!$C$24:$AC$24,VALUE(MID($B8,8,2)))</f>
        <v>6.235409010267063E-2</v>
      </c>
      <c r="G8" s="61">
        <f t="shared" si="0"/>
        <v>-5.1326147841276176E-4</v>
      </c>
      <c r="I8" s="61">
        <f>INDEX(Summary!$C$23:$AC$23,VALUE(MID($B8,8,2)))</f>
        <v>3.69653939286467E-2</v>
      </c>
      <c r="J8" s="61">
        <f>INDEX(Summary!$C$25:$AC$25,VALUE(MID($B8,8,2)))</f>
        <v>3.6220359776205413E-2</v>
      </c>
      <c r="K8" s="61">
        <f t="shared" si="1"/>
        <v>7.4503415244128735E-4</v>
      </c>
    </row>
    <row r="9" spans="2:11" x14ac:dyDescent="0.25">
      <c r="B9" t="s">
        <v>23</v>
      </c>
      <c r="C9" s="197">
        <f ca="1">INDEX(Summary!$C$8:$AC$8,VALUE(MID(B9,8,2)))</f>
        <v>647843709.21999991</v>
      </c>
      <c r="E9" s="61">
        <f>INDEX(Summary!$C$22:$AC$22,VALUE(MID($B9,8,2)))</f>
        <v>7.3565604304414556E-2</v>
      </c>
      <c r="F9" s="61">
        <f>INDEX(Summary!$C$24:$AC$24,VALUE(MID($B9,8,2)))</f>
        <v>7.5929354888890299E-2</v>
      </c>
      <c r="G9" s="61">
        <f t="shared" si="0"/>
        <v>-2.3637505844757434E-3</v>
      </c>
      <c r="I9" s="61">
        <f>INDEX(Summary!$C$23:$AC$23,VALUE(MID($B9,8,2)))</f>
        <v>5.9592452920802404E-2</v>
      </c>
      <c r="J9" s="61">
        <f>INDEX(Summary!$C$25:$AC$25,VALUE(MID($B9,8,2)))</f>
        <v>6.1319728708436501E-2</v>
      </c>
      <c r="K9" s="61">
        <f t="shared" si="1"/>
        <v>-1.7272757876340972E-3</v>
      </c>
    </row>
    <row r="10" spans="2:11" x14ac:dyDescent="0.25">
      <c r="B10" t="s">
        <v>24</v>
      </c>
      <c r="C10" s="197">
        <f ca="1">INDEX(Summary!$C$8:$AC$8,VALUE(MID(B10,8,2)))</f>
        <v>542427692.35000002</v>
      </c>
      <c r="E10" s="61">
        <f>INDEX(Summary!$C$22:$AC$22,VALUE(MID($B10,8,2)))</f>
        <v>9.5526129682366095E-2</v>
      </c>
      <c r="F10" s="61">
        <f>INDEX(Summary!$C$24:$AC$24,VALUE(MID($B10,8,2)))</f>
        <v>9.7279007736614728E-2</v>
      </c>
      <c r="G10" s="61">
        <f t="shared" si="0"/>
        <v>-1.7528780542486327E-3</v>
      </c>
      <c r="I10" s="61">
        <f>INDEX(Summary!$C$23:$AC$23,VALUE(MID($B10,8,2)))</f>
        <v>0.12533796457356397</v>
      </c>
      <c r="J10" s="61">
        <f>INDEX(Summary!$C$25:$AC$25,VALUE(MID($B10,8,2)))</f>
        <v>0.11602311074464425</v>
      </c>
      <c r="K10" s="61">
        <f t="shared" si="1"/>
        <v>9.3148538289197225E-3</v>
      </c>
    </row>
    <row r="11" spans="2:11" x14ac:dyDescent="0.25">
      <c r="B11" t="s">
        <v>25</v>
      </c>
      <c r="C11" s="197">
        <f ca="1">INDEX(Summary!$C$8:$AC$8,VALUE(MID(B11,8,2)))</f>
        <v>891429482.25999999</v>
      </c>
      <c r="E11" s="61">
        <f>INDEX(Summary!$C$22:$AC$22,VALUE(MID($B11,8,2)))</f>
        <v>0.12284817861207058</v>
      </c>
      <c r="F11" s="61">
        <f>INDEX(Summary!$C$24:$AC$24,VALUE(MID($B11,8,2)))</f>
        <v>4.3494623340986728E-2</v>
      </c>
      <c r="G11" s="61">
        <f t="shared" si="0"/>
        <v>7.9353555271083842E-2</v>
      </c>
      <c r="I11" s="61">
        <f>INDEX(Summary!$C$23:$AC$23,VALUE(MID($B11,8,2)))</f>
        <v>0.16793279194661087</v>
      </c>
      <c r="J11" s="61">
        <f>INDEX(Summary!$C$25:$AC$25,VALUE(MID($B11,8,2)))</f>
        <v>6.2926121694563658E-2</v>
      </c>
      <c r="K11" s="61">
        <f t="shared" si="1"/>
        <v>0.10500667025204721</v>
      </c>
    </row>
    <row r="12" spans="2:11" x14ac:dyDescent="0.25">
      <c r="B12" t="s">
        <v>26</v>
      </c>
      <c r="C12" s="197">
        <f ca="1">INDEX(Summary!$C$8:$AC$8,VALUE(MID(B12,8,2)))</f>
        <v>109356977.31999999</v>
      </c>
      <c r="E12" s="61">
        <f>INDEX(Summary!$C$22:$AC$22,VALUE(MID($B12,8,2)))</f>
        <v>0.15890707861697587</v>
      </c>
      <c r="F12" s="61">
        <f>INDEX(Summary!$C$24:$AC$24,VALUE(MID($B12,8,2)))</f>
        <v>0.15949982455655398</v>
      </c>
      <c r="G12" s="61">
        <f t="shared" si="0"/>
        <v>-5.9274593957811539E-4</v>
      </c>
      <c r="I12" s="61">
        <f>INDEX(Summary!$C$23:$AC$23,VALUE(MID($B12,8,2)))</f>
        <v>0.57946098684353586</v>
      </c>
      <c r="J12" s="61">
        <f>INDEX(Summary!$C$25:$AC$25,VALUE(MID($B12,8,2)))</f>
        <v>0.58079714863433329</v>
      </c>
      <c r="K12" s="61">
        <f t="shared" si="1"/>
        <v>-1.3361617907974299E-3</v>
      </c>
    </row>
    <row r="13" spans="2:11" x14ac:dyDescent="0.25">
      <c r="B13" t="s">
        <v>27</v>
      </c>
      <c r="C13" s="197">
        <f ca="1">INDEX(Summary!$C$8:$AC$8,VALUE(MID(B13,8,2)))</f>
        <v>157103430.44999999</v>
      </c>
      <c r="E13" s="61">
        <f>INDEX(Summary!$C$22:$AC$22,VALUE(MID($B13,8,2)))</f>
        <v>0.32885467434587373</v>
      </c>
      <c r="F13" s="61">
        <f>INDEX(Summary!$C$24:$AC$24,VALUE(MID($B13,8,2)))</f>
        <v>0.32957112701879854</v>
      </c>
      <c r="G13" s="61">
        <f t="shared" si="0"/>
        <v>-7.1645267292480552E-4</v>
      </c>
      <c r="I13" s="61">
        <f>INDEX(Summary!$C$23:$AC$23,VALUE(MID($B13,8,2)))</f>
        <v>0.13549919333138949</v>
      </c>
      <c r="J13" s="61">
        <f>INDEX(Summary!$C$25:$AC$25,VALUE(MID($B13,8,2)))</f>
        <v>0.13673116692935014</v>
      </c>
      <c r="K13" s="61">
        <f t="shared" si="1"/>
        <v>-1.2319735979606505E-3</v>
      </c>
    </row>
    <row r="14" spans="2:11" x14ac:dyDescent="0.25">
      <c r="B14" t="s">
        <v>28</v>
      </c>
      <c r="C14" s="197">
        <f ca="1">INDEX(Summary!$C$8:$AC$8,VALUE(MID(B14,8,2)))</f>
        <v>66299451.170000002</v>
      </c>
      <c r="E14" s="61">
        <f>INDEX(Summary!$C$22:$AC$22,VALUE(MID($B14,8,2)))</f>
        <v>0.19845333667843915</v>
      </c>
      <c r="F14" s="61">
        <f>INDEX(Summary!$C$24:$AC$24,VALUE(MID($B14,8,2)))</f>
        <v>0.19259294843810701</v>
      </c>
      <c r="G14" s="61">
        <f t="shared" si="0"/>
        <v>5.8603882403321372E-3</v>
      </c>
      <c r="I14" s="61">
        <f>INDEX(Summary!$C$23:$AC$23,VALUE(MID($B14,8,2)))</f>
        <v>0.19833180459994615</v>
      </c>
      <c r="J14" s="61">
        <f>INDEX(Summary!$C$25:$AC$25,VALUE(MID($B14,8,2)))</f>
        <v>0.22672986107382045</v>
      </c>
      <c r="K14" s="61">
        <f t="shared" si="1"/>
        <v>-2.8398056473874306E-2</v>
      </c>
    </row>
    <row r="15" spans="2:11" x14ac:dyDescent="0.25">
      <c r="B15" t="s">
        <v>29</v>
      </c>
      <c r="C15" s="197">
        <f ca="1">INDEX(Summary!$C$8:$AC$8,VALUE(MID(B15,8,2)))</f>
        <v>-860022851.75</v>
      </c>
      <c r="E15" s="61">
        <f>INDEX(Summary!$C$22:$AC$22,VALUE(MID($B15,8,2)))</f>
        <v>6.4441679167112714E-2</v>
      </c>
      <c r="F15" s="61">
        <f>INDEX(Summary!$C$24:$AC$24,VALUE(MID($B15,8,2)))</f>
        <v>6.5430511461884916E-2</v>
      </c>
      <c r="G15" s="61">
        <f t="shared" si="0"/>
        <v>-9.8883229477220169E-4</v>
      </c>
      <c r="I15" s="61">
        <f>INDEX(Summary!$C$23:$AC$23,VALUE(MID($B15,8,2)))</f>
        <v>5.8750618011576862E-2</v>
      </c>
      <c r="J15" s="61">
        <f>INDEX(Summary!$C$25:$AC$25,VALUE(MID($B15,8,2)))</f>
        <v>5.2638541591452509E-2</v>
      </c>
      <c r="K15" s="61">
        <f t="shared" si="1"/>
        <v>6.112076420124353E-3</v>
      </c>
    </row>
    <row r="16" spans="2:11" x14ac:dyDescent="0.25">
      <c r="B16" t="s">
        <v>30</v>
      </c>
      <c r="C16" s="197">
        <f ca="1">INDEX(Summary!$C$8:$AC$8,VALUE(MID(B16,8,2)))</f>
        <v>-97574083.859999999</v>
      </c>
      <c r="E16" s="61">
        <f>INDEX(Summary!$C$22:$AC$22,VALUE(MID($B16,8,2)))</f>
        <v>0.2559693687678859</v>
      </c>
      <c r="F16" s="61">
        <f>INDEX(Summary!$C$24:$AC$24,VALUE(MID($B16,8,2)))</f>
        <v>0.25629782969277748</v>
      </c>
      <c r="G16" s="61">
        <f t="shared" si="0"/>
        <v>-3.2846092489158263E-4</v>
      </c>
      <c r="I16" s="61">
        <f>INDEX(Summary!$C$23:$AC$23,VALUE(MID($B16,8,2)))</f>
        <v>0.15649920290734454</v>
      </c>
      <c r="J16" s="61">
        <f>INDEX(Summary!$C$25:$AC$25,VALUE(MID($B16,8,2)))</f>
        <v>0.15685550046409152</v>
      </c>
      <c r="K16" s="61">
        <f t="shared" si="1"/>
        <v>-3.5629755674698727E-4</v>
      </c>
    </row>
    <row r="17" spans="2:11" x14ac:dyDescent="0.25">
      <c r="B17" t="s">
        <v>31</v>
      </c>
      <c r="C17" s="197">
        <f ca="1">INDEX(Summary!$C$8:$AC$8,VALUE(MID(B17,8,2)))</f>
        <v>523332746.37999994</v>
      </c>
      <c r="E17" s="61">
        <f>INDEX(Summary!$C$22:$AC$22,VALUE(MID($B17,8,2)))</f>
        <v>5.7186643863576178E-2</v>
      </c>
      <c r="F17" s="61">
        <f>INDEX(Summary!$C$24:$AC$24,VALUE(MID($B17,8,2)))</f>
        <v>5.7209684954403595E-2</v>
      </c>
      <c r="G17" s="61">
        <f t="shared" si="0"/>
        <v>-2.3041090827416455E-5</v>
      </c>
      <c r="I17" s="61">
        <f>INDEX(Summary!$C$23:$AC$23,VALUE(MID($B17,8,2)))</f>
        <v>3.7655053877449988E-2</v>
      </c>
      <c r="J17" s="61">
        <f>INDEX(Summary!$C$25:$AC$25,VALUE(MID($B17,8,2)))</f>
        <v>3.7681908347323885E-2</v>
      </c>
      <c r="K17" s="61">
        <f t="shared" si="1"/>
        <v>-2.6854469873896503E-5</v>
      </c>
    </row>
    <row r="18" spans="2:11" x14ac:dyDescent="0.25">
      <c r="B18" t="s">
        <v>32</v>
      </c>
      <c r="C18" s="197">
        <f ca="1">INDEX(Summary!$C$8:$AC$8,VALUE(MID(B18,8,2)))</f>
        <v>525732386.14999998</v>
      </c>
      <c r="E18" s="61">
        <f>INDEX(Summary!$C$22:$AC$22,VALUE(MID($B18,8,2)))</f>
        <v>0.19417178427537657</v>
      </c>
      <c r="F18" s="61">
        <f>INDEX(Summary!$C$24:$AC$24,VALUE(MID($B18,8,2)))</f>
        <v>0.1946842083238029</v>
      </c>
      <c r="G18" s="61">
        <f t="shared" si="0"/>
        <v>-5.1242404842632983E-4</v>
      </c>
      <c r="I18" s="61">
        <f>INDEX(Summary!$C$23:$AC$23,VALUE(MID($B18,8,2)))</f>
        <v>0.19186001517217552</v>
      </c>
      <c r="J18" s="61">
        <f>INDEX(Summary!$C$25:$AC$25,VALUE(MID($B18,8,2)))</f>
        <v>0.19221448660186657</v>
      </c>
      <c r="K18" s="61">
        <f t="shared" si="1"/>
        <v>-3.5447142969105561E-4</v>
      </c>
    </row>
    <row r="19" spans="2:11" x14ac:dyDescent="0.25">
      <c r="B19" t="s">
        <v>33</v>
      </c>
      <c r="C19" s="197">
        <f ca="1">INDEX(Summary!$C$8:$AC$8,VALUE(MID(B19,8,2)))</f>
        <v>161267725.19999999</v>
      </c>
      <c r="E19" s="61">
        <f>INDEX(Summary!$C$22:$AC$22,VALUE(MID($B19,8,2)))</f>
        <v>0.15296988669190373</v>
      </c>
      <c r="F19" s="61">
        <f>INDEX(Summary!$C$24:$AC$24,VALUE(MID($B19,8,2)))</f>
        <v>0.15351287773141653</v>
      </c>
      <c r="G19" s="61">
        <f t="shared" si="0"/>
        <v>-5.4299103951280236E-4</v>
      </c>
      <c r="I19" s="61">
        <f>INDEX(Summary!$C$23:$AC$23,VALUE(MID($B19,8,2)))</f>
        <v>6.7302328928172825E-2</v>
      </c>
      <c r="J19" s="61">
        <f>INDEX(Summary!$C$25:$AC$25,VALUE(MID($B19,8,2)))</f>
        <v>6.7428046762933624E-2</v>
      </c>
      <c r="K19" s="61">
        <f t="shared" si="1"/>
        <v>-1.2571783476079956E-4</v>
      </c>
    </row>
    <row r="20" spans="2:11" x14ac:dyDescent="0.25">
      <c r="B20" t="s">
        <v>34</v>
      </c>
      <c r="C20" s="197">
        <f ca="1">INDEX(Summary!$C$8:$AC$8,VALUE(MID(B20,8,2)))</f>
        <v>332460119.79888886</v>
      </c>
      <c r="E20" s="61">
        <f>INDEX(Summary!$C$22:$AC$22,VALUE(MID($B20,8,2)))</f>
        <v>0.10031823391293476</v>
      </c>
      <c r="F20" s="61">
        <f>INDEX(Summary!$C$24:$AC$24,VALUE(MID($B20,8,2)))</f>
        <v>0.1004726957813864</v>
      </c>
      <c r="G20" s="61">
        <f t="shared" si="0"/>
        <v>-1.5446186845163856E-4</v>
      </c>
      <c r="I20" s="61">
        <f>INDEX(Summary!$C$23:$AC$23,VALUE(MID($B20,8,2)))</f>
        <v>0.11812099863297007</v>
      </c>
      <c r="J20" s="61">
        <f>INDEX(Summary!$C$25:$AC$25,VALUE(MID($B20,8,2)))</f>
        <v>0.11851056658720242</v>
      </c>
      <c r="K20" s="61">
        <f t="shared" si="1"/>
        <v>-3.8956795423235324E-4</v>
      </c>
    </row>
    <row r="21" spans="2:11" x14ac:dyDescent="0.25">
      <c r="B21" t="s">
        <v>35</v>
      </c>
      <c r="C21" s="197">
        <f ca="1">INDEX(Summary!$C$8:$AC$8,VALUE(MID(B21,8,2)))</f>
        <v>255305534.93999997</v>
      </c>
      <c r="E21" s="61">
        <f>INDEX(Summary!$C$22:$AC$22,VALUE(MID($B21,8,2)))</f>
        <v>0.11483159038309991</v>
      </c>
      <c r="F21" s="61">
        <f>INDEX(Summary!$C$24:$AC$24,VALUE(MID($B21,8,2)))</f>
        <v>0.11516063762081076</v>
      </c>
      <c r="G21" s="61">
        <f t="shared" si="0"/>
        <v>-3.2904723771084998E-4</v>
      </c>
      <c r="I21" s="61">
        <f>INDEX(Summary!$C$23:$AC$23,VALUE(MID($B21,8,2)))</f>
        <v>0.12075936021141151</v>
      </c>
      <c r="J21" s="61">
        <f>INDEX(Summary!$C$25:$AC$25,VALUE(MID($B21,8,2)))</f>
        <v>0.12140724330465394</v>
      </c>
      <c r="K21" s="61">
        <f t="shared" si="1"/>
        <v>-6.4788309324242954E-4</v>
      </c>
    </row>
    <row r="22" spans="2:11" x14ac:dyDescent="0.25">
      <c r="B22" t="s">
        <v>36</v>
      </c>
      <c r="C22" s="197">
        <f ca="1">INDEX(Summary!$C$8:$AC$8,VALUE(MID(B22,8,2)))</f>
        <v>431284176.48999995</v>
      </c>
      <c r="E22" s="61">
        <f>INDEX(Summary!$C$22:$AC$22,VALUE(MID($B22,8,2)))</f>
        <v>7.2916944481136281E-2</v>
      </c>
      <c r="F22" s="61">
        <f>INDEX(Summary!$C$24:$AC$24,VALUE(MID($B22,8,2)))</f>
        <v>7.3150493430871183E-2</v>
      </c>
      <c r="G22" s="61">
        <f t="shared" si="0"/>
        <v>-2.3354894973490192E-4</v>
      </c>
      <c r="I22" s="61">
        <f>INDEX(Summary!$C$23:$AC$23,VALUE(MID($B22,8,2)))</f>
        <v>6.2148336828905588E-2</v>
      </c>
      <c r="J22" s="61">
        <f>INDEX(Summary!$C$25:$AC$25,VALUE(MID($B22,8,2)))</f>
        <v>6.2279474121055715E-2</v>
      </c>
      <c r="K22" s="61">
        <f t="shared" si="1"/>
        <v>-1.3113729215012693E-4</v>
      </c>
    </row>
    <row r="23" spans="2:11" x14ac:dyDescent="0.25">
      <c r="B23" t="s">
        <v>37</v>
      </c>
      <c r="C23" s="197">
        <f ca="1">INDEX(Summary!$C$8:$AC$8,VALUE(MID(B23,8,2)))</f>
        <v>454526675.12</v>
      </c>
      <c r="E23" s="61">
        <f>INDEX(Summary!$C$22:$AC$22,VALUE(MID($B23,8,2)))</f>
        <v>0.10292385156050218</v>
      </c>
      <c r="F23" s="61">
        <f>INDEX(Summary!$C$24:$AC$24,VALUE(MID($B23,8,2)))</f>
        <v>0.10297466209231704</v>
      </c>
      <c r="G23" s="61">
        <f t="shared" si="0"/>
        <v>-5.0810531814854398E-5</v>
      </c>
      <c r="I23" s="61">
        <f>INDEX(Summary!$C$23:$AC$23,VALUE(MID($B23,8,2)))</f>
        <v>3.4152529496526945E-2</v>
      </c>
      <c r="J23" s="61">
        <f>INDEX(Summary!$C$25:$AC$25,VALUE(MID($B23,8,2)))</f>
        <v>3.4172844441125234E-2</v>
      </c>
      <c r="K23" s="61">
        <f t="shared" si="1"/>
        <v>-2.031494459828892E-5</v>
      </c>
    </row>
    <row r="24" spans="2:11" x14ac:dyDescent="0.25">
      <c r="B24" t="s">
        <v>38</v>
      </c>
      <c r="C24" s="197">
        <f ca="1">INDEX(Summary!$C$8:$AC$8,VALUE(MID(B24,8,2)))</f>
        <v>295516459.79000002</v>
      </c>
      <c r="E24" s="61">
        <f>INDEX(Summary!$C$22:$AC$22,VALUE(MID($B24,8,2)))</f>
        <v>0.13491999968553683</v>
      </c>
      <c r="F24" s="61">
        <f>INDEX(Summary!$C$24:$AC$24,VALUE(MID($B24,8,2)))</f>
        <v>0.13606717164492368</v>
      </c>
      <c r="G24" s="61">
        <f t="shared" si="0"/>
        <v>-1.1471719593868501E-3</v>
      </c>
      <c r="I24" s="61">
        <f>INDEX(Summary!$C$23:$AC$23,VALUE(MID($B24,8,2)))</f>
        <v>8.5587906718514947E-2</v>
      </c>
      <c r="J24" s="61">
        <f>INDEX(Summary!$C$25:$AC$25,VALUE(MID($B24,8,2)))</f>
        <v>8.5708975391038708E-2</v>
      </c>
      <c r="K24" s="61">
        <f t="shared" si="1"/>
        <v>-1.2106867252376086E-4</v>
      </c>
    </row>
    <row r="25" spans="2:11" x14ac:dyDescent="0.25">
      <c r="B25" t="s">
        <v>39</v>
      </c>
      <c r="C25" s="197">
        <f ca="1">INDEX(Summary!$C$8:$AC$8,VALUE(MID(B25,8,2)))</f>
        <v>408711753.43000001</v>
      </c>
      <c r="E25" s="61">
        <f>INDEX(Summary!$C$22:$AC$22,VALUE(MID($B25,8,2)))</f>
        <v>0.10280517021697726</v>
      </c>
      <c r="F25" s="61">
        <f>INDEX(Summary!$C$24:$AC$24,VALUE(MID($B25,8,2)))</f>
        <v>0.10285946004799552</v>
      </c>
      <c r="G25" s="61">
        <f t="shared" si="0"/>
        <v>-5.4289831018267121E-5</v>
      </c>
      <c r="I25" s="61">
        <f>INDEX(Summary!$C$23:$AC$23,VALUE(MID($B25,8,2)))</f>
        <v>5.3167523022245776E-2</v>
      </c>
      <c r="J25" s="61">
        <f>INDEX(Summary!$C$25:$AC$25,VALUE(MID($B25,8,2)))</f>
        <v>5.321537215853727E-2</v>
      </c>
      <c r="K25" s="61">
        <f t="shared" si="1"/>
        <v>-4.7849136291494565E-5</v>
      </c>
    </row>
    <row r="26" spans="2:11" x14ac:dyDescent="0.25">
      <c r="B26" t="s">
        <v>40</v>
      </c>
      <c r="C26" s="197">
        <f ca="1">INDEX(Summary!$C$8:$AC$8,VALUE(MID(B26,8,2)))</f>
        <v>289813745.12</v>
      </c>
      <c r="E26" s="61">
        <f>INDEX(Summary!$C$22:$AC$22,VALUE(MID($B26,8,2)))</f>
        <v>0.10360832787213313</v>
      </c>
      <c r="F26" s="61">
        <f>INDEX(Summary!$C$24:$AC$24,VALUE(MID($B26,8,2)))</f>
        <v>0.10442912984548569</v>
      </c>
      <c r="G26" s="61">
        <f t="shared" si="0"/>
        <v>-8.2080197335256122E-4</v>
      </c>
      <c r="I26" s="61">
        <f>INDEX(Summary!$C$23:$AC$23,VALUE(MID($B26,8,2)))</f>
        <v>8.0914330914301294E-2</v>
      </c>
      <c r="J26" s="61">
        <f>INDEX(Summary!$C$25:$AC$25,VALUE(MID($B26,8,2)))</f>
        <v>8.0237836113344424E-2</v>
      </c>
      <c r="K26" s="61">
        <f t="shared" si="1"/>
        <v>6.7649480095686998E-4</v>
      </c>
    </row>
    <row r="27" spans="2:11" x14ac:dyDescent="0.25">
      <c r="B27" t="s">
        <v>41</v>
      </c>
      <c r="C27" s="197">
        <f ca="1">INDEX(Summary!$C$8:$AC$8,VALUE(MID(B27,8,2)))</f>
        <v>883231080.85346723</v>
      </c>
      <c r="E27" s="61">
        <f>INDEX(Summary!$C$22:$AC$22,VALUE(MID($B27,8,2)))</f>
        <v>0.221880238077723</v>
      </c>
      <c r="F27" s="61">
        <f>INDEX(Summary!$C$24:$AC$24,VALUE(MID($B27,8,2)))</f>
        <v>0.22231291708514725</v>
      </c>
      <c r="G27" s="61">
        <f t="shared" si="0"/>
        <v>-4.3267900742424703E-4</v>
      </c>
      <c r="I27" s="61">
        <f>INDEX(Summary!$C$23:$AC$23,VALUE(MID($B27,8,2)))</f>
        <v>0.13258489501483706</v>
      </c>
      <c r="J27" s="61">
        <f>INDEX(Summary!$C$25:$AC$25,VALUE(MID($B27,8,2)))</f>
        <v>0.1331076880530874</v>
      </c>
      <c r="K27" s="61">
        <f t="shared" si="1"/>
        <v>-5.2279303825034096E-4</v>
      </c>
    </row>
    <row r="28" spans="2:11" x14ac:dyDescent="0.25">
      <c r="B28" t="s">
        <v>42</v>
      </c>
      <c r="C28" s="197">
        <f ca="1">INDEX(Summary!$C$8:$AC$8,VALUE(MID(B28,8,2)))</f>
        <v>251899559.5</v>
      </c>
      <c r="E28" s="61">
        <f>INDEX(Summary!$C$22:$AC$22,VALUE(MID($B28,8,2)))</f>
        <v>5.4529203374164857E-2</v>
      </c>
      <c r="F28" s="61">
        <f>INDEX(Summary!$C$24:$AC$24,VALUE(MID($B28,8,2)))</f>
        <v>5.4602254754916126E-2</v>
      </c>
      <c r="G28" s="61">
        <f t="shared" si="0"/>
        <v>-7.305138075126838E-5</v>
      </c>
      <c r="I28" s="61">
        <f>INDEX(Summary!$C$23:$AC$23,VALUE(MID($B28,8,2)))</f>
        <v>5.1853160356938995E-2</v>
      </c>
      <c r="J28" s="61">
        <f>INDEX(Summary!$C$25:$AC$25,VALUE(MID($B28,8,2)))</f>
        <v>5.190316912525305E-2</v>
      </c>
      <c r="K28" s="61">
        <f t="shared" si="1"/>
        <v>-5.000876831405543E-5</v>
      </c>
    </row>
    <row r="29" spans="2:11" x14ac:dyDescent="0.25">
      <c r="B29" t="s">
        <v>43</v>
      </c>
      <c r="C29" s="197">
        <f ca="1">INDEX(Summary!$C$8:$AC$8,VALUE(MID(B29,8,2)))</f>
        <v>57676448.420000002</v>
      </c>
      <c r="E29" s="61">
        <f>INDEX(Summary!$C$22:$AC$22,VALUE(MID($B29,8,2)))</f>
        <v>0.45052367166908569</v>
      </c>
      <c r="F29" s="61">
        <f>INDEX(Summary!$C$24:$AC$24,VALUE(MID($B29,8,2)))</f>
        <v>0.45739809530751929</v>
      </c>
      <c r="G29" s="61">
        <f t="shared" si="0"/>
        <v>-6.8744236384336022E-3</v>
      </c>
      <c r="I29" s="61">
        <f>INDEX(Summary!$C$23:$AC$23,VALUE(MID($B29,8,2)))</f>
        <v>0.45789156366193989</v>
      </c>
      <c r="J29" s="61">
        <f>INDEX(Summary!$C$25:$AC$25,VALUE(MID($B29,8,2)))</f>
        <v>0.46427690782026437</v>
      </c>
      <c r="K29" s="61">
        <f t="shared" si="1"/>
        <v>-6.3853441583244797E-3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85"/>
  <sheetViews>
    <sheetView workbookViewId="0"/>
  </sheetViews>
  <sheetFormatPr defaultColWidth="23.33203125" defaultRowHeight="13.2" x14ac:dyDescent="0.25"/>
  <cols>
    <col min="1" max="27" width="23.33203125" customWidth="1"/>
    <col min="28" max="28" width="23.33203125" style="46" customWidth="1"/>
  </cols>
  <sheetData>
    <row r="1" spans="1:29" x14ac:dyDescent="0.25">
      <c r="AC1" t="s">
        <v>278</v>
      </c>
    </row>
    <row r="4" spans="1:29" x14ac:dyDescent="0.25">
      <c r="C4" t="s">
        <v>231</v>
      </c>
      <c r="D4" t="s">
        <v>232</v>
      </c>
      <c r="E4" t="s">
        <v>233</v>
      </c>
      <c r="F4" t="s">
        <v>234</v>
      </c>
      <c r="G4" t="s">
        <v>235</v>
      </c>
      <c r="H4" t="s">
        <v>236</v>
      </c>
      <c r="I4" t="s">
        <v>237</v>
      </c>
      <c r="J4" t="s">
        <v>238</v>
      </c>
      <c r="K4" t="s">
        <v>239</v>
      </c>
      <c r="L4" t="s">
        <v>253</v>
      </c>
      <c r="M4" t="s">
        <v>254</v>
      </c>
      <c r="N4" t="s">
        <v>240</v>
      </c>
      <c r="O4" t="s">
        <v>241</v>
      </c>
      <c r="P4" t="s">
        <v>242</v>
      </c>
      <c r="Q4" t="s">
        <v>243</v>
      </c>
      <c r="R4" t="s">
        <v>244</v>
      </c>
      <c r="S4" t="s">
        <v>245</v>
      </c>
      <c r="T4" t="s">
        <v>246</v>
      </c>
      <c r="U4" t="s">
        <v>247</v>
      </c>
      <c r="V4" t="s">
        <v>248</v>
      </c>
      <c r="W4" t="s">
        <v>249</v>
      </c>
      <c r="X4" t="s">
        <v>250</v>
      </c>
      <c r="Y4" t="s">
        <v>251</v>
      </c>
      <c r="Z4" t="s">
        <v>252</v>
      </c>
      <c r="AA4" t="s">
        <v>44</v>
      </c>
      <c r="AB4" s="46" t="s">
        <v>45</v>
      </c>
      <c r="AC4" t="s">
        <v>230</v>
      </c>
    </row>
    <row r="5" spans="1:29" x14ac:dyDescent="0.25">
      <c r="C5">
        <f>MATCH(C4,Notes!$B$40:$B$74,0)</f>
        <v>1</v>
      </c>
      <c r="D5">
        <f>MATCH(D4,Notes!$B$40:$B$74,0)</f>
        <v>2</v>
      </c>
      <c r="E5" s="46">
        <f>MATCH(E4,Notes!$B$40:$B$74,0)</f>
        <v>3</v>
      </c>
      <c r="F5">
        <f>MATCH(F4,Notes!$B$40:$B$74,0)</f>
        <v>4</v>
      </c>
      <c r="G5">
        <f>MATCH(G4,Notes!$B$40:$B$74,0)</f>
        <v>5</v>
      </c>
      <c r="H5" s="46">
        <f>MATCH(H4,Notes!$B$40:$B$74,0)</f>
        <v>6</v>
      </c>
      <c r="I5">
        <f>MATCH(I4,Notes!$B$40:$B$74,0)</f>
        <v>7</v>
      </c>
      <c r="J5">
        <f>MATCH(J4,Notes!$B$40:$B$74,0)</f>
        <v>8</v>
      </c>
      <c r="K5">
        <f>MATCH(K4,Notes!$B$40:$B$74,0)</f>
        <v>9</v>
      </c>
      <c r="L5">
        <f>MATCH(L4,Notes!$B$40:$B$74,0)</f>
        <v>10</v>
      </c>
      <c r="M5">
        <f>MATCH(M4,Notes!$B$40:$B$74,0)</f>
        <v>11</v>
      </c>
      <c r="N5">
        <f>MATCH(N4,Notes!$B$40:$B$74,0)</f>
        <v>12</v>
      </c>
      <c r="O5">
        <f>MATCH(O4,Notes!$B$40:$B$74,0)</f>
        <v>13</v>
      </c>
      <c r="P5">
        <f>MATCH(P4,Notes!$B$40:$B$74,0)</f>
        <v>14</v>
      </c>
      <c r="Q5">
        <f>MATCH(Q4,Notes!$B$40:$B$74,0)</f>
        <v>15</v>
      </c>
      <c r="R5">
        <f>MATCH(R4,Notes!$B$40:$B$74,0)</f>
        <v>16</v>
      </c>
      <c r="S5">
        <f>MATCH(S4,Notes!$B$40:$B$74,0)</f>
        <v>17</v>
      </c>
      <c r="T5" s="46">
        <f>MATCH(T4,Notes!$B$40:$B$74,0)</f>
        <v>18</v>
      </c>
      <c r="U5">
        <f>MATCH(U4,Notes!$B$40:$B$74,0)</f>
        <v>19</v>
      </c>
      <c r="V5">
        <f>MATCH(V4,Notes!$B$40:$B$74,0)</f>
        <v>20</v>
      </c>
      <c r="W5">
        <f>MATCH(W4,Notes!$B$40:$B$74,0)</f>
        <v>21</v>
      </c>
      <c r="X5">
        <f>MATCH(X4,Notes!$B$40:$B$74,0)</f>
        <v>22</v>
      </c>
      <c r="Y5">
        <f>MATCH(Y4,Notes!$B$40:$B$74,0)</f>
        <v>23</v>
      </c>
      <c r="Z5">
        <f>MATCH(Z4,Notes!$B$40:$B$74,0)</f>
        <v>24</v>
      </c>
      <c r="AA5">
        <f>MATCH(AA4,Notes!$B$40:$B$74,0)</f>
        <v>25</v>
      </c>
      <c r="AB5" s="46">
        <f>MATCH(AB4,Notes!$B$40:$B$74,0)</f>
        <v>26</v>
      </c>
      <c r="AC5" s="150">
        <v>27</v>
      </c>
    </row>
    <row r="6" spans="1:29" x14ac:dyDescent="0.25">
      <c r="A6" t="s">
        <v>60</v>
      </c>
      <c r="E6" s="46"/>
      <c r="F6" s="154"/>
      <c r="H6" s="46"/>
      <c r="T6" s="46"/>
    </row>
    <row r="7" spans="1:29" x14ac:dyDescent="0.25">
      <c r="B7" t="s">
        <v>57</v>
      </c>
      <c r="C7" s="52">
        <f ca="1">1*(SUM(OFFSET('BE-WS Summary'!$C$4,Inputs!$I$3*(C$5-1),0,Inputs!$I$3-1,1))+SUM(OFFSET('BE-WS Summary'!$C$4,Inputs!$I$3*(C$5-1),2,Inputs!$I$3-1,1)))</f>
        <v>478431598.51999998</v>
      </c>
      <c r="D7" s="52">
        <f ca="1">1*(SUM(OFFSET('BE-WS Summary'!$C$4,Inputs!$I$3*(D$5-1),0,Inputs!$I$3-1,1))+SUM(OFFSET('BE-WS Summary'!$C$4,Inputs!$I$3*(D$5-1),2,Inputs!$I$3-1,1)))</f>
        <v>2077427120.77</v>
      </c>
      <c r="E7" s="52">
        <f ca="1">1*(SUM(OFFSET('BE-WS Summary'!$C$4,Inputs!$I$3*(E$5-1),0,Inputs!$I$3-1,1))+SUM(OFFSET('BE-WS Summary'!$C$4,Inputs!$I$3*(E$5-1),2,Inputs!$I$3-1,1)))</f>
        <v>2178341959.1399999</v>
      </c>
      <c r="F7" s="52">
        <f ca="1">1*(SUM(OFFSET('BE-WS Summary'!$C$4,Inputs!$I$3*(F$5-1),0,Inputs!$I$3-1,1))+SUM(OFFSET('BE-WS Summary'!$C$4,Inputs!$I$3*(F$5-1),2,Inputs!$I$3-1,1)))</f>
        <v>88453082.870000005</v>
      </c>
      <c r="G7" s="52">
        <f ca="1">1*(SUM(OFFSET('BE-WS Summary'!$C$4,Inputs!$I$3*(G$5-1),0,Inputs!$I$3-1,1))+SUM(OFFSET('BE-WS Summary'!$C$4,Inputs!$I$3*(G$5-1),2,Inputs!$I$3-1,1)))</f>
        <v>974159728.80999994</v>
      </c>
      <c r="H7" s="52">
        <f ca="1">1*(SUM(OFFSET('BE-WS Summary'!$C$4,Inputs!$I$3*(H$5-1),0,Inputs!$I$3-1,1))+SUM(OFFSET('BE-WS Summary'!$C$4,Inputs!$I$3*(H$5-1),2,Inputs!$I$3-1,1)))</f>
        <v>689457870.02999997</v>
      </c>
      <c r="I7" s="52">
        <f ca="1">1*(SUM(OFFSET('BE-WS Summary'!$C$4,Inputs!$I$3*(I$5-1),0,Inputs!$I$3-1,1))+SUM(OFFSET('BE-WS Summary'!$C$4,Inputs!$I$3*(I$5-1),2,Inputs!$I$3-1,1)))</f>
        <v>586007948.20999992</v>
      </c>
      <c r="J7" s="52">
        <f ca="1">1*(SUM(OFFSET('BE-WS Summary'!$C$4,Inputs!$I$3*(J$5-1),0,Inputs!$I$3-1,1))+SUM(OFFSET('BE-WS Summary'!$C$4,Inputs!$I$3*(J$5-1),2,Inputs!$I$3-1,1)))</f>
        <v>891429482.25999999</v>
      </c>
      <c r="K7" s="52">
        <f ca="1">1*(SUM(OFFSET('BE-WS Summary'!$C$4,Inputs!$I$3*(K$5-1),0,Inputs!$I$3-1,1))+SUM(OFFSET('BE-WS Summary'!$C$4,Inputs!$I$3*(K$5-1),2,Inputs!$I$3-1,1)))</f>
        <v>120110358.66</v>
      </c>
      <c r="L7" s="52">
        <f ca="1">1*(SUM(OFFSET('BE-WS Summary'!$C$4,Inputs!$I$3*(L$5-1),0,Inputs!$I$3-1,1))+SUM(OFFSET('BE-WS Summary'!$C$4,Inputs!$I$3*(L$5-1),2,Inputs!$I$3-1,1)))</f>
        <v>177253788.52999997</v>
      </c>
      <c r="M7" s="52">
        <f ca="1">1*(SUM(OFFSET('BE-WS Summary'!$C$4,Inputs!$I$3*(M$5-1),0,Inputs!$I$3-1,1))+SUM(OFFSET('BE-WS Summary'!$C$4,Inputs!$I$3*(M$5-1),2,Inputs!$I$3-1,1)))</f>
        <v>74304910.199999988</v>
      </c>
      <c r="N7" s="52">
        <f ca="1">1*(SUM(OFFSET('BE-WS Summary'!$C$4,Inputs!$I$3*(N$5-1),0,Inputs!$I$3-1,1))+SUM(OFFSET('BE-WS Summary'!$C$4,Inputs!$I$3*(N$5-1),2,Inputs!$I$3-1,1)))</f>
        <v>-881270177.53999996</v>
      </c>
      <c r="O7" s="52">
        <f ca="1">1*(SUM(OFFSET('BE-WS Summary'!$C$4,Inputs!$I$3*(O$5-1),0,Inputs!$I$3-1,1))+SUM(OFFSET('BE-WS Summary'!$C$4,Inputs!$I$3*(O$5-1),2,Inputs!$I$3-1,1)))</f>
        <v>-115533496.58</v>
      </c>
      <c r="P7" s="52">
        <f ca="1">1*(SUM(OFFSET('BE-WS Summary'!$C$4,Inputs!$I$3*(P$5-1),0,Inputs!$I$3-1,1))+SUM(OFFSET('BE-WS Summary'!$C$4,Inputs!$I$3*(P$5-1),2,Inputs!$I$3-1,1)))</f>
        <v>522263030.43000001</v>
      </c>
      <c r="Q7" s="52">
        <f ca="1">1*(SUM(OFFSET('BE-WS Summary'!$C$4,Inputs!$I$3*(Q$5-1),0,Inputs!$I$3-1,1))+SUM(OFFSET('BE-WS Summary'!$C$4,Inputs!$I$3*(Q$5-1),2,Inputs!$I$3-1,1)))</f>
        <v>531967139.01999992</v>
      </c>
      <c r="R7" s="52">
        <f ca="1">1*(SUM(OFFSET('BE-WS Summary'!$C$4,Inputs!$I$3*(R$5-1),0,Inputs!$I$3-1,1))+SUM(OFFSET('BE-WS Summary'!$C$4,Inputs!$I$3*(R$5-1),2,Inputs!$I$3-1,1)))</f>
        <v>168517882.73000002</v>
      </c>
      <c r="S7" s="52">
        <f ca="1">1*(SUM(OFFSET('BE-WS Summary'!$C$4,Inputs!$I$3*(S$5-1),0,Inputs!$I$3-1,1))+SUM(OFFSET('BE-WS Summary'!$C$4,Inputs!$I$3*(S$5-1),2,Inputs!$I$3-1,1)))</f>
        <v>353332126.61000001</v>
      </c>
      <c r="T7" s="52">
        <f ca="1">1*(SUM(OFFSET('BE-WS Summary'!$C$4,Inputs!$I$3*(T$5-1),0,Inputs!$I$3-1,1))+SUM(OFFSET('BE-WS Summary'!$C$4,Inputs!$I$3*(T$5-1),2,Inputs!$I$3-1,1)))</f>
        <v>285521755.60000002</v>
      </c>
      <c r="U7" s="52">
        <f ca="1">1*(SUM(OFFSET('BE-WS Summary'!$C$4,Inputs!$I$3*(U$5-1),0,Inputs!$I$3-1,1))+SUM(OFFSET('BE-WS Summary'!$C$4,Inputs!$I$3*(U$5-1),2,Inputs!$I$3-1,1)))</f>
        <v>441044254.14000005</v>
      </c>
      <c r="V7" s="52">
        <f ca="1">1*(SUM(OFFSET('BE-WS Summary'!$C$4,Inputs!$I$3*(V$5-1),0,Inputs!$I$3-1,1))+SUM(OFFSET('BE-WS Summary'!$C$4,Inputs!$I$3*(V$5-1),2,Inputs!$I$3-1,1)))</f>
        <v>483886664.81</v>
      </c>
      <c r="W7" s="52">
        <f ca="1">1*(SUM(OFFSET('BE-WS Summary'!$C$4,Inputs!$I$3*(W$5-1),0,Inputs!$I$3-1,1))+SUM(OFFSET('BE-WS Summary'!$C$4,Inputs!$I$3*(W$5-1),2,Inputs!$I$3-1,1)))</f>
        <v>307411243.06</v>
      </c>
      <c r="X7" s="52">
        <f ca="1">1*(SUM(OFFSET('BE-WS Summary'!$C$4,Inputs!$I$3*(X$5-1),0,Inputs!$I$3-1,1))+SUM(OFFSET('BE-WS Summary'!$C$4,Inputs!$I$3*(X$5-1),2,Inputs!$I$3-1,1)))</f>
        <v>406869555.35000002</v>
      </c>
      <c r="Y7" s="52">
        <f ca="1">1*(SUM(OFFSET('BE-WS Summary'!$C$4,Inputs!$I$3*(Y$5-1),0,Inputs!$I$3-1,1))+SUM(OFFSET('BE-WS Summary'!$C$4,Inputs!$I$3*(Y$5-1),2,Inputs!$I$3-1,1)))</f>
        <v>302761894.10000002</v>
      </c>
      <c r="Z7" s="52">
        <f ca="1">1*(SUM(OFFSET('BE-WS Summary'!$C$4,Inputs!$I$3*(Z$5-1),0,Inputs!$I$3-1,1))+SUM(OFFSET('BE-WS Summary'!$C$4,Inputs!$I$3*(Z$5-1),2,Inputs!$I$3-1,1)))</f>
        <v>907102404.69000006</v>
      </c>
      <c r="AA7" s="52">
        <f ca="1">1*(SUM(OFFSET('BE-WS Summary'!$C$4,Inputs!$I$3*(AA$5-1),0,Inputs!$I$3-1,1))+SUM(OFFSET('BE-WS Summary'!$C$4,Inputs!$I$3*(AA$5-1),2,Inputs!$I$3-1,1)))</f>
        <v>270933968.69</v>
      </c>
      <c r="AB7" s="52">
        <f ca="1">1*(SUM(OFFSET('BE-WS Summary'!$C$4,Inputs!$I$3*(AB$5-1),0,Inputs!$I$3-1,1))+SUM(OFFSET('BE-WS Summary'!$C$4,Inputs!$I$3*(AB$5-1),2,Inputs!$I$3-1,1)))</f>
        <v>58803448.420000002</v>
      </c>
      <c r="AC7" s="52">
        <f ca="1">1*(SUM(OFFSET('BE-WS Summary'!$C$4,Inputs!$I$3*(AC$5-1),0,Inputs!$I$3-1,1))+SUM(OFFSET('BE-WS Summary'!$C$4,Inputs!$I$3*(AC$5-1),2,Inputs!$I$3-1,1)))</f>
        <v>207698547.77000001</v>
      </c>
    </row>
    <row r="8" spans="1:29" x14ac:dyDescent="0.25">
      <c r="B8" t="s">
        <v>58</v>
      </c>
      <c r="C8" s="52">
        <f ca="1">1*SUM(OFFSET('BE-WS Summary'!$C$4,Inputs!$I$3*(C$5-1),0,Inputs!$I$3-1,2))</f>
        <v>437414657.84000003</v>
      </c>
      <c r="D8" s="52">
        <f ca="1">1*SUM(OFFSET('BE-WS Summary'!$C$4,Inputs!$I$3*(D$5-1),0,Inputs!$I$3-1,2))</f>
        <v>1997122589.1100001</v>
      </c>
      <c r="E8" s="52">
        <f ca="1">1*SUM(OFFSET('BE-WS Summary'!$C$4,Inputs!$I$3*(E$5-1),0,Inputs!$I$3-1,2))</f>
        <v>2222495980.8200002</v>
      </c>
      <c r="F8" s="52">
        <f ca="1">1*SUM(OFFSET('BE-WS Summary'!$C$4,Inputs!$I$3*(F$5-1),0,Inputs!$I$3-1,2))</f>
        <v>84618690.61999999</v>
      </c>
      <c r="G8" s="52">
        <f ca="1">1*SUM(OFFSET('BE-WS Summary'!$C$4,Inputs!$I$3*(G$5-1),0,Inputs!$I$3-1,2))</f>
        <v>939298932.11999989</v>
      </c>
      <c r="H8" s="52">
        <f ca="1">1*SUM(OFFSET('BE-WS Summary'!$C$4,Inputs!$I$3*(H$5-1),0,Inputs!$I$3-1,2))</f>
        <v>647843709.21999991</v>
      </c>
      <c r="I8" s="52">
        <f ca="1">1*SUM(OFFSET('BE-WS Summary'!$C$4,Inputs!$I$3*(I$5-1),0,Inputs!$I$3-1,2))</f>
        <v>542427692.35000002</v>
      </c>
      <c r="J8" s="52">
        <f ca="1">1*SUM(OFFSET('BE-WS Summary'!$C$4,Inputs!$I$3*(J$5-1),0,Inputs!$I$3-1,2))</f>
        <v>891429482.25999999</v>
      </c>
      <c r="K8" s="52">
        <f ca="1">1*SUM(OFFSET('BE-WS Summary'!$C$4,Inputs!$I$3*(K$5-1),0,Inputs!$I$3-1,2))</f>
        <v>109356977.31999999</v>
      </c>
      <c r="L8" s="52">
        <f ca="1">1*SUM(OFFSET('BE-WS Summary'!$C$4,Inputs!$I$3*(L$5-1),0,Inputs!$I$3-1,2))</f>
        <v>157103430.44999999</v>
      </c>
      <c r="M8" s="52">
        <f ca="1">1*SUM(OFFSET('BE-WS Summary'!$C$4,Inputs!$I$3*(M$5-1),0,Inputs!$I$3-1,2))</f>
        <v>66299451.170000002</v>
      </c>
      <c r="N8" s="52">
        <f ca="1">1*SUM(OFFSET('BE-WS Summary'!$C$4,Inputs!$I$3*(N$5-1),0,Inputs!$I$3-1,2))</f>
        <v>-860022851.75</v>
      </c>
      <c r="O8" s="52">
        <f ca="1">1*SUM(OFFSET('BE-WS Summary'!$C$4,Inputs!$I$3*(O$5-1),0,Inputs!$I$3-1,2))</f>
        <v>-97574083.859999999</v>
      </c>
      <c r="P8" s="52">
        <f ca="1">1*SUM(OFFSET('BE-WS Summary'!$C$4,Inputs!$I$3*(P$5-1),0,Inputs!$I$3-1,2))</f>
        <v>523332746.37999994</v>
      </c>
      <c r="Q8" s="52">
        <f ca="1">1*SUM(OFFSET('BE-WS Summary'!$C$4,Inputs!$I$3*(Q$5-1),0,Inputs!$I$3-1,2))</f>
        <v>525732386.14999998</v>
      </c>
      <c r="R8" s="52">
        <f ca="1">1*SUM(OFFSET('BE-WS Summary'!$C$4,Inputs!$I$3*(R$5-1),0,Inputs!$I$3-1,2))</f>
        <v>161267725.19999999</v>
      </c>
      <c r="S8" s="52">
        <f ca="1">1*SUM(OFFSET('BE-WS Summary'!$C$4,Inputs!$I$3*(S$5-1),0,Inputs!$I$3-1,2))</f>
        <v>332460119.79888886</v>
      </c>
      <c r="T8" s="52">
        <f ca="1">1*SUM(OFFSET('BE-WS Summary'!$C$4,Inputs!$I$3*(T$5-1),0,Inputs!$I$3-1,2))</f>
        <v>255305534.93999997</v>
      </c>
      <c r="U8" s="52">
        <f ca="1">1*SUM(OFFSET('BE-WS Summary'!$C$4,Inputs!$I$3*(U$5-1),0,Inputs!$I$3-1,2))</f>
        <v>431284176.48999995</v>
      </c>
      <c r="V8" s="52">
        <f ca="1">1*SUM(OFFSET('BE-WS Summary'!$C$4,Inputs!$I$3*(V$5-1),0,Inputs!$I$3-1,2))</f>
        <v>454526675.12</v>
      </c>
      <c r="W8" s="52">
        <f ca="1">1*SUM(OFFSET('BE-WS Summary'!$C$4,Inputs!$I$3*(W$5-1),0,Inputs!$I$3-1,2))</f>
        <v>295516459.79000002</v>
      </c>
      <c r="X8" s="52">
        <f ca="1">1*SUM(OFFSET('BE-WS Summary'!$C$4,Inputs!$I$3*(X$5-1),0,Inputs!$I$3-1,2))</f>
        <v>408711753.43000001</v>
      </c>
      <c r="Y8" s="52">
        <f ca="1">1*SUM(OFFSET('BE-WS Summary'!$C$4,Inputs!$I$3*(Y$5-1),0,Inputs!$I$3-1,2))</f>
        <v>289813745.12</v>
      </c>
      <c r="Z8" s="52">
        <f ca="1">1*SUM(OFFSET('BE-WS Summary'!$C$4,Inputs!$I$3*(Z$5-1),0,Inputs!$I$3-1,2))</f>
        <v>883231080.85346723</v>
      </c>
      <c r="AA8" s="52">
        <f ca="1">1*SUM(OFFSET('BE-WS Summary'!$C$4,Inputs!$I$3*(AA$5-1),0,Inputs!$I$3-1,2))</f>
        <v>251899559.5</v>
      </c>
      <c r="AB8" s="52">
        <f ca="1">1*SUM(OFFSET('BE-WS Summary'!$C$4,Inputs!$I$3*(AB$5-1),0,Inputs!$I$3-1,2))</f>
        <v>57676448.420000002</v>
      </c>
      <c r="AC8" s="52">
        <f ca="1">1*SUM(OFFSET('BE-WS Summary'!$C$4,Inputs!$I$3*(AC$5-1),0,Inputs!$I$3-1,2))</f>
        <v>197631476.78000003</v>
      </c>
    </row>
    <row r="9" spans="1:29" x14ac:dyDescent="0.25">
      <c r="B9" t="s">
        <v>69</v>
      </c>
      <c r="C9" s="151">
        <v>1.040606978424332E-2</v>
      </c>
      <c r="D9" s="151">
        <v>1.4729058666459369E-3</v>
      </c>
      <c r="E9" s="152">
        <v>0</v>
      </c>
      <c r="F9" s="151">
        <v>4.3959326680583478E-2</v>
      </c>
      <c r="G9" s="151">
        <v>3.9851819138166107E-2</v>
      </c>
      <c r="H9" s="152">
        <v>0</v>
      </c>
      <c r="I9" s="151">
        <v>0</v>
      </c>
      <c r="J9" s="151">
        <v>0</v>
      </c>
      <c r="K9" s="151">
        <v>5.161008068868062E-5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51">
        <v>0.24972593883625388</v>
      </c>
      <c r="R9" s="151">
        <v>0</v>
      </c>
      <c r="S9" s="151">
        <v>2.8697327205921486E-2</v>
      </c>
      <c r="T9" s="152">
        <v>0</v>
      </c>
      <c r="U9" s="151">
        <v>1</v>
      </c>
      <c r="V9" s="151">
        <v>0</v>
      </c>
      <c r="W9" s="151">
        <v>0</v>
      </c>
      <c r="X9" s="151">
        <v>0</v>
      </c>
      <c r="Y9" s="151">
        <v>0</v>
      </c>
      <c r="Z9" s="151">
        <v>0</v>
      </c>
      <c r="AA9" s="151">
        <v>0</v>
      </c>
      <c r="AB9" s="152">
        <v>0.88577781890108087</v>
      </c>
      <c r="AC9" s="151">
        <v>0</v>
      </c>
    </row>
    <row r="10" spans="1:29" x14ac:dyDescent="0.25">
      <c r="B10" t="s">
        <v>59</v>
      </c>
      <c r="C10" s="61">
        <f t="shared" ref="C10:M10" ca="1" si="0">C13/C8</f>
        <v>0.9267105505112615</v>
      </c>
      <c r="D10" s="115">
        <f t="shared" ca="1" si="0"/>
        <v>1.7895709252099508</v>
      </c>
      <c r="E10" s="115">
        <f t="shared" ca="1" si="0"/>
        <v>1.2882609770752447</v>
      </c>
      <c r="F10" s="61">
        <f t="shared" ca="1" si="0"/>
        <v>20.757278719652536</v>
      </c>
      <c r="G10" s="115">
        <f t="shared" ca="1" si="0"/>
        <v>0.86510050888945744</v>
      </c>
      <c r="H10" s="115">
        <f t="shared" ca="1" si="0"/>
        <v>0.98851290819161153</v>
      </c>
      <c r="I10" s="61">
        <f t="shared" ca="1" si="0"/>
        <v>0.72674435997892828</v>
      </c>
      <c r="J10" s="116">
        <f t="shared" ca="1" si="0"/>
        <v>1.1855178211174375</v>
      </c>
      <c r="K10" s="61">
        <f t="shared" ca="1" si="0"/>
        <v>2.3249932428050868</v>
      </c>
      <c r="L10" s="116">
        <f t="shared" ca="1" si="0"/>
        <v>1.167661958736165</v>
      </c>
      <c r="M10" s="61">
        <f t="shared" ca="1" si="0"/>
        <v>1.6907625434612847</v>
      </c>
      <c r="N10" s="115">
        <f ca="1">-N13/N8</f>
        <v>0.46885953501617411</v>
      </c>
      <c r="O10" s="115">
        <f ca="1">-O13/O8</f>
        <v>1.2844483585954132</v>
      </c>
      <c r="P10" s="61">
        <f t="shared" ref="P10:AB10" ca="1" si="1">P13/P8</f>
        <v>1.5804164233211986</v>
      </c>
      <c r="Q10" s="116">
        <f t="shared" ca="1" si="1"/>
        <v>0.97368995709069395</v>
      </c>
      <c r="R10" s="116">
        <f t="shared" ca="1" si="1"/>
        <v>2.0456311261347522</v>
      </c>
      <c r="S10" s="61">
        <f t="shared" ca="1" si="1"/>
        <v>1.0584492360644091</v>
      </c>
      <c r="T10" s="116">
        <f t="shared" ca="1" si="1"/>
        <v>1.319787433654463</v>
      </c>
      <c r="U10" s="116">
        <f t="shared" ca="1" si="1"/>
        <v>0.98337825559487502</v>
      </c>
      <c r="V10" s="61">
        <f t="shared" ca="1" si="1"/>
        <v>1.216091100977557</v>
      </c>
      <c r="W10" s="61">
        <f t="shared" ca="1" si="1"/>
        <v>1.4280354469467498</v>
      </c>
      <c r="X10" s="61">
        <f t="shared" ca="1" si="1"/>
        <v>0.81709616678440422</v>
      </c>
      <c r="Y10" s="61">
        <f t="shared" ca="1" si="1"/>
        <v>1.6773800187024994</v>
      </c>
      <c r="Z10" s="61">
        <f t="shared" ca="1" si="1"/>
        <v>0.81850051053709627</v>
      </c>
      <c r="AA10" s="115">
        <f t="shared" ca="1" si="1"/>
        <v>0.91273643411408767</v>
      </c>
      <c r="AB10" s="116">
        <f t="shared" ca="1" si="1"/>
        <v>0.29999536321898934</v>
      </c>
      <c r="AC10" s="116" t="e">
        <f ca="1">AC13/AC8</f>
        <v>#NAME?</v>
      </c>
    </row>
    <row r="11" spans="1:29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C11" s="46"/>
    </row>
    <row r="12" spans="1:29" x14ac:dyDescent="0.25">
      <c r="A12" s="46" t="s">
        <v>151</v>
      </c>
      <c r="B12" s="46" t="s">
        <v>152</v>
      </c>
      <c r="C12" s="117">
        <v>406745860.46217293</v>
      </c>
      <c r="D12" s="117">
        <v>1780115353.385051</v>
      </c>
      <c r="E12" s="117">
        <v>1627885580.6325021</v>
      </c>
      <c r="F12" s="117">
        <v>543961303.81627738</v>
      </c>
      <c r="G12" s="117">
        <v>747152801.14487529</v>
      </c>
      <c r="H12" s="117">
        <v>620790419.1540513</v>
      </c>
      <c r="I12" s="117">
        <v>480653257.96314776</v>
      </c>
      <c r="J12" s="117">
        <v>1233418912.5273907</v>
      </c>
      <c r="K12" s="117">
        <v>151089917.71869814</v>
      </c>
      <c r="L12" s="117">
        <v>156128926.99647745</v>
      </c>
      <c r="M12" s="117">
        <v>59552346.833108872</v>
      </c>
      <c r="N12" s="117">
        <v>470170507.69325179</v>
      </c>
      <c r="O12" s="117">
        <v>112705214.60638103</v>
      </c>
      <c r="P12" s="117">
        <v>688333793.95563877</v>
      </c>
      <c r="Q12" s="117">
        <v>395266100.15688944</v>
      </c>
      <c r="R12" s="117">
        <v>246530706.00379008</v>
      </c>
      <c r="S12" s="117">
        <v>381098646.93807232</v>
      </c>
      <c r="T12" s="117">
        <v>392109705.83148515</v>
      </c>
      <c r="U12" s="117">
        <v>452090626.28340054</v>
      </c>
      <c r="V12" s="117">
        <v>445206501.88525653</v>
      </c>
      <c r="W12" s="117">
        <v>314950599.47597241</v>
      </c>
      <c r="X12" s="117">
        <v>295349222.82415128</v>
      </c>
      <c r="Y12" s="117">
        <v>397739746.69861102</v>
      </c>
      <c r="Z12" s="117">
        <v>623500420.14006674</v>
      </c>
      <c r="AA12" s="117">
        <v>231979096.23551664</v>
      </c>
      <c r="AB12" s="117">
        <v>27082759.930145536</v>
      </c>
      <c r="AC12" s="117" t="e">
        <f ca="1">_xll.RiskMean('Incurred Bootstrap'!$Y$266,AC$5)</f>
        <v>#NAME?</v>
      </c>
    </row>
    <row r="13" spans="1:29" x14ac:dyDescent="0.25">
      <c r="A13" s="46"/>
      <c r="B13" s="46" t="s">
        <v>153</v>
      </c>
      <c r="C13" s="117">
        <v>405356778.3686015</v>
      </c>
      <c r="D13" s="117">
        <v>3573992519.5512753</v>
      </c>
      <c r="E13" s="117">
        <v>2863154843.7969775</v>
      </c>
      <c r="F13" s="117">
        <v>1756453746.0913875</v>
      </c>
      <c r="G13" s="117">
        <v>812587984.17633581</v>
      </c>
      <c r="H13" s="117">
        <v>640401869.05470288</v>
      </c>
      <c r="I13" s="117">
        <v>394206266.1117478</v>
      </c>
      <c r="J13" s="117">
        <v>1056805537.4887205</v>
      </c>
      <c r="K13" s="117">
        <v>254254233.32258913</v>
      </c>
      <c r="L13" s="117">
        <v>183443699.32341784</v>
      </c>
      <c r="M13" s="117">
        <v>112096628.69027646</v>
      </c>
      <c r="N13" s="117">
        <v>403229914.37478906</v>
      </c>
      <c r="O13" s="117">
        <v>125328871.8554282</v>
      </c>
      <c r="P13" s="117">
        <v>827083667.24073946</v>
      </c>
      <c r="Q13" s="117">
        <v>511900344.5115816</v>
      </c>
      <c r="R13" s="117">
        <v>329894278.31006575</v>
      </c>
      <c r="S13" s="117">
        <v>351892159.82301587</v>
      </c>
      <c r="T13" s="117">
        <v>336949036.75624239</v>
      </c>
      <c r="U13" s="117">
        <v>424115481.14240837</v>
      </c>
      <c r="V13" s="117">
        <v>552745844.77034914</v>
      </c>
      <c r="W13" s="117">
        <v>422007979.73633391</v>
      </c>
      <c r="X13" s="117">
        <v>333956807.04738557</v>
      </c>
      <c r="Y13" s="117">
        <v>486127785.20962703</v>
      </c>
      <c r="Z13" s="117">
        <v>722925090.60079432</v>
      </c>
      <c r="AA13" s="117">
        <v>229917905.69293946</v>
      </c>
      <c r="AB13" s="117">
        <v>17302667.092939205</v>
      </c>
      <c r="AC13" s="117" t="e">
        <f ca="1">_xll.RiskMean('Paid Bootstrap'!$AR$266,AC$5)</f>
        <v>#NAME?</v>
      </c>
    </row>
    <row r="14" spans="1:29" x14ac:dyDescent="0.25">
      <c r="A14" s="46"/>
      <c r="B14" s="46" t="s">
        <v>269</v>
      </c>
      <c r="C14" s="117">
        <v>405900860.8860203</v>
      </c>
      <c r="D14" s="117">
        <v>1425631633.6435597</v>
      </c>
      <c r="E14" s="117">
        <v>1186650562.4662359</v>
      </c>
      <c r="F14" s="117">
        <v>649378842.1228497</v>
      </c>
      <c r="G14" s="117">
        <v>739756138.37624836</v>
      </c>
      <c r="H14" s="117">
        <v>589179834.35977089</v>
      </c>
      <c r="I14" s="117">
        <v>466745420.6797508</v>
      </c>
      <c r="J14" s="117">
        <v>892702899.23061728</v>
      </c>
      <c r="K14" s="117">
        <v>150429997.55153537</v>
      </c>
      <c r="L14" s="117">
        <v>155782782.54265368</v>
      </c>
      <c r="M14" s="117">
        <v>61273432.276594631</v>
      </c>
      <c r="N14" s="117">
        <v>447489035.39767808</v>
      </c>
      <c r="O14" s="117">
        <v>112546472.86325811</v>
      </c>
      <c r="P14" s="117">
        <v>687877214.8234868</v>
      </c>
      <c r="Q14" s="117">
        <v>394090017.96772635</v>
      </c>
      <c r="R14" s="117">
        <v>245237585.33914477</v>
      </c>
      <c r="S14" s="117">
        <v>377751141.38876188</v>
      </c>
      <c r="T14" s="117">
        <v>387679290.45739514</v>
      </c>
      <c r="U14" s="117">
        <v>449030824.55756909</v>
      </c>
      <c r="V14" s="117">
        <v>444868999.65267527</v>
      </c>
      <c r="W14" s="117">
        <v>310210124.92308629</v>
      </c>
      <c r="X14" s="117">
        <v>295143019.51377535</v>
      </c>
      <c r="Y14" s="117">
        <v>381687715.34752303</v>
      </c>
      <c r="Z14" s="117">
        <v>621465977.0820992</v>
      </c>
      <c r="AA14" s="117">
        <v>231531741.75455219</v>
      </c>
      <c r="AB14" s="117">
        <v>26589024.507479951</v>
      </c>
      <c r="AC14" s="117" t="e">
        <f ca="1">_xll.RiskMean('Incurred Bootstrap'!$Y$269,AC$5)</f>
        <v>#NAME?</v>
      </c>
    </row>
    <row r="15" spans="1:29" x14ac:dyDescent="0.25">
      <c r="A15" s="46"/>
      <c r="B15" s="46" t="s">
        <v>270</v>
      </c>
      <c r="C15" s="117">
        <v>394537766.85449803</v>
      </c>
      <c r="D15" s="117">
        <v>907826288.88856483</v>
      </c>
      <c r="E15" s="117">
        <v>841514636.94888103</v>
      </c>
      <c r="F15" s="117">
        <v>630779885.3328985</v>
      </c>
      <c r="G15" s="117">
        <v>775368605.22490621</v>
      </c>
      <c r="H15" s="117">
        <v>594954708.59727478</v>
      </c>
      <c r="I15" s="117">
        <v>281935404.03516954</v>
      </c>
      <c r="J15" s="117">
        <v>285665321.66807038</v>
      </c>
      <c r="K15" s="117">
        <v>253589306.36830789</v>
      </c>
      <c r="L15" s="117">
        <v>181736064.32076803</v>
      </c>
      <c r="M15" s="117">
        <v>54652994.234294899</v>
      </c>
      <c r="N15" s="117">
        <v>363662905.55158889</v>
      </c>
      <c r="O15" s="117">
        <v>125018149.14261973</v>
      </c>
      <c r="P15" s="117">
        <v>825649027.60703206</v>
      </c>
      <c r="Q15" s="117">
        <v>510771065.91391039</v>
      </c>
      <c r="R15" s="117">
        <v>328602089.98220211</v>
      </c>
      <c r="S15" s="117">
        <v>349653357.88831568</v>
      </c>
      <c r="T15" s="117">
        <v>334156141.12837851</v>
      </c>
      <c r="U15" s="117">
        <v>422788771.38406301</v>
      </c>
      <c r="V15" s="117">
        <v>551815379.86438239</v>
      </c>
      <c r="W15" s="117">
        <v>420802209.82067931</v>
      </c>
      <c r="X15" s="117">
        <v>333591073.97487515</v>
      </c>
      <c r="Y15" s="117">
        <v>474092514.66760069</v>
      </c>
      <c r="Z15" s="117">
        <v>714681801.85932887</v>
      </c>
      <c r="AA15" s="117">
        <v>229587345.71119335</v>
      </c>
      <c r="AB15" s="117">
        <v>17034983.043343019</v>
      </c>
      <c r="AC15" s="117" t="e">
        <f ca="1">_xll.RiskMean('Paid Bootstrap'!$AR$269,AC$5)</f>
        <v>#NAME?</v>
      </c>
    </row>
    <row r="16" spans="1:29" x14ac:dyDescent="0.25">
      <c r="A16" s="46"/>
      <c r="B16" s="46"/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</row>
    <row r="17" spans="1:29" x14ac:dyDescent="0.25">
      <c r="A17" s="46" t="s">
        <v>154</v>
      </c>
      <c r="B17" s="46" t="s">
        <v>152</v>
      </c>
      <c r="C17" s="117">
        <v>25591787.566474807</v>
      </c>
      <c r="D17" s="117">
        <v>164481824.71504474</v>
      </c>
      <c r="E17" s="117">
        <v>170446779.54216906</v>
      </c>
      <c r="F17" s="117">
        <v>74729052.330442756</v>
      </c>
      <c r="G17" s="117">
        <v>46204548.331734449</v>
      </c>
      <c r="H17" s="117">
        <v>45668822.331458591</v>
      </c>
      <c r="I17" s="117">
        <v>45914945.45243942</v>
      </c>
      <c r="J17" s="117">
        <v>151523266.86967075</v>
      </c>
      <c r="K17" s="117">
        <v>24009257.433157582</v>
      </c>
      <c r="L17" s="117">
        <v>51343727.443397284</v>
      </c>
      <c r="M17" s="117">
        <v>11818361.936062135</v>
      </c>
      <c r="N17" s="117">
        <v>30298577.010607034</v>
      </c>
      <c r="O17" s="117">
        <v>28849082.639644466</v>
      </c>
      <c r="P17" s="117">
        <v>39363499.53420534</v>
      </c>
      <c r="Q17" s="117">
        <v>76749523.931032926</v>
      </c>
      <c r="R17" s="117">
        <v>37711774.163474798</v>
      </c>
      <c r="S17" s="117">
        <v>38231143.20743648</v>
      </c>
      <c r="T17" s="117">
        <v>45026581.125278905</v>
      </c>
      <c r="U17" s="117">
        <v>32965067.097148851</v>
      </c>
      <c r="V17" s="117">
        <v>45822367.913808577</v>
      </c>
      <c r="W17" s="117">
        <v>42493134.782257833</v>
      </c>
      <c r="X17" s="117">
        <v>30363427.125888817</v>
      </c>
      <c r="Y17" s="117">
        <v>41209150.083728872</v>
      </c>
      <c r="Z17" s="117">
        <v>138342421.66223833</v>
      </c>
      <c r="AA17" s="117">
        <v>12649635.317181448</v>
      </c>
      <c r="AB17" s="117">
        <v>12201424.442661557</v>
      </c>
      <c r="AC17" s="117" t="e">
        <f ca="1">_xll.RiskStdDev('Incurred Bootstrap'!$Y$266,AC$5)</f>
        <v>#NAME?</v>
      </c>
    </row>
    <row r="18" spans="1:29" x14ac:dyDescent="0.25">
      <c r="A18" s="46"/>
      <c r="B18" s="46" t="s">
        <v>153</v>
      </c>
      <c r="C18" s="117">
        <v>18165227.248052135</v>
      </c>
      <c r="D18" s="117">
        <v>864912904.92419231</v>
      </c>
      <c r="E18" s="117">
        <v>649185832.33990502</v>
      </c>
      <c r="F18" s="117">
        <v>493293673.60701114</v>
      </c>
      <c r="G18" s="117">
        <v>30037634.936763182</v>
      </c>
      <c r="H18" s="117">
        <v>38163118.232036248</v>
      </c>
      <c r="I18" s="117">
        <v>49409011.016591176</v>
      </c>
      <c r="J18" s="117">
        <v>177472304.45511958</v>
      </c>
      <c r="K18" s="117">
        <v>147330408.95025411</v>
      </c>
      <c r="L18" s="117">
        <v>24856473.280049078</v>
      </c>
      <c r="M18" s="117">
        <v>22232326.657712627</v>
      </c>
      <c r="N18" s="117">
        <v>23690006.670274079</v>
      </c>
      <c r="O18" s="117">
        <v>19613868.54665124</v>
      </c>
      <c r="P18" s="117">
        <v>31143880.05110896</v>
      </c>
      <c r="Q18" s="117">
        <v>98213207.864633918</v>
      </c>
      <c r="R18" s="117">
        <v>22202653.230346233</v>
      </c>
      <c r="S18" s="117">
        <v>41565853.329407342</v>
      </c>
      <c r="T18" s="117">
        <v>40689750.102535211</v>
      </c>
      <c r="U18" s="117">
        <v>26358071.776391752</v>
      </c>
      <c r="V18" s="117">
        <v>18877668.767602053</v>
      </c>
      <c r="W18" s="117">
        <v>36118779.604142293</v>
      </c>
      <c r="X18" s="117">
        <v>17755656.227127563</v>
      </c>
      <c r="Y18" s="117">
        <v>39334704.479088143</v>
      </c>
      <c r="Z18" s="117">
        <v>95848947.240897879</v>
      </c>
      <c r="AA18" s="117">
        <v>11921970.032827567</v>
      </c>
      <c r="AB18" s="117">
        <v>7922745.2907079244</v>
      </c>
      <c r="AC18" s="117" t="e">
        <f ca="1">_xll.RiskStdDev('Paid Bootstrap'!$AR$266,AC$5)</f>
        <v>#NAME?</v>
      </c>
    </row>
    <row r="19" spans="1:29" x14ac:dyDescent="0.25">
      <c r="A19" s="46"/>
      <c r="B19" s="46" t="s">
        <v>269</v>
      </c>
      <c r="C19" s="117">
        <v>25586181.093858045</v>
      </c>
      <c r="D19" s="117">
        <v>80058906.011866614</v>
      </c>
      <c r="E19" s="117">
        <v>43415891.576887272</v>
      </c>
      <c r="F19" s="117">
        <v>32455152.026859667</v>
      </c>
      <c r="G19" s="117">
        <v>46126820.906316273</v>
      </c>
      <c r="H19" s="117">
        <v>44736044.736480646</v>
      </c>
      <c r="I19" s="117">
        <v>45404531.389334977</v>
      </c>
      <c r="J19" s="117">
        <v>38827776.357442528</v>
      </c>
      <c r="K19" s="117">
        <v>23993558.217512738</v>
      </c>
      <c r="L19" s="117">
        <v>51341507.212706789</v>
      </c>
      <c r="M19" s="117">
        <v>11800830.983072031</v>
      </c>
      <c r="N19" s="117">
        <v>29279436.459655598</v>
      </c>
      <c r="O19" s="117">
        <v>28845416.734430131</v>
      </c>
      <c r="P19" s="117">
        <v>39353238.747364283</v>
      </c>
      <c r="Q19" s="117">
        <v>76723103.15636006</v>
      </c>
      <c r="R19" s="117">
        <v>37647127.453315958</v>
      </c>
      <c r="S19" s="117">
        <v>37953675.509824552</v>
      </c>
      <c r="T19" s="117">
        <v>44645394.281457119</v>
      </c>
      <c r="U19" s="117">
        <v>32846826.38205713</v>
      </c>
      <c r="V19" s="117">
        <v>45810234.914581344</v>
      </c>
      <c r="W19" s="117">
        <v>42209414.313902803</v>
      </c>
      <c r="X19" s="117">
        <v>30358251.624121938</v>
      </c>
      <c r="Y19" s="117">
        <v>39859315.986453265</v>
      </c>
      <c r="Z19" s="117">
        <v>138159914.23429275</v>
      </c>
      <c r="AA19" s="117">
        <v>12642155.14713151</v>
      </c>
      <c r="AB19" s="117">
        <v>12161769.16580628</v>
      </c>
      <c r="AC19" s="117" t="e">
        <f ca="1">_xll.RiskStdDev('Incurred Bootstrap'!$Y$269,AC$5)</f>
        <v>#NAME?</v>
      </c>
    </row>
    <row r="20" spans="1:29" x14ac:dyDescent="0.25">
      <c r="A20" s="46"/>
      <c r="B20" s="46" t="s">
        <v>270</v>
      </c>
      <c r="C20" s="117">
        <v>17866069.863797441</v>
      </c>
      <c r="D20" s="117">
        <v>175405093.87075442</v>
      </c>
      <c r="E20" s="117">
        <v>27260935.343251549</v>
      </c>
      <c r="F20" s="117">
        <v>23513789.142729506</v>
      </c>
      <c r="G20" s="117">
        <v>28084129.840420686</v>
      </c>
      <c r="H20" s="117">
        <v>36482461.324991785</v>
      </c>
      <c r="I20" s="117">
        <v>32711022.605208497</v>
      </c>
      <c r="J20" s="117">
        <v>17975810.79520167</v>
      </c>
      <c r="K20" s="117">
        <v>147283946.06287161</v>
      </c>
      <c r="L20" s="117">
        <v>24848984.147726048</v>
      </c>
      <c r="M20" s="117">
        <v>12391465.790009992</v>
      </c>
      <c r="N20" s="117">
        <v>19142684.979145776</v>
      </c>
      <c r="O20" s="117">
        <v>19609784.350860052</v>
      </c>
      <c r="P20" s="117">
        <v>31112030.98534527</v>
      </c>
      <c r="Q20" s="117">
        <v>98177598.205730438</v>
      </c>
      <c r="R20" s="117">
        <v>22156997.089717645</v>
      </c>
      <c r="S20" s="117">
        <v>41437617.552462153</v>
      </c>
      <c r="T20" s="117">
        <v>40568975.927717328</v>
      </c>
      <c r="U20" s="117">
        <v>26331062.346086692</v>
      </c>
      <c r="V20" s="117">
        <v>18857101.13632597</v>
      </c>
      <c r="W20" s="117">
        <v>36066526.24601531</v>
      </c>
      <c r="X20" s="117">
        <v>17752173.150339119</v>
      </c>
      <c r="Y20" s="117">
        <v>38040157.494462281</v>
      </c>
      <c r="Z20" s="117">
        <v>95129642.339109957</v>
      </c>
      <c r="AA20" s="117">
        <v>11916310.833466008</v>
      </c>
      <c r="AB20" s="117">
        <v>7908949.2521339329</v>
      </c>
      <c r="AC20" s="117" t="e">
        <f ca="1">_xll.RiskStdDev('Paid Bootstrap'!$AR$269,AC$5)</f>
        <v>#NAME?</v>
      </c>
    </row>
    <row r="21" spans="1:2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C21" s="46"/>
    </row>
    <row r="22" spans="1:29" x14ac:dyDescent="0.25">
      <c r="A22" s="46" t="s">
        <v>175</v>
      </c>
      <c r="B22" s="46" t="s">
        <v>152</v>
      </c>
      <c r="C22" s="116">
        <f t="shared" ref="C22" si="2">C17/C12</f>
        <v>6.2918372512496226E-2</v>
      </c>
      <c r="D22" s="116">
        <f t="shared" ref="D22:AB22" si="3">D17/D12</f>
        <v>9.2399531526014655E-2</v>
      </c>
      <c r="E22" s="116">
        <f t="shared" si="3"/>
        <v>0.1047043978827697</v>
      </c>
      <c r="F22" s="116">
        <f t="shared" si="3"/>
        <v>0.13737935365285184</v>
      </c>
      <c r="G22" s="116">
        <f t="shared" si="3"/>
        <v>6.1840828624257868E-2</v>
      </c>
      <c r="H22" s="116">
        <f t="shared" si="3"/>
        <v>7.3565604304414556E-2</v>
      </c>
      <c r="I22" s="116">
        <f t="shared" si="3"/>
        <v>9.5526129682366095E-2</v>
      </c>
      <c r="J22" s="116">
        <f t="shared" si="3"/>
        <v>0.12284817861207058</v>
      </c>
      <c r="K22" s="116">
        <f t="shared" si="3"/>
        <v>0.15890707861697587</v>
      </c>
      <c r="L22" s="116">
        <f t="shared" si="3"/>
        <v>0.32885467434587373</v>
      </c>
      <c r="M22" s="116">
        <f t="shared" si="3"/>
        <v>0.19845333667843915</v>
      </c>
      <c r="N22" s="116">
        <f t="shared" si="3"/>
        <v>6.4441679167112714E-2</v>
      </c>
      <c r="O22" s="116">
        <f t="shared" si="3"/>
        <v>0.2559693687678859</v>
      </c>
      <c r="P22" s="116">
        <f t="shared" si="3"/>
        <v>5.7186643863576178E-2</v>
      </c>
      <c r="Q22" s="116">
        <f t="shared" si="3"/>
        <v>0.19417178427537657</v>
      </c>
      <c r="R22" s="116">
        <f t="shared" si="3"/>
        <v>0.15296988669190373</v>
      </c>
      <c r="S22" s="116">
        <f t="shared" si="3"/>
        <v>0.10031823391293476</v>
      </c>
      <c r="T22" s="116">
        <f t="shared" si="3"/>
        <v>0.11483159038309991</v>
      </c>
      <c r="U22" s="116">
        <f t="shared" si="3"/>
        <v>7.2916944481136281E-2</v>
      </c>
      <c r="V22" s="116">
        <f t="shared" si="3"/>
        <v>0.10292385156050218</v>
      </c>
      <c r="W22" s="116">
        <f t="shared" si="3"/>
        <v>0.13491999968553683</v>
      </c>
      <c r="X22" s="116">
        <f t="shared" si="3"/>
        <v>0.10280517021697726</v>
      </c>
      <c r="Y22" s="116">
        <f t="shared" si="3"/>
        <v>0.10360832787213313</v>
      </c>
      <c r="Z22" s="116">
        <f t="shared" si="3"/>
        <v>0.221880238077723</v>
      </c>
      <c r="AA22" s="116">
        <f t="shared" si="3"/>
        <v>5.4529203374164857E-2</v>
      </c>
      <c r="AB22" s="116">
        <f t="shared" si="3"/>
        <v>0.45052367166908569</v>
      </c>
      <c r="AC22" s="116" t="e">
        <f t="shared" ref="AC22" ca="1" si="4">AC17/AC12</f>
        <v>#NAME?</v>
      </c>
    </row>
    <row r="23" spans="1:29" x14ac:dyDescent="0.25">
      <c r="A23" s="46"/>
      <c r="B23" s="46" t="s">
        <v>153</v>
      </c>
      <c r="C23" s="116">
        <f t="shared" ref="C23:AB23" si="5">C18/C13</f>
        <v>4.4812935708537775E-2</v>
      </c>
      <c r="D23" s="116">
        <f t="shared" si="5"/>
        <v>0.24200187890510316</v>
      </c>
      <c r="E23" s="116">
        <f t="shared" si="5"/>
        <v>0.22673794040387496</v>
      </c>
      <c r="F23" s="116">
        <f t="shared" si="5"/>
        <v>0.28084637850824756</v>
      </c>
      <c r="G23" s="116">
        <f t="shared" si="5"/>
        <v>3.69653939286467E-2</v>
      </c>
      <c r="H23" s="116">
        <f t="shared" si="5"/>
        <v>5.9592452920802404E-2</v>
      </c>
      <c r="I23" s="116">
        <f t="shared" si="5"/>
        <v>0.12533796457356397</v>
      </c>
      <c r="J23" s="116">
        <f t="shared" si="5"/>
        <v>0.16793279194661087</v>
      </c>
      <c r="K23" s="116">
        <f t="shared" si="5"/>
        <v>0.57946098684353586</v>
      </c>
      <c r="L23" s="116">
        <f t="shared" si="5"/>
        <v>0.13549919333138949</v>
      </c>
      <c r="M23" s="116">
        <f t="shared" si="5"/>
        <v>0.19833180459994615</v>
      </c>
      <c r="N23" s="116">
        <f t="shared" si="5"/>
        <v>5.8750618011576862E-2</v>
      </c>
      <c r="O23" s="116">
        <f t="shared" si="5"/>
        <v>0.15649920290734454</v>
      </c>
      <c r="P23" s="116">
        <f t="shared" si="5"/>
        <v>3.7655053877449988E-2</v>
      </c>
      <c r="Q23" s="116">
        <f t="shared" si="5"/>
        <v>0.19186001517217552</v>
      </c>
      <c r="R23" s="116">
        <f t="shared" si="5"/>
        <v>6.7302328928172825E-2</v>
      </c>
      <c r="S23" s="116">
        <f t="shared" si="5"/>
        <v>0.11812099863297007</v>
      </c>
      <c r="T23" s="116">
        <f t="shared" si="5"/>
        <v>0.12075936021141151</v>
      </c>
      <c r="U23" s="116">
        <f t="shared" si="5"/>
        <v>6.2148336828905588E-2</v>
      </c>
      <c r="V23" s="116">
        <f t="shared" si="5"/>
        <v>3.4152529496526945E-2</v>
      </c>
      <c r="W23" s="116">
        <f t="shared" si="5"/>
        <v>8.5587906718514947E-2</v>
      </c>
      <c r="X23" s="116">
        <f t="shared" si="5"/>
        <v>5.3167523022245776E-2</v>
      </c>
      <c r="Y23" s="116">
        <f t="shared" si="5"/>
        <v>8.0914330914301294E-2</v>
      </c>
      <c r="Z23" s="116">
        <f t="shared" si="5"/>
        <v>0.13258489501483706</v>
      </c>
      <c r="AA23" s="116">
        <f t="shared" si="5"/>
        <v>5.1853160356938995E-2</v>
      </c>
      <c r="AB23" s="116">
        <f t="shared" si="5"/>
        <v>0.45789156366193989</v>
      </c>
      <c r="AC23" s="116" t="e">
        <f t="shared" ref="AC23" ca="1" si="6">AC18/AC13</f>
        <v>#NAME?</v>
      </c>
    </row>
    <row r="24" spans="1:29" x14ac:dyDescent="0.25">
      <c r="A24" s="46"/>
      <c r="B24" s="46" t="s">
        <v>269</v>
      </c>
      <c r="C24" s="116">
        <f t="shared" ref="C24:AB24" si="7">C19/C14</f>
        <v>6.3035542812122328E-2</v>
      </c>
      <c r="D24" s="116">
        <f t="shared" si="7"/>
        <v>5.6156796834856963E-2</v>
      </c>
      <c r="E24" s="116">
        <f t="shared" si="7"/>
        <v>3.6586922005628422E-2</v>
      </c>
      <c r="F24" s="116">
        <f t="shared" si="7"/>
        <v>4.9978764199896414E-2</v>
      </c>
      <c r="G24" s="116">
        <f t="shared" si="7"/>
        <v>6.235409010267063E-2</v>
      </c>
      <c r="H24" s="116">
        <f t="shared" si="7"/>
        <v>7.5929354888890299E-2</v>
      </c>
      <c r="I24" s="116">
        <f t="shared" si="7"/>
        <v>9.7279007736614728E-2</v>
      </c>
      <c r="J24" s="116">
        <f t="shared" si="7"/>
        <v>4.3494623340986728E-2</v>
      </c>
      <c r="K24" s="116">
        <f t="shared" si="7"/>
        <v>0.15949982455655398</v>
      </c>
      <c r="L24" s="116">
        <f t="shared" si="7"/>
        <v>0.32957112701879854</v>
      </c>
      <c r="M24" s="116">
        <f t="shared" si="7"/>
        <v>0.19259294843810701</v>
      </c>
      <c r="N24" s="116">
        <f t="shared" si="7"/>
        <v>6.5430511461884916E-2</v>
      </c>
      <c r="O24" s="116">
        <f t="shared" si="7"/>
        <v>0.25629782969277748</v>
      </c>
      <c r="P24" s="116">
        <f t="shared" si="7"/>
        <v>5.7209684954403595E-2</v>
      </c>
      <c r="Q24" s="116">
        <f t="shared" si="7"/>
        <v>0.1946842083238029</v>
      </c>
      <c r="R24" s="116">
        <f t="shared" si="7"/>
        <v>0.15351287773141653</v>
      </c>
      <c r="S24" s="116">
        <f t="shared" si="7"/>
        <v>0.1004726957813864</v>
      </c>
      <c r="T24" s="116">
        <f t="shared" si="7"/>
        <v>0.11516063762081076</v>
      </c>
      <c r="U24" s="116">
        <f t="shared" si="7"/>
        <v>7.3150493430871183E-2</v>
      </c>
      <c r="V24" s="116">
        <f t="shared" si="7"/>
        <v>0.10297466209231704</v>
      </c>
      <c r="W24" s="116">
        <f t="shared" si="7"/>
        <v>0.13606717164492368</v>
      </c>
      <c r="X24" s="116">
        <f t="shared" si="7"/>
        <v>0.10285946004799552</v>
      </c>
      <c r="Y24" s="116">
        <f t="shared" si="7"/>
        <v>0.10442912984548569</v>
      </c>
      <c r="Z24" s="116">
        <f t="shared" si="7"/>
        <v>0.22231291708514725</v>
      </c>
      <c r="AA24" s="116">
        <f t="shared" si="7"/>
        <v>5.4602254754916126E-2</v>
      </c>
      <c r="AB24" s="116">
        <f t="shared" si="7"/>
        <v>0.45739809530751929</v>
      </c>
      <c r="AC24" s="116" t="e">
        <f t="shared" ref="AC24" ca="1" si="8">AC19/AC14</f>
        <v>#NAME?</v>
      </c>
    </row>
    <row r="25" spans="1:29" x14ac:dyDescent="0.25">
      <c r="A25" s="46"/>
      <c r="B25" s="46" t="s">
        <v>270</v>
      </c>
      <c r="C25" s="116">
        <f t="shared" ref="C25:AB25" si="9">C20/C15</f>
        <v>4.5283547900209734E-2</v>
      </c>
      <c r="D25" s="116">
        <f t="shared" si="9"/>
        <v>0.19321438034747779</v>
      </c>
      <c r="E25" s="116">
        <f t="shared" si="9"/>
        <v>3.2395081613901332E-2</v>
      </c>
      <c r="F25" s="116">
        <f t="shared" si="9"/>
        <v>3.7277328731432108E-2</v>
      </c>
      <c r="G25" s="116">
        <f t="shared" si="9"/>
        <v>3.6220359776205413E-2</v>
      </c>
      <c r="H25" s="116">
        <f t="shared" si="9"/>
        <v>6.1319728708436501E-2</v>
      </c>
      <c r="I25" s="116">
        <f t="shared" si="9"/>
        <v>0.11602311074464425</v>
      </c>
      <c r="J25" s="116">
        <f t="shared" si="9"/>
        <v>6.2926121694563658E-2</v>
      </c>
      <c r="K25" s="116">
        <f t="shared" si="9"/>
        <v>0.58079714863433329</v>
      </c>
      <c r="L25" s="116">
        <f t="shared" si="9"/>
        <v>0.13673116692935014</v>
      </c>
      <c r="M25" s="116">
        <f t="shared" si="9"/>
        <v>0.22672986107382045</v>
      </c>
      <c r="N25" s="116">
        <f t="shared" si="9"/>
        <v>5.2638541591452509E-2</v>
      </c>
      <c r="O25" s="116">
        <f t="shared" si="9"/>
        <v>0.15685550046409152</v>
      </c>
      <c r="P25" s="116">
        <f t="shared" si="9"/>
        <v>3.7681908347323885E-2</v>
      </c>
      <c r="Q25" s="116">
        <f t="shared" si="9"/>
        <v>0.19221448660186657</v>
      </c>
      <c r="R25" s="116">
        <f t="shared" si="9"/>
        <v>6.7428046762933624E-2</v>
      </c>
      <c r="S25" s="116">
        <f t="shared" si="9"/>
        <v>0.11851056658720242</v>
      </c>
      <c r="T25" s="116">
        <f t="shared" si="9"/>
        <v>0.12140724330465394</v>
      </c>
      <c r="U25" s="116">
        <f t="shared" si="9"/>
        <v>6.2279474121055715E-2</v>
      </c>
      <c r="V25" s="116">
        <f t="shared" si="9"/>
        <v>3.4172844441125234E-2</v>
      </c>
      <c r="W25" s="116">
        <f t="shared" si="9"/>
        <v>8.5708975391038708E-2</v>
      </c>
      <c r="X25" s="116">
        <f t="shared" si="9"/>
        <v>5.321537215853727E-2</v>
      </c>
      <c r="Y25" s="116">
        <f t="shared" si="9"/>
        <v>8.0237836113344424E-2</v>
      </c>
      <c r="Z25" s="116">
        <f t="shared" si="9"/>
        <v>0.1331076880530874</v>
      </c>
      <c r="AA25" s="116">
        <f t="shared" si="9"/>
        <v>5.190316912525305E-2</v>
      </c>
      <c r="AB25" s="116">
        <f t="shared" si="9"/>
        <v>0.46427690782026437</v>
      </c>
      <c r="AC25" s="116" t="e">
        <f t="shared" ref="AC25" ca="1" si="10">AC20/AC15</f>
        <v>#NAME?</v>
      </c>
    </row>
    <row r="26" spans="1:29" x14ac:dyDescent="0.25">
      <c r="A26" s="46"/>
      <c r="B26" s="46"/>
      <c r="AB26"/>
    </row>
    <row r="27" spans="1:29" x14ac:dyDescent="0.25">
      <c r="A27" s="46"/>
      <c r="B27" s="46"/>
      <c r="AB27"/>
    </row>
    <row r="28" spans="1:29" x14ac:dyDescent="0.25">
      <c r="A28" s="46" t="s">
        <v>212</v>
      </c>
      <c r="B28" s="46"/>
      <c r="AB28"/>
    </row>
    <row r="29" spans="1:29" x14ac:dyDescent="0.25">
      <c r="A29" s="46"/>
      <c r="B29" s="46"/>
      <c r="AB29"/>
    </row>
    <row r="30" spans="1:29" x14ac:dyDescent="0.25">
      <c r="A30" t="s">
        <v>47</v>
      </c>
      <c r="E30" s="46"/>
      <c r="H30" s="46"/>
      <c r="T30" s="46"/>
    </row>
    <row r="31" spans="1:29" x14ac:dyDescent="0.25">
      <c r="B31" s="125">
        <v>0.05</v>
      </c>
      <c r="C31" s="52" t="e">
        <f ca="1">_xll.RiskPercentile('Paid Bootstrap'!$AR$266,$B31,C$5)</f>
        <v>#NAME?</v>
      </c>
      <c r="D31" s="52" t="e">
        <f ca="1">_xll.RiskPercentile('Paid Bootstrap'!$AR$266,$B31,D$5)</f>
        <v>#NAME?</v>
      </c>
      <c r="E31" s="52" t="e">
        <f ca="1">_xll.RiskPercentile('Paid Bootstrap'!$AR$266,$B31,E$5)</f>
        <v>#NAME?</v>
      </c>
      <c r="F31" s="52" t="e">
        <f ca="1">_xll.RiskPercentile('Paid Bootstrap'!$AR$266,$B31,F$5)</f>
        <v>#NAME?</v>
      </c>
      <c r="G31" s="52" t="e">
        <f ca="1">_xll.RiskPercentile('Paid Bootstrap'!$AR$266,$B31,G$5)</f>
        <v>#NAME?</v>
      </c>
      <c r="H31" s="52" t="e">
        <f ca="1">_xll.RiskPercentile('Paid Bootstrap'!$AR$266,$B31,H$5)</f>
        <v>#NAME?</v>
      </c>
      <c r="I31" s="52" t="e">
        <f ca="1">_xll.RiskPercentile('Paid Bootstrap'!$AR$266,$B31,I$5)</f>
        <v>#NAME?</v>
      </c>
      <c r="J31" s="52" t="e">
        <f ca="1">_xll.RiskPercentile('Paid Bootstrap'!$AR$266,$B31,J$5)</f>
        <v>#NAME?</v>
      </c>
      <c r="K31" s="52" t="e">
        <f ca="1">_xll.RiskPercentile('Paid Bootstrap'!$AR$266,$B31,K$5)</f>
        <v>#NAME?</v>
      </c>
      <c r="L31" s="52" t="e">
        <f ca="1">_xll.RiskPercentile('Paid Bootstrap'!$AR$266,$B31,L$5)</f>
        <v>#NAME?</v>
      </c>
      <c r="M31" s="52" t="e">
        <f ca="1">_xll.RiskPercentile('Paid Bootstrap'!$AR$266,$B31,M$5)</f>
        <v>#NAME?</v>
      </c>
      <c r="N31" s="52" t="e">
        <f ca="1">_xll.RiskPercentile('Paid Bootstrap'!$AR$266,$B31,N$5)</f>
        <v>#NAME?</v>
      </c>
      <c r="O31" s="52" t="e">
        <f ca="1">_xll.RiskPercentile('Paid Bootstrap'!$AR$266,$B31,O$5)</f>
        <v>#NAME?</v>
      </c>
      <c r="P31" s="52" t="e">
        <f ca="1">_xll.RiskPercentile('Paid Bootstrap'!$AR$266,$B31,P$5)</f>
        <v>#NAME?</v>
      </c>
      <c r="Q31" s="52" t="e">
        <f ca="1">_xll.RiskPercentile('Paid Bootstrap'!$AR$266,$B31,Q$5)</f>
        <v>#NAME?</v>
      </c>
      <c r="R31" s="52" t="e">
        <f ca="1">_xll.RiskPercentile('Paid Bootstrap'!$AR$266,$B31,R$5)</f>
        <v>#NAME?</v>
      </c>
      <c r="S31" s="52" t="e">
        <f ca="1">_xll.RiskPercentile('Paid Bootstrap'!$AR$266,$B31,S$5)</f>
        <v>#NAME?</v>
      </c>
      <c r="T31" s="52" t="e">
        <f ca="1">_xll.RiskPercentile('Paid Bootstrap'!$AR$266,$B31,T$5)</f>
        <v>#NAME?</v>
      </c>
      <c r="U31" s="52" t="e">
        <f ca="1">_xll.RiskPercentile('Paid Bootstrap'!$AR$266,$B31,U$5)</f>
        <v>#NAME?</v>
      </c>
      <c r="V31" s="52" t="e">
        <f ca="1">_xll.RiskPercentile('Paid Bootstrap'!$AR$266,$B31,V$5)</f>
        <v>#NAME?</v>
      </c>
      <c r="W31" s="52" t="e">
        <f ca="1">_xll.RiskPercentile('Paid Bootstrap'!$AR$266,$B31,W$5)</f>
        <v>#NAME?</v>
      </c>
      <c r="X31" s="52" t="e">
        <f ca="1">_xll.RiskPercentile('Paid Bootstrap'!$AR$266,$B31,X$5)</f>
        <v>#NAME?</v>
      </c>
      <c r="Y31" s="52" t="e">
        <f ca="1">_xll.RiskPercentile('Paid Bootstrap'!$AR$266,$B31,Y$5)</f>
        <v>#NAME?</v>
      </c>
      <c r="Z31" s="52" t="e">
        <f ca="1">_xll.RiskPercentile('Paid Bootstrap'!$AR$266,$B31,Z$5)</f>
        <v>#NAME?</v>
      </c>
      <c r="AA31" s="52" t="e">
        <f ca="1">_xll.RiskPercentile('Paid Bootstrap'!$AR$266,$B31,AA$5)</f>
        <v>#NAME?</v>
      </c>
      <c r="AB31" s="52" t="e">
        <f ca="1">_xll.RiskPercentile('Paid Bootstrap'!$AR$266,$B31,AB$5)</f>
        <v>#NAME?</v>
      </c>
      <c r="AC31" s="52" t="e">
        <f ca="1">_xll.RiskPercentile('Paid Bootstrap'!$AR$266,$B31,AC$5)</f>
        <v>#NAME?</v>
      </c>
    </row>
    <row r="32" spans="1:29" x14ac:dyDescent="0.25">
      <c r="B32" s="125">
        <f>+B31+5%</f>
        <v>0.1</v>
      </c>
      <c r="C32" s="52" t="e">
        <f ca="1">_xll.RiskPercentile('Paid Bootstrap'!$AR$266,$B32,C$5)</f>
        <v>#NAME?</v>
      </c>
      <c r="D32" s="52" t="e">
        <f ca="1">_xll.RiskPercentile('Paid Bootstrap'!$AR$266,$B32,D$5)</f>
        <v>#NAME?</v>
      </c>
      <c r="E32" s="52" t="e">
        <f ca="1">_xll.RiskPercentile('Paid Bootstrap'!$AR$266,$B32,E$5)</f>
        <v>#NAME?</v>
      </c>
      <c r="F32" s="52" t="e">
        <f ca="1">_xll.RiskPercentile('Paid Bootstrap'!$AR$266,$B32,F$5)</f>
        <v>#NAME?</v>
      </c>
      <c r="G32" s="52" t="e">
        <f ca="1">_xll.RiskPercentile('Paid Bootstrap'!$AR$266,$B32,G$5)</f>
        <v>#NAME?</v>
      </c>
      <c r="H32" s="52" t="e">
        <f ca="1">_xll.RiskPercentile('Paid Bootstrap'!$AR$266,$B32,H$5)</f>
        <v>#NAME?</v>
      </c>
      <c r="I32" s="52" t="e">
        <f ca="1">_xll.RiskPercentile('Paid Bootstrap'!$AR$266,$B32,I$5)</f>
        <v>#NAME?</v>
      </c>
      <c r="J32" s="52" t="e">
        <f ca="1">_xll.RiskPercentile('Paid Bootstrap'!$AR$266,$B32,J$5)</f>
        <v>#NAME?</v>
      </c>
      <c r="K32" s="52" t="e">
        <f ca="1">_xll.RiskPercentile('Paid Bootstrap'!$AR$266,$B32,K$5)</f>
        <v>#NAME?</v>
      </c>
      <c r="L32" s="52" t="e">
        <f ca="1">_xll.RiskPercentile('Paid Bootstrap'!$AR$266,$B32,L$5)</f>
        <v>#NAME?</v>
      </c>
      <c r="M32" s="52" t="e">
        <f ca="1">_xll.RiskPercentile('Paid Bootstrap'!$AR$266,$B32,M$5)</f>
        <v>#NAME?</v>
      </c>
      <c r="N32" s="52" t="e">
        <f ca="1">_xll.RiskPercentile('Paid Bootstrap'!$AR$266,$B32,N$5)</f>
        <v>#NAME?</v>
      </c>
      <c r="O32" s="52" t="e">
        <f ca="1">_xll.RiskPercentile('Paid Bootstrap'!$AR$266,$B32,O$5)</f>
        <v>#NAME?</v>
      </c>
      <c r="P32" s="52" t="e">
        <f ca="1">_xll.RiskPercentile('Paid Bootstrap'!$AR$266,$B32,P$5)</f>
        <v>#NAME?</v>
      </c>
      <c r="Q32" s="52" t="e">
        <f ca="1">_xll.RiskPercentile('Paid Bootstrap'!$AR$266,$B32,Q$5)</f>
        <v>#NAME?</v>
      </c>
      <c r="R32" s="52" t="e">
        <f ca="1">_xll.RiskPercentile('Paid Bootstrap'!$AR$266,$B32,R$5)</f>
        <v>#NAME?</v>
      </c>
      <c r="S32" s="52" t="e">
        <f ca="1">_xll.RiskPercentile('Paid Bootstrap'!$AR$266,$B32,S$5)</f>
        <v>#NAME?</v>
      </c>
      <c r="T32" s="52" t="e">
        <f ca="1">_xll.RiskPercentile('Paid Bootstrap'!$AR$266,$B32,T$5)</f>
        <v>#NAME?</v>
      </c>
      <c r="U32" s="52" t="e">
        <f ca="1">_xll.RiskPercentile('Paid Bootstrap'!$AR$266,$B32,U$5)</f>
        <v>#NAME?</v>
      </c>
      <c r="V32" s="52" t="e">
        <f ca="1">_xll.RiskPercentile('Paid Bootstrap'!$AR$266,$B32,V$5)</f>
        <v>#NAME?</v>
      </c>
      <c r="W32" s="52" t="e">
        <f ca="1">_xll.RiskPercentile('Paid Bootstrap'!$AR$266,$B32,W$5)</f>
        <v>#NAME?</v>
      </c>
      <c r="X32" s="52" t="e">
        <f ca="1">_xll.RiskPercentile('Paid Bootstrap'!$AR$266,$B32,X$5)</f>
        <v>#NAME?</v>
      </c>
      <c r="Y32" s="52" t="e">
        <f ca="1">_xll.RiskPercentile('Paid Bootstrap'!$AR$266,$B32,Y$5)</f>
        <v>#NAME?</v>
      </c>
      <c r="Z32" s="52" t="e">
        <f ca="1">_xll.RiskPercentile('Paid Bootstrap'!$AR$266,$B32,Z$5)</f>
        <v>#NAME?</v>
      </c>
      <c r="AA32" s="52" t="e">
        <f ca="1">_xll.RiskPercentile('Paid Bootstrap'!$AR$266,$B32,AA$5)</f>
        <v>#NAME?</v>
      </c>
      <c r="AB32" s="52" t="e">
        <f ca="1">_xll.RiskPercentile('Paid Bootstrap'!$AR$266,$B32,AB$5)</f>
        <v>#NAME?</v>
      </c>
      <c r="AC32" s="52" t="e">
        <f ca="1">_xll.RiskPercentile('Paid Bootstrap'!$AR$266,$B32,AC$5)</f>
        <v>#NAME?</v>
      </c>
    </row>
    <row r="33" spans="2:29" x14ac:dyDescent="0.25">
      <c r="B33" s="125">
        <f t="shared" ref="B33:B49" si="11">+B32+5%</f>
        <v>0.15000000000000002</v>
      </c>
      <c r="C33" s="52" t="e">
        <f ca="1">_xll.RiskPercentile('Paid Bootstrap'!$AR$266,$B33,C$5)</f>
        <v>#NAME?</v>
      </c>
      <c r="D33" s="52" t="e">
        <f ca="1">_xll.RiskPercentile('Paid Bootstrap'!$AR$266,$B33,D$5)</f>
        <v>#NAME?</v>
      </c>
      <c r="E33" s="52" t="e">
        <f ca="1">_xll.RiskPercentile('Paid Bootstrap'!$AR$266,$B33,E$5)</f>
        <v>#NAME?</v>
      </c>
      <c r="F33" s="52" t="e">
        <f ca="1">_xll.RiskPercentile('Paid Bootstrap'!$AR$266,$B33,F$5)</f>
        <v>#NAME?</v>
      </c>
      <c r="G33" s="52" t="e">
        <f ca="1">_xll.RiskPercentile('Paid Bootstrap'!$AR$266,$B33,G$5)</f>
        <v>#NAME?</v>
      </c>
      <c r="H33" s="52" t="e">
        <f ca="1">_xll.RiskPercentile('Paid Bootstrap'!$AR$266,$B33,H$5)</f>
        <v>#NAME?</v>
      </c>
      <c r="I33" s="52" t="e">
        <f ca="1">_xll.RiskPercentile('Paid Bootstrap'!$AR$266,$B33,I$5)</f>
        <v>#NAME?</v>
      </c>
      <c r="J33" s="52" t="e">
        <f ca="1">_xll.RiskPercentile('Paid Bootstrap'!$AR$266,$B33,J$5)</f>
        <v>#NAME?</v>
      </c>
      <c r="K33" s="52" t="e">
        <f ca="1">_xll.RiskPercentile('Paid Bootstrap'!$AR$266,$B33,K$5)</f>
        <v>#NAME?</v>
      </c>
      <c r="L33" s="52" t="e">
        <f ca="1">_xll.RiskPercentile('Paid Bootstrap'!$AR$266,$B33,L$5)</f>
        <v>#NAME?</v>
      </c>
      <c r="M33" s="52" t="e">
        <f ca="1">_xll.RiskPercentile('Paid Bootstrap'!$AR$266,$B33,M$5)</f>
        <v>#NAME?</v>
      </c>
      <c r="N33" s="52" t="e">
        <f ca="1">_xll.RiskPercentile('Paid Bootstrap'!$AR$266,$B33,N$5)</f>
        <v>#NAME?</v>
      </c>
      <c r="O33" s="52" t="e">
        <f ca="1">_xll.RiskPercentile('Paid Bootstrap'!$AR$266,$B33,O$5)</f>
        <v>#NAME?</v>
      </c>
      <c r="P33" s="52" t="e">
        <f ca="1">_xll.RiskPercentile('Paid Bootstrap'!$AR$266,$B33,P$5)</f>
        <v>#NAME?</v>
      </c>
      <c r="Q33" s="52" t="e">
        <f ca="1">_xll.RiskPercentile('Paid Bootstrap'!$AR$266,$B33,Q$5)</f>
        <v>#NAME?</v>
      </c>
      <c r="R33" s="52" t="e">
        <f ca="1">_xll.RiskPercentile('Paid Bootstrap'!$AR$266,$B33,R$5)</f>
        <v>#NAME?</v>
      </c>
      <c r="S33" s="52" t="e">
        <f ca="1">_xll.RiskPercentile('Paid Bootstrap'!$AR$266,$B33,S$5)</f>
        <v>#NAME?</v>
      </c>
      <c r="T33" s="52" t="e">
        <f ca="1">_xll.RiskPercentile('Paid Bootstrap'!$AR$266,$B33,T$5)</f>
        <v>#NAME?</v>
      </c>
      <c r="U33" s="52" t="e">
        <f ca="1">_xll.RiskPercentile('Paid Bootstrap'!$AR$266,$B33,U$5)</f>
        <v>#NAME?</v>
      </c>
      <c r="V33" s="52" t="e">
        <f ca="1">_xll.RiskPercentile('Paid Bootstrap'!$AR$266,$B33,V$5)</f>
        <v>#NAME?</v>
      </c>
      <c r="W33" s="52" t="e">
        <f ca="1">_xll.RiskPercentile('Paid Bootstrap'!$AR$266,$B33,W$5)</f>
        <v>#NAME?</v>
      </c>
      <c r="X33" s="52" t="e">
        <f ca="1">_xll.RiskPercentile('Paid Bootstrap'!$AR$266,$B33,X$5)</f>
        <v>#NAME?</v>
      </c>
      <c r="Y33" s="52" t="e">
        <f ca="1">_xll.RiskPercentile('Paid Bootstrap'!$AR$266,$B33,Y$5)</f>
        <v>#NAME?</v>
      </c>
      <c r="Z33" s="52" t="e">
        <f ca="1">_xll.RiskPercentile('Paid Bootstrap'!$AR$266,$B33,Z$5)</f>
        <v>#NAME?</v>
      </c>
      <c r="AA33" s="52" t="e">
        <f ca="1">_xll.RiskPercentile('Paid Bootstrap'!$AR$266,$B33,AA$5)</f>
        <v>#NAME?</v>
      </c>
      <c r="AB33" s="52" t="e">
        <f ca="1">_xll.RiskPercentile('Paid Bootstrap'!$AR$266,$B33,AB$5)</f>
        <v>#NAME?</v>
      </c>
      <c r="AC33" s="52" t="e">
        <f ca="1">_xll.RiskPercentile('Paid Bootstrap'!$AR$266,$B33,AC$5)</f>
        <v>#NAME?</v>
      </c>
    </row>
    <row r="34" spans="2:29" x14ac:dyDescent="0.25">
      <c r="B34" s="125">
        <f t="shared" si="11"/>
        <v>0.2</v>
      </c>
      <c r="C34" s="52" t="e">
        <f ca="1">_xll.RiskPercentile('Paid Bootstrap'!$AR$266,$B34,C$5)</f>
        <v>#NAME?</v>
      </c>
      <c r="D34" s="52" t="e">
        <f ca="1">_xll.RiskPercentile('Paid Bootstrap'!$AR$266,$B34,D$5)</f>
        <v>#NAME?</v>
      </c>
      <c r="E34" s="52" t="e">
        <f ca="1">_xll.RiskPercentile('Paid Bootstrap'!$AR$266,$B34,E$5)</f>
        <v>#NAME?</v>
      </c>
      <c r="F34" s="52" t="e">
        <f ca="1">_xll.RiskPercentile('Paid Bootstrap'!$AR$266,$B34,F$5)</f>
        <v>#NAME?</v>
      </c>
      <c r="G34" s="52" t="e">
        <f ca="1">_xll.RiskPercentile('Paid Bootstrap'!$AR$266,$B34,G$5)</f>
        <v>#NAME?</v>
      </c>
      <c r="H34" s="52" t="e">
        <f ca="1">_xll.RiskPercentile('Paid Bootstrap'!$AR$266,$B34,H$5)</f>
        <v>#NAME?</v>
      </c>
      <c r="I34" s="52" t="e">
        <f ca="1">_xll.RiskPercentile('Paid Bootstrap'!$AR$266,$B34,I$5)</f>
        <v>#NAME?</v>
      </c>
      <c r="J34" s="52" t="e">
        <f ca="1">_xll.RiskPercentile('Paid Bootstrap'!$AR$266,$B34,J$5)</f>
        <v>#NAME?</v>
      </c>
      <c r="K34" s="52" t="e">
        <f ca="1">_xll.RiskPercentile('Paid Bootstrap'!$AR$266,$B34,K$5)</f>
        <v>#NAME?</v>
      </c>
      <c r="L34" s="52" t="e">
        <f ca="1">_xll.RiskPercentile('Paid Bootstrap'!$AR$266,$B34,L$5)</f>
        <v>#NAME?</v>
      </c>
      <c r="M34" s="52" t="e">
        <f ca="1">_xll.RiskPercentile('Paid Bootstrap'!$AR$266,$B34,M$5)</f>
        <v>#NAME?</v>
      </c>
      <c r="N34" s="52" t="e">
        <f ca="1">_xll.RiskPercentile('Paid Bootstrap'!$AR$266,$B34,N$5)</f>
        <v>#NAME?</v>
      </c>
      <c r="O34" s="52" t="e">
        <f ca="1">_xll.RiskPercentile('Paid Bootstrap'!$AR$266,$B34,O$5)</f>
        <v>#NAME?</v>
      </c>
      <c r="P34" s="52" t="e">
        <f ca="1">_xll.RiskPercentile('Paid Bootstrap'!$AR$266,$B34,P$5)</f>
        <v>#NAME?</v>
      </c>
      <c r="Q34" s="52" t="e">
        <f ca="1">_xll.RiskPercentile('Paid Bootstrap'!$AR$266,$B34,Q$5)</f>
        <v>#NAME?</v>
      </c>
      <c r="R34" s="52" t="e">
        <f ca="1">_xll.RiskPercentile('Paid Bootstrap'!$AR$266,$B34,R$5)</f>
        <v>#NAME?</v>
      </c>
      <c r="S34" s="52" t="e">
        <f ca="1">_xll.RiskPercentile('Paid Bootstrap'!$AR$266,$B34,S$5)</f>
        <v>#NAME?</v>
      </c>
      <c r="T34" s="52" t="e">
        <f ca="1">_xll.RiskPercentile('Paid Bootstrap'!$AR$266,$B34,T$5)</f>
        <v>#NAME?</v>
      </c>
      <c r="U34" s="52" t="e">
        <f ca="1">_xll.RiskPercentile('Paid Bootstrap'!$AR$266,$B34,U$5)</f>
        <v>#NAME?</v>
      </c>
      <c r="V34" s="52" t="e">
        <f ca="1">_xll.RiskPercentile('Paid Bootstrap'!$AR$266,$B34,V$5)</f>
        <v>#NAME?</v>
      </c>
      <c r="W34" s="52" t="e">
        <f ca="1">_xll.RiskPercentile('Paid Bootstrap'!$AR$266,$B34,W$5)</f>
        <v>#NAME?</v>
      </c>
      <c r="X34" s="52" t="e">
        <f ca="1">_xll.RiskPercentile('Paid Bootstrap'!$AR$266,$B34,X$5)</f>
        <v>#NAME?</v>
      </c>
      <c r="Y34" s="52" t="e">
        <f ca="1">_xll.RiskPercentile('Paid Bootstrap'!$AR$266,$B34,Y$5)</f>
        <v>#NAME?</v>
      </c>
      <c r="Z34" s="52" t="e">
        <f ca="1">_xll.RiskPercentile('Paid Bootstrap'!$AR$266,$B34,Z$5)</f>
        <v>#NAME?</v>
      </c>
      <c r="AA34" s="52" t="e">
        <f ca="1">_xll.RiskPercentile('Paid Bootstrap'!$AR$266,$B34,AA$5)</f>
        <v>#NAME?</v>
      </c>
      <c r="AB34" s="52" t="e">
        <f ca="1">_xll.RiskPercentile('Paid Bootstrap'!$AR$266,$B34,AB$5)</f>
        <v>#NAME?</v>
      </c>
      <c r="AC34" s="52" t="e">
        <f ca="1">_xll.RiskPercentile('Paid Bootstrap'!$AR$266,$B34,AC$5)</f>
        <v>#NAME?</v>
      </c>
    </row>
    <row r="35" spans="2:29" x14ac:dyDescent="0.25">
      <c r="B35" s="125">
        <f t="shared" si="11"/>
        <v>0.25</v>
      </c>
      <c r="C35" s="52" t="e">
        <f ca="1">_xll.RiskPercentile('Paid Bootstrap'!$AR$266,$B35,C$5)</f>
        <v>#NAME?</v>
      </c>
      <c r="D35" s="52" t="e">
        <f ca="1">_xll.RiskPercentile('Paid Bootstrap'!$AR$266,$B35,D$5)</f>
        <v>#NAME?</v>
      </c>
      <c r="E35" s="52" t="e">
        <f ca="1">_xll.RiskPercentile('Paid Bootstrap'!$AR$266,$B35,E$5)</f>
        <v>#NAME?</v>
      </c>
      <c r="F35" s="52" t="e">
        <f ca="1">_xll.RiskPercentile('Paid Bootstrap'!$AR$266,$B35,F$5)</f>
        <v>#NAME?</v>
      </c>
      <c r="G35" s="52" t="e">
        <f ca="1">_xll.RiskPercentile('Paid Bootstrap'!$AR$266,$B35,G$5)</f>
        <v>#NAME?</v>
      </c>
      <c r="H35" s="52" t="e">
        <f ca="1">_xll.RiskPercentile('Paid Bootstrap'!$AR$266,$B35,H$5)</f>
        <v>#NAME?</v>
      </c>
      <c r="I35" s="52" t="e">
        <f ca="1">_xll.RiskPercentile('Paid Bootstrap'!$AR$266,$B35,I$5)</f>
        <v>#NAME?</v>
      </c>
      <c r="J35" s="52" t="e">
        <f ca="1">_xll.RiskPercentile('Paid Bootstrap'!$AR$266,$B35,J$5)</f>
        <v>#NAME?</v>
      </c>
      <c r="K35" s="52" t="e">
        <f ca="1">_xll.RiskPercentile('Paid Bootstrap'!$AR$266,$B35,K$5)</f>
        <v>#NAME?</v>
      </c>
      <c r="L35" s="52" t="e">
        <f ca="1">_xll.RiskPercentile('Paid Bootstrap'!$AR$266,$B35,L$5)</f>
        <v>#NAME?</v>
      </c>
      <c r="M35" s="52" t="e">
        <f ca="1">_xll.RiskPercentile('Paid Bootstrap'!$AR$266,$B35,M$5)</f>
        <v>#NAME?</v>
      </c>
      <c r="N35" s="52" t="e">
        <f ca="1">_xll.RiskPercentile('Paid Bootstrap'!$AR$266,$B35,N$5)</f>
        <v>#NAME?</v>
      </c>
      <c r="O35" s="52" t="e">
        <f ca="1">_xll.RiskPercentile('Paid Bootstrap'!$AR$266,$B35,O$5)</f>
        <v>#NAME?</v>
      </c>
      <c r="P35" s="52" t="e">
        <f ca="1">_xll.RiskPercentile('Paid Bootstrap'!$AR$266,$B35,P$5)</f>
        <v>#NAME?</v>
      </c>
      <c r="Q35" s="52" t="e">
        <f ca="1">_xll.RiskPercentile('Paid Bootstrap'!$AR$266,$B35,Q$5)</f>
        <v>#NAME?</v>
      </c>
      <c r="R35" s="52" t="e">
        <f ca="1">_xll.RiskPercentile('Paid Bootstrap'!$AR$266,$B35,R$5)</f>
        <v>#NAME?</v>
      </c>
      <c r="S35" s="52" t="e">
        <f ca="1">_xll.RiskPercentile('Paid Bootstrap'!$AR$266,$B35,S$5)</f>
        <v>#NAME?</v>
      </c>
      <c r="T35" s="52" t="e">
        <f ca="1">_xll.RiskPercentile('Paid Bootstrap'!$AR$266,$B35,T$5)</f>
        <v>#NAME?</v>
      </c>
      <c r="U35" s="52" t="e">
        <f ca="1">_xll.RiskPercentile('Paid Bootstrap'!$AR$266,$B35,U$5)</f>
        <v>#NAME?</v>
      </c>
      <c r="V35" s="52" t="e">
        <f ca="1">_xll.RiskPercentile('Paid Bootstrap'!$AR$266,$B35,V$5)</f>
        <v>#NAME?</v>
      </c>
      <c r="W35" s="52" t="e">
        <f ca="1">_xll.RiskPercentile('Paid Bootstrap'!$AR$266,$B35,W$5)</f>
        <v>#NAME?</v>
      </c>
      <c r="X35" s="52" t="e">
        <f ca="1">_xll.RiskPercentile('Paid Bootstrap'!$AR$266,$B35,X$5)</f>
        <v>#NAME?</v>
      </c>
      <c r="Y35" s="52" t="e">
        <f ca="1">_xll.RiskPercentile('Paid Bootstrap'!$AR$266,$B35,Y$5)</f>
        <v>#NAME?</v>
      </c>
      <c r="Z35" s="52" t="e">
        <f ca="1">_xll.RiskPercentile('Paid Bootstrap'!$AR$266,$B35,Z$5)</f>
        <v>#NAME?</v>
      </c>
      <c r="AA35" s="52" t="e">
        <f ca="1">_xll.RiskPercentile('Paid Bootstrap'!$AR$266,$B35,AA$5)</f>
        <v>#NAME?</v>
      </c>
      <c r="AB35" s="52" t="e">
        <f ca="1">_xll.RiskPercentile('Paid Bootstrap'!$AR$266,$B35,AB$5)</f>
        <v>#NAME?</v>
      </c>
      <c r="AC35" s="52" t="e">
        <f ca="1">_xll.RiskPercentile('Paid Bootstrap'!$AR$266,$B35,AC$5)</f>
        <v>#NAME?</v>
      </c>
    </row>
    <row r="36" spans="2:29" x14ac:dyDescent="0.25">
      <c r="B36" s="125">
        <f t="shared" si="11"/>
        <v>0.3</v>
      </c>
      <c r="C36" s="52" t="e">
        <f ca="1">_xll.RiskPercentile('Paid Bootstrap'!$AR$266,$B36,C$5)</f>
        <v>#NAME?</v>
      </c>
      <c r="D36" s="52" t="e">
        <f ca="1">_xll.RiskPercentile('Paid Bootstrap'!$AR$266,$B36,D$5)</f>
        <v>#NAME?</v>
      </c>
      <c r="E36" s="52" t="e">
        <f ca="1">_xll.RiskPercentile('Paid Bootstrap'!$AR$266,$B36,E$5)</f>
        <v>#NAME?</v>
      </c>
      <c r="F36" s="52" t="e">
        <f ca="1">_xll.RiskPercentile('Paid Bootstrap'!$AR$266,$B36,F$5)</f>
        <v>#NAME?</v>
      </c>
      <c r="G36" s="52" t="e">
        <f ca="1">_xll.RiskPercentile('Paid Bootstrap'!$AR$266,$B36,G$5)</f>
        <v>#NAME?</v>
      </c>
      <c r="H36" s="52" t="e">
        <f ca="1">_xll.RiskPercentile('Paid Bootstrap'!$AR$266,$B36,H$5)</f>
        <v>#NAME?</v>
      </c>
      <c r="I36" s="52" t="e">
        <f ca="1">_xll.RiskPercentile('Paid Bootstrap'!$AR$266,$B36,I$5)</f>
        <v>#NAME?</v>
      </c>
      <c r="J36" s="52" t="e">
        <f ca="1">_xll.RiskPercentile('Paid Bootstrap'!$AR$266,$B36,J$5)</f>
        <v>#NAME?</v>
      </c>
      <c r="K36" s="52" t="e">
        <f ca="1">_xll.RiskPercentile('Paid Bootstrap'!$AR$266,$B36,K$5)</f>
        <v>#NAME?</v>
      </c>
      <c r="L36" s="52" t="e">
        <f ca="1">_xll.RiskPercentile('Paid Bootstrap'!$AR$266,$B36,L$5)</f>
        <v>#NAME?</v>
      </c>
      <c r="M36" s="52" t="e">
        <f ca="1">_xll.RiskPercentile('Paid Bootstrap'!$AR$266,$B36,M$5)</f>
        <v>#NAME?</v>
      </c>
      <c r="N36" s="52" t="e">
        <f ca="1">_xll.RiskPercentile('Paid Bootstrap'!$AR$266,$B36,N$5)</f>
        <v>#NAME?</v>
      </c>
      <c r="O36" s="52" t="e">
        <f ca="1">_xll.RiskPercentile('Paid Bootstrap'!$AR$266,$B36,O$5)</f>
        <v>#NAME?</v>
      </c>
      <c r="P36" s="52" t="e">
        <f ca="1">_xll.RiskPercentile('Paid Bootstrap'!$AR$266,$B36,P$5)</f>
        <v>#NAME?</v>
      </c>
      <c r="Q36" s="52" t="e">
        <f ca="1">_xll.RiskPercentile('Paid Bootstrap'!$AR$266,$B36,Q$5)</f>
        <v>#NAME?</v>
      </c>
      <c r="R36" s="52" t="e">
        <f ca="1">_xll.RiskPercentile('Paid Bootstrap'!$AR$266,$B36,R$5)</f>
        <v>#NAME?</v>
      </c>
      <c r="S36" s="52" t="e">
        <f ca="1">_xll.RiskPercentile('Paid Bootstrap'!$AR$266,$B36,S$5)</f>
        <v>#NAME?</v>
      </c>
      <c r="T36" s="52" t="e">
        <f ca="1">_xll.RiskPercentile('Paid Bootstrap'!$AR$266,$B36,T$5)</f>
        <v>#NAME?</v>
      </c>
      <c r="U36" s="52" t="e">
        <f ca="1">_xll.RiskPercentile('Paid Bootstrap'!$AR$266,$B36,U$5)</f>
        <v>#NAME?</v>
      </c>
      <c r="V36" s="52" t="e">
        <f ca="1">_xll.RiskPercentile('Paid Bootstrap'!$AR$266,$B36,V$5)</f>
        <v>#NAME?</v>
      </c>
      <c r="W36" s="52" t="e">
        <f ca="1">_xll.RiskPercentile('Paid Bootstrap'!$AR$266,$B36,W$5)</f>
        <v>#NAME?</v>
      </c>
      <c r="X36" s="52" t="e">
        <f ca="1">_xll.RiskPercentile('Paid Bootstrap'!$AR$266,$B36,X$5)</f>
        <v>#NAME?</v>
      </c>
      <c r="Y36" s="52" t="e">
        <f ca="1">_xll.RiskPercentile('Paid Bootstrap'!$AR$266,$B36,Y$5)</f>
        <v>#NAME?</v>
      </c>
      <c r="Z36" s="52" t="e">
        <f ca="1">_xll.RiskPercentile('Paid Bootstrap'!$AR$266,$B36,Z$5)</f>
        <v>#NAME?</v>
      </c>
      <c r="AA36" s="52" t="e">
        <f ca="1">_xll.RiskPercentile('Paid Bootstrap'!$AR$266,$B36,AA$5)</f>
        <v>#NAME?</v>
      </c>
      <c r="AB36" s="52" t="e">
        <f ca="1">_xll.RiskPercentile('Paid Bootstrap'!$AR$266,$B36,AB$5)</f>
        <v>#NAME?</v>
      </c>
      <c r="AC36" s="52" t="e">
        <f ca="1">_xll.RiskPercentile('Paid Bootstrap'!$AR$266,$B36,AC$5)</f>
        <v>#NAME?</v>
      </c>
    </row>
    <row r="37" spans="2:29" x14ac:dyDescent="0.25">
      <c r="B37" s="125">
        <f t="shared" si="11"/>
        <v>0.35</v>
      </c>
      <c r="C37" s="52" t="e">
        <f ca="1">_xll.RiskPercentile('Paid Bootstrap'!$AR$266,$B37,C$5)</f>
        <v>#NAME?</v>
      </c>
      <c r="D37" s="52" t="e">
        <f ca="1">_xll.RiskPercentile('Paid Bootstrap'!$AR$266,$B37,D$5)</f>
        <v>#NAME?</v>
      </c>
      <c r="E37" s="52" t="e">
        <f ca="1">_xll.RiskPercentile('Paid Bootstrap'!$AR$266,$B37,E$5)</f>
        <v>#NAME?</v>
      </c>
      <c r="F37" s="52" t="e">
        <f ca="1">_xll.RiskPercentile('Paid Bootstrap'!$AR$266,$B37,F$5)</f>
        <v>#NAME?</v>
      </c>
      <c r="G37" s="52" t="e">
        <f ca="1">_xll.RiskPercentile('Paid Bootstrap'!$AR$266,$B37,G$5)</f>
        <v>#NAME?</v>
      </c>
      <c r="H37" s="52" t="e">
        <f ca="1">_xll.RiskPercentile('Paid Bootstrap'!$AR$266,$B37,H$5)</f>
        <v>#NAME?</v>
      </c>
      <c r="I37" s="52" t="e">
        <f ca="1">_xll.RiskPercentile('Paid Bootstrap'!$AR$266,$B37,I$5)</f>
        <v>#NAME?</v>
      </c>
      <c r="J37" s="52" t="e">
        <f ca="1">_xll.RiskPercentile('Paid Bootstrap'!$AR$266,$B37,J$5)</f>
        <v>#NAME?</v>
      </c>
      <c r="K37" s="52" t="e">
        <f ca="1">_xll.RiskPercentile('Paid Bootstrap'!$AR$266,$B37,K$5)</f>
        <v>#NAME?</v>
      </c>
      <c r="L37" s="52" t="e">
        <f ca="1">_xll.RiskPercentile('Paid Bootstrap'!$AR$266,$B37,L$5)</f>
        <v>#NAME?</v>
      </c>
      <c r="M37" s="52" t="e">
        <f ca="1">_xll.RiskPercentile('Paid Bootstrap'!$AR$266,$B37,M$5)</f>
        <v>#NAME?</v>
      </c>
      <c r="N37" s="52" t="e">
        <f ca="1">_xll.RiskPercentile('Paid Bootstrap'!$AR$266,$B37,N$5)</f>
        <v>#NAME?</v>
      </c>
      <c r="O37" s="52" t="e">
        <f ca="1">_xll.RiskPercentile('Paid Bootstrap'!$AR$266,$B37,O$5)</f>
        <v>#NAME?</v>
      </c>
      <c r="P37" s="52" t="e">
        <f ca="1">_xll.RiskPercentile('Paid Bootstrap'!$AR$266,$B37,P$5)</f>
        <v>#NAME?</v>
      </c>
      <c r="Q37" s="52" t="e">
        <f ca="1">_xll.RiskPercentile('Paid Bootstrap'!$AR$266,$B37,Q$5)</f>
        <v>#NAME?</v>
      </c>
      <c r="R37" s="52" t="e">
        <f ca="1">_xll.RiskPercentile('Paid Bootstrap'!$AR$266,$B37,R$5)</f>
        <v>#NAME?</v>
      </c>
      <c r="S37" s="52" t="e">
        <f ca="1">_xll.RiskPercentile('Paid Bootstrap'!$AR$266,$B37,S$5)</f>
        <v>#NAME?</v>
      </c>
      <c r="T37" s="52" t="e">
        <f ca="1">_xll.RiskPercentile('Paid Bootstrap'!$AR$266,$B37,T$5)</f>
        <v>#NAME?</v>
      </c>
      <c r="U37" s="52" t="e">
        <f ca="1">_xll.RiskPercentile('Paid Bootstrap'!$AR$266,$B37,U$5)</f>
        <v>#NAME?</v>
      </c>
      <c r="V37" s="52" t="e">
        <f ca="1">_xll.RiskPercentile('Paid Bootstrap'!$AR$266,$B37,V$5)</f>
        <v>#NAME?</v>
      </c>
      <c r="W37" s="52" t="e">
        <f ca="1">_xll.RiskPercentile('Paid Bootstrap'!$AR$266,$B37,W$5)</f>
        <v>#NAME?</v>
      </c>
      <c r="X37" s="52" t="e">
        <f ca="1">_xll.RiskPercentile('Paid Bootstrap'!$AR$266,$B37,X$5)</f>
        <v>#NAME?</v>
      </c>
      <c r="Y37" s="52" t="e">
        <f ca="1">_xll.RiskPercentile('Paid Bootstrap'!$AR$266,$B37,Y$5)</f>
        <v>#NAME?</v>
      </c>
      <c r="Z37" s="52" t="e">
        <f ca="1">_xll.RiskPercentile('Paid Bootstrap'!$AR$266,$B37,Z$5)</f>
        <v>#NAME?</v>
      </c>
      <c r="AA37" s="52" t="e">
        <f ca="1">_xll.RiskPercentile('Paid Bootstrap'!$AR$266,$B37,AA$5)</f>
        <v>#NAME?</v>
      </c>
      <c r="AB37" s="52" t="e">
        <f ca="1">_xll.RiskPercentile('Paid Bootstrap'!$AR$266,$B37,AB$5)</f>
        <v>#NAME?</v>
      </c>
      <c r="AC37" s="52" t="e">
        <f ca="1">_xll.RiskPercentile('Paid Bootstrap'!$AR$266,$B37,AC$5)</f>
        <v>#NAME?</v>
      </c>
    </row>
    <row r="38" spans="2:29" x14ac:dyDescent="0.25">
      <c r="B38" s="125">
        <f t="shared" si="11"/>
        <v>0.39999999999999997</v>
      </c>
      <c r="C38" s="52" t="e">
        <f ca="1">_xll.RiskPercentile('Paid Bootstrap'!$AR$266,$B38,C$5)</f>
        <v>#NAME?</v>
      </c>
      <c r="D38" s="52" t="e">
        <f ca="1">_xll.RiskPercentile('Paid Bootstrap'!$AR$266,$B38,D$5)</f>
        <v>#NAME?</v>
      </c>
      <c r="E38" s="52" t="e">
        <f ca="1">_xll.RiskPercentile('Paid Bootstrap'!$AR$266,$B38,E$5)</f>
        <v>#NAME?</v>
      </c>
      <c r="F38" s="52" t="e">
        <f ca="1">_xll.RiskPercentile('Paid Bootstrap'!$AR$266,$B38,F$5)</f>
        <v>#NAME?</v>
      </c>
      <c r="G38" s="52" t="e">
        <f ca="1">_xll.RiskPercentile('Paid Bootstrap'!$AR$266,$B38,G$5)</f>
        <v>#NAME?</v>
      </c>
      <c r="H38" s="52" t="e">
        <f ca="1">_xll.RiskPercentile('Paid Bootstrap'!$AR$266,$B38,H$5)</f>
        <v>#NAME?</v>
      </c>
      <c r="I38" s="52" t="e">
        <f ca="1">_xll.RiskPercentile('Paid Bootstrap'!$AR$266,$B38,I$5)</f>
        <v>#NAME?</v>
      </c>
      <c r="J38" s="52" t="e">
        <f ca="1">_xll.RiskPercentile('Paid Bootstrap'!$AR$266,$B38,J$5)</f>
        <v>#NAME?</v>
      </c>
      <c r="K38" s="52" t="e">
        <f ca="1">_xll.RiskPercentile('Paid Bootstrap'!$AR$266,$B38,K$5)</f>
        <v>#NAME?</v>
      </c>
      <c r="L38" s="52" t="e">
        <f ca="1">_xll.RiskPercentile('Paid Bootstrap'!$AR$266,$B38,L$5)</f>
        <v>#NAME?</v>
      </c>
      <c r="M38" s="52" t="e">
        <f ca="1">_xll.RiskPercentile('Paid Bootstrap'!$AR$266,$B38,M$5)</f>
        <v>#NAME?</v>
      </c>
      <c r="N38" s="52" t="e">
        <f ca="1">_xll.RiskPercentile('Paid Bootstrap'!$AR$266,$B38,N$5)</f>
        <v>#NAME?</v>
      </c>
      <c r="O38" s="52" t="e">
        <f ca="1">_xll.RiskPercentile('Paid Bootstrap'!$AR$266,$B38,O$5)</f>
        <v>#NAME?</v>
      </c>
      <c r="P38" s="52" t="e">
        <f ca="1">_xll.RiskPercentile('Paid Bootstrap'!$AR$266,$B38,P$5)</f>
        <v>#NAME?</v>
      </c>
      <c r="Q38" s="52" t="e">
        <f ca="1">_xll.RiskPercentile('Paid Bootstrap'!$AR$266,$B38,Q$5)</f>
        <v>#NAME?</v>
      </c>
      <c r="R38" s="52" t="e">
        <f ca="1">_xll.RiskPercentile('Paid Bootstrap'!$AR$266,$B38,R$5)</f>
        <v>#NAME?</v>
      </c>
      <c r="S38" s="52" t="e">
        <f ca="1">_xll.RiskPercentile('Paid Bootstrap'!$AR$266,$B38,S$5)</f>
        <v>#NAME?</v>
      </c>
      <c r="T38" s="52" t="e">
        <f ca="1">_xll.RiskPercentile('Paid Bootstrap'!$AR$266,$B38,T$5)</f>
        <v>#NAME?</v>
      </c>
      <c r="U38" s="52" t="e">
        <f ca="1">_xll.RiskPercentile('Paid Bootstrap'!$AR$266,$B38,U$5)</f>
        <v>#NAME?</v>
      </c>
      <c r="V38" s="52" t="e">
        <f ca="1">_xll.RiskPercentile('Paid Bootstrap'!$AR$266,$B38,V$5)</f>
        <v>#NAME?</v>
      </c>
      <c r="W38" s="52" t="e">
        <f ca="1">_xll.RiskPercentile('Paid Bootstrap'!$AR$266,$B38,W$5)</f>
        <v>#NAME?</v>
      </c>
      <c r="X38" s="52" t="e">
        <f ca="1">_xll.RiskPercentile('Paid Bootstrap'!$AR$266,$B38,X$5)</f>
        <v>#NAME?</v>
      </c>
      <c r="Y38" s="52" t="e">
        <f ca="1">_xll.RiskPercentile('Paid Bootstrap'!$AR$266,$B38,Y$5)</f>
        <v>#NAME?</v>
      </c>
      <c r="Z38" s="52" t="e">
        <f ca="1">_xll.RiskPercentile('Paid Bootstrap'!$AR$266,$B38,Z$5)</f>
        <v>#NAME?</v>
      </c>
      <c r="AA38" s="52" t="e">
        <f ca="1">_xll.RiskPercentile('Paid Bootstrap'!$AR$266,$B38,AA$5)</f>
        <v>#NAME?</v>
      </c>
      <c r="AB38" s="52" t="e">
        <f ca="1">_xll.RiskPercentile('Paid Bootstrap'!$AR$266,$B38,AB$5)</f>
        <v>#NAME?</v>
      </c>
      <c r="AC38" s="52" t="e">
        <f ca="1">_xll.RiskPercentile('Paid Bootstrap'!$AR$266,$B38,AC$5)</f>
        <v>#NAME?</v>
      </c>
    </row>
    <row r="39" spans="2:29" x14ac:dyDescent="0.25">
      <c r="B39" s="125">
        <f t="shared" si="11"/>
        <v>0.44999999999999996</v>
      </c>
      <c r="C39" s="52" t="e">
        <f ca="1">_xll.RiskPercentile('Paid Bootstrap'!$AR$266,$B39,C$5)</f>
        <v>#NAME?</v>
      </c>
      <c r="D39" s="52" t="e">
        <f ca="1">_xll.RiskPercentile('Paid Bootstrap'!$AR$266,$B39,D$5)</f>
        <v>#NAME?</v>
      </c>
      <c r="E39" s="52" t="e">
        <f ca="1">_xll.RiskPercentile('Paid Bootstrap'!$AR$266,$B39,E$5)</f>
        <v>#NAME?</v>
      </c>
      <c r="F39" s="52" t="e">
        <f ca="1">_xll.RiskPercentile('Paid Bootstrap'!$AR$266,$B39,F$5)</f>
        <v>#NAME?</v>
      </c>
      <c r="G39" s="52" t="e">
        <f ca="1">_xll.RiskPercentile('Paid Bootstrap'!$AR$266,$B39,G$5)</f>
        <v>#NAME?</v>
      </c>
      <c r="H39" s="52" t="e">
        <f ca="1">_xll.RiskPercentile('Paid Bootstrap'!$AR$266,$B39,H$5)</f>
        <v>#NAME?</v>
      </c>
      <c r="I39" s="52" t="e">
        <f ca="1">_xll.RiskPercentile('Paid Bootstrap'!$AR$266,$B39,I$5)</f>
        <v>#NAME?</v>
      </c>
      <c r="J39" s="52" t="e">
        <f ca="1">_xll.RiskPercentile('Paid Bootstrap'!$AR$266,$B39,J$5)</f>
        <v>#NAME?</v>
      </c>
      <c r="K39" s="52" t="e">
        <f ca="1">_xll.RiskPercentile('Paid Bootstrap'!$AR$266,$B39,K$5)</f>
        <v>#NAME?</v>
      </c>
      <c r="L39" s="52" t="e">
        <f ca="1">_xll.RiskPercentile('Paid Bootstrap'!$AR$266,$B39,L$5)</f>
        <v>#NAME?</v>
      </c>
      <c r="M39" s="52" t="e">
        <f ca="1">_xll.RiskPercentile('Paid Bootstrap'!$AR$266,$B39,M$5)</f>
        <v>#NAME?</v>
      </c>
      <c r="N39" s="52" t="e">
        <f ca="1">_xll.RiskPercentile('Paid Bootstrap'!$AR$266,$B39,N$5)</f>
        <v>#NAME?</v>
      </c>
      <c r="O39" s="52" t="e">
        <f ca="1">_xll.RiskPercentile('Paid Bootstrap'!$AR$266,$B39,O$5)</f>
        <v>#NAME?</v>
      </c>
      <c r="P39" s="52" t="e">
        <f ca="1">_xll.RiskPercentile('Paid Bootstrap'!$AR$266,$B39,P$5)</f>
        <v>#NAME?</v>
      </c>
      <c r="Q39" s="52" t="e">
        <f ca="1">_xll.RiskPercentile('Paid Bootstrap'!$AR$266,$B39,Q$5)</f>
        <v>#NAME?</v>
      </c>
      <c r="R39" s="52" t="e">
        <f ca="1">_xll.RiskPercentile('Paid Bootstrap'!$AR$266,$B39,R$5)</f>
        <v>#NAME?</v>
      </c>
      <c r="S39" s="52" t="e">
        <f ca="1">_xll.RiskPercentile('Paid Bootstrap'!$AR$266,$B39,S$5)</f>
        <v>#NAME?</v>
      </c>
      <c r="T39" s="52" t="e">
        <f ca="1">_xll.RiskPercentile('Paid Bootstrap'!$AR$266,$B39,T$5)</f>
        <v>#NAME?</v>
      </c>
      <c r="U39" s="52" t="e">
        <f ca="1">_xll.RiskPercentile('Paid Bootstrap'!$AR$266,$B39,U$5)</f>
        <v>#NAME?</v>
      </c>
      <c r="V39" s="52" t="e">
        <f ca="1">_xll.RiskPercentile('Paid Bootstrap'!$AR$266,$B39,V$5)</f>
        <v>#NAME?</v>
      </c>
      <c r="W39" s="52" t="e">
        <f ca="1">_xll.RiskPercentile('Paid Bootstrap'!$AR$266,$B39,W$5)</f>
        <v>#NAME?</v>
      </c>
      <c r="X39" s="52" t="e">
        <f ca="1">_xll.RiskPercentile('Paid Bootstrap'!$AR$266,$B39,X$5)</f>
        <v>#NAME?</v>
      </c>
      <c r="Y39" s="52" t="e">
        <f ca="1">_xll.RiskPercentile('Paid Bootstrap'!$AR$266,$B39,Y$5)</f>
        <v>#NAME?</v>
      </c>
      <c r="Z39" s="52" t="e">
        <f ca="1">_xll.RiskPercentile('Paid Bootstrap'!$AR$266,$B39,Z$5)</f>
        <v>#NAME?</v>
      </c>
      <c r="AA39" s="52" t="e">
        <f ca="1">_xll.RiskPercentile('Paid Bootstrap'!$AR$266,$B39,AA$5)</f>
        <v>#NAME?</v>
      </c>
      <c r="AB39" s="52" t="e">
        <f ca="1">_xll.RiskPercentile('Paid Bootstrap'!$AR$266,$B39,AB$5)</f>
        <v>#NAME?</v>
      </c>
      <c r="AC39" s="52" t="e">
        <f ca="1">_xll.RiskPercentile('Paid Bootstrap'!$AR$266,$B39,AC$5)</f>
        <v>#NAME?</v>
      </c>
    </row>
    <row r="40" spans="2:29" x14ac:dyDescent="0.25">
      <c r="B40" s="125">
        <f t="shared" si="11"/>
        <v>0.49999999999999994</v>
      </c>
      <c r="C40" s="52" t="e">
        <f ca="1">_xll.RiskPercentile('Paid Bootstrap'!$AR$266,$B40,C$5)</f>
        <v>#NAME?</v>
      </c>
      <c r="D40" s="52" t="e">
        <f ca="1">_xll.RiskPercentile('Paid Bootstrap'!$AR$266,$B40,D$5)</f>
        <v>#NAME?</v>
      </c>
      <c r="E40" s="52" t="e">
        <f ca="1">_xll.RiskPercentile('Paid Bootstrap'!$AR$266,$B40,E$5)</f>
        <v>#NAME?</v>
      </c>
      <c r="F40" s="52" t="e">
        <f ca="1">_xll.RiskPercentile('Paid Bootstrap'!$AR$266,$B40,F$5)</f>
        <v>#NAME?</v>
      </c>
      <c r="G40" s="52" t="e">
        <f ca="1">_xll.RiskPercentile('Paid Bootstrap'!$AR$266,$B40,G$5)</f>
        <v>#NAME?</v>
      </c>
      <c r="H40" s="52" t="e">
        <f ca="1">_xll.RiskPercentile('Paid Bootstrap'!$AR$266,$B40,H$5)</f>
        <v>#NAME?</v>
      </c>
      <c r="I40" s="52" t="e">
        <f ca="1">_xll.RiskPercentile('Paid Bootstrap'!$AR$266,$B40,I$5)</f>
        <v>#NAME?</v>
      </c>
      <c r="J40" s="52" t="e">
        <f ca="1">_xll.RiskPercentile('Paid Bootstrap'!$AR$266,$B40,J$5)</f>
        <v>#NAME?</v>
      </c>
      <c r="K40" s="52" t="e">
        <f ca="1">_xll.RiskPercentile('Paid Bootstrap'!$AR$266,$B40,K$5)</f>
        <v>#NAME?</v>
      </c>
      <c r="L40" s="52" t="e">
        <f ca="1">_xll.RiskPercentile('Paid Bootstrap'!$AR$266,$B40,L$5)</f>
        <v>#NAME?</v>
      </c>
      <c r="M40" s="52" t="e">
        <f ca="1">_xll.RiskPercentile('Paid Bootstrap'!$AR$266,$B40,M$5)</f>
        <v>#NAME?</v>
      </c>
      <c r="N40" s="52" t="e">
        <f ca="1">_xll.RiskPercentile('Paid Bootstrap'!$AR$266,$B40,N$5)</f>
        <v>#NAME?</v>
      </c>
      <c r="O40" s="52" t="e">
        <f ca="1">_xll.RiskPercentile('Paid Bootstrap'!$AR$266,$B40,O$5)</f>
        <v>#NAME?</v>
      </c>
      <c r="P40" s="52" t="e">
        <f ca="1">_xll.RiskPercentile('Paid Bootstrap'!$AR$266,$B40,P$5)</f>
        <v>#NAME?</v>
      </c>
      <c r="Q40" s="52" t="e">
        <f ca="1">_xll.RiskPercentile('Paid Bootstrap'!$AR$266,$B40,Q$5)</f>
        <v>#NAME?</v>
      </c>
      <c r="R40" s="52" t="e">
        <f ca="1">_xll.RiskPercentile('Paid Bootstrap'!$AR$266,$B40,R$5)</f>
        <v>#NAME?</v>
      </c>
      <c r="S40" s="52" t="e">
        <f ca="1">_xll.RiskPercentile('Paid Bootstrap'!$AR$266,$B40,S$5)</f>
        <v>#NAME?</v>
      </c>
      <c r="T40" s="52" t="e">
        <f ca="1">_xll.RiskPercentile('Paid Bootstrap'!$AR$266,$B40,T$5)</f>
        <v>#NAME?</v>
      </c>
      <c r="U40" s="52" t="e">
        <f ca="1">_xll.RiskPercentile('Paid Bootstrap'!$AR$266,$B40,U$5)</f>
        <v>#NAME?</v>
      </c>
      <c r="V40" s="52" t="e">
        <f ca="1">_xll.RiskPercentile('Paid Bootstrap'!$AR$266,$B40,V$5)</f>
        <v>#NAME?</v>
      </c>
      <c r="W40" s="52" t="e">
        <f ca="1">_xll.RiskPercentile('Paid Bootstrap'!$AR$266,$B40,W$5)</f>
        <v>#NAME?</v>
      </c>
      <c r="X40" s="52" t="e">
        <f ca="1">_xll.RiskPercentile('Paid Bootstrap'!$AR$266,$B40,X$5)</f>
        <v>#NAME?</v>
      </c>
      <c r="Y40" s="52" t="e">
        <f ca="1">_xll.RiskPercentile('Paid Bootstrap'!$AR$266,$B40,Y$5)</f>
        <v>#NAME?</v>
      </c>
      <c r="Z40" s="52" t="e">
        <f ca="1">_xll.RiskPercentile('Paid Bootstrap'!$AR$266,$B40,Z$5)</f>
        <v>#NAME?</v>
      </c>
      <c r="AA40" s="52" t="e">
        <f ca="1">_xll.RiskPercentile('Paid Bootstrap'!$AR$266,$B40,AA$5)</f>
        <v>#NAME?</v>
      </c>
      <c r="AB40" s="52" t="e">
        <f ca="1">_xll.RiskPercentile('Paid Bootstrap'!$AR$266,$B40,AB$5)</f>
        <v>#NAME?</v>
      </c>
      <c r="AC40" s="52" t="e">
        <f ca="1">_xll.RiskPercentile('Paid Bootstrap'!$AR$266,$B40,AC$5)</f>
        <v>#NAME?</v>
      </c>
    </row>
    <row r="41" spans="2:29" x14ac:dyDescent="0.25">
      <c r="B41" s="125">
        <f t="shared" si="11"/>
        <v>0.54999999999999993</v>
      </c>
      <c r="C41" s="52" t="e">
        <f ca="1">_xll.RiskPercentile('Paid Bootstrap'!$AR$266,$B41,C$5)</f>
        <v>#NAME?</v>
      </c>
      <c r="D41" s="52" t="e">
        <f ca="1">_xll.RiskPercentile('Paid Bootstrap'!$AR$266,$B41,D$5)</f>
        <v>#NAME?</v>
      </c>
      <c r="E41" s="52" t="e">
        <f ca="1">_xll.RiskPercentile('Paid Bootstrap'!$AR$266,$B41,E$5)</f>
        <v>#NAME?</v>
      </c>
      <c r="F41" s="52" t="e">
        <f ca="1">_xll.RiskPercentile('Paid Bootstrap'!$AR$266,$B41,F$5)</f>
        <v>#NAME?</v>
      </c>
      <c r="G41" s="52" t="e">
        <f ca="1">_xll.RiskPercentile('Paid Bootstrap'!$AR$266,$B41,G$5)</f>
        <v>#NAME?</v>
      </c>
      <c r="H41" s="52" t="e">
        <f ca="1">_xll.RiskPercentile('Paid Bootstrap'!$AR$266,$B41,H$5)</f>
        <v>#NAME?</v>
      </c>
      <c r="I41" s="52" t="e">
        <f ca="1">_xll.RiskPercentile('Paid Bootstrap'!$AR$266,$B41,I$5)</f>
        <v>#NAME?</v>
      </c>
      <c r="J41" s="52" t="e">
        <f ca="1">_xll.RiskPercentile('Paid Bootstrap'!$AR$266,$B41,J$5)</f>
        <v>#NAME?</v>
      </c>
      <c r="K41" s="52" t="e">
        <f ca="1">_xll.RiskPercentile('Paid Bootstrap'!$AR$266,$B41,K$5)</f>
        <v>#NAME?</v>
      </c>
      <c r="L41" s="52" t="e">
        <f ca="1">_xll.RiskPercentile('Paid Bootstrap'!$AR$266,$B41,L$5)</f>
        <v>#NAME?</v>
      </c>
      <c r="M41" s="52" t="e">
        <f ca="1">_xll.RiskPercentile('Paid Bootstrap'!$AR$266,$B41,M$5)</f>
        <v>#NAME?</v>
      </c>
      <c r="N41" s="52" t="e">
        <f ca="1">_xll.RiskPercentile('Paid Bootstrap'!$AR$266,$B41,N$5)</f>
        <v>#NAME?</v>
      </c>
      <c r="O41" s="52" t="e">
        <f ca="1">_xll.RiskPercentile('Paid Bootstrap'!$AR$266,$B41,O$5)</f>
        <v>#NAME?</v>
      </c>
      <c r="P41" s="52" t="e">
        <f ca="1">_xll.RiskPercentile('Paid Bootstrap'!$AR$266,$B41,P$5)</f>
        <v>#NAME?</v>
      </c>
      <c r="Q41" s="52" t="e">
        <f ca="1">_xll.RiskPercentile('Paid Bootstrap'!$AR$266,$B41,Q$5)</f>
        <v>#NAME?</v>
      </c>
      <c r="R41" s="52" t="e">
        <f ca="1">_xll.RiskPercentile('Paid Bootstrap'!$AR$266,$B41,R$5)</f>
        <v>#NAME?</v>
      </c>
      <c r="S41" s="52" t="e">
        <f ca="1">_xll.RiskPercentile('Paid Bootstrap'!$AR$266,$B41,S$5)</f>
        <v>#NAME?</v>
      </c>
      <c r="T41" s="52" t="e">
        <f ca="1">_xll.RiskPercentile('Paid Bootstrap'!$AR$266,$B41,T$5)</f>
        <v>#NAME?</v>
      </c>
      <c r="U41" s="52" t="e">
        <f ca="1">_xll.RiskPercentile('Paid Bootstrap'!$AR$266,$B41,U$5)</f>
        <v>#NAME?</v>
      </c>
      <c r="V41" s="52" t="e">
        <f ca="1">_xll.RiskPercentile('Paid Bootstrap'!$AR$266,$B41,V$5)</f>
        <v>#NAME?</v>
      </c>
      <c r="W41" s="52" t="e">
        <f ca="1">_xll.RiskPercentile('Paid Bootstrap'!$AR$266,$B41,W$5)</f>
        <v>#NAME?</v>
      </c>
      <c r="X41" s="52" t="e">
        <f ca="1">_xll.RiskPercentile('Paid Bootstrap'!$AR$266,$B41,X$5)</f>
        <v>#NAME?</v>
      </c>
      <c r="Y41" s="52" t="e">
        <f ca="1">_xll.RiskPercentile('Paid Bootstrap'!$AR$266,$B41,Y$5)</f>
        <v>#NAME?</v>
      </c>
      <c r="Z41" s="52" t="e">
        <f ca="1">_xll.RiskPercentile('Paid Bootstrap'!$AR$266,$B41,Z$5)</f>
        <v>#NAME?</v>
      </c>
      <c r="AA41" s="52" t="e">
        <f ca="1">_xll.RiskPercentile('Paid Bootstrap'!$AR$266,$B41,AA$5)</f>
        <v>#NAME?</v>
      </c>
      <c r="AB41" s="52" t="e">
        <f ca="1">_xll.RiskPercentile('Paid Bootstrap'!$AR$266,$B41,AB$5)</f>
        <v>#NAME?</v>
      </c>
      <c r="AC41" s="52" t="e">
        <f ca="1">_xll.RiskPercentile('Paid Bootstrap'!$AR$266,$B41,AC$5)</f>
        <v>#NAME?</v>
      </c>
    </row>
    <row r="42" spans="2:29" x14ac:dyDescent="0.25">
      <c r="B42" s="125">
        <f t="shared" si="11"/>
        <v>0.6</v>
      </c>
      <c r="C42" s="52" t="e">
        <f ca="1">_xll.RiskPercentile('Paid Bootstrap'!$AR$266,$B42,C$5)</f>
        <v>#NAME?</v>
      </c>
      <c r="D42" s="52" t="e">
        <f ca="1">_xll.RiskPercentile('Paid Bootstrap'!$AR$266,$B42,D$5)</f>
        <v>#NAME?</v>
      </c>
      <c r="E42" s="52" t="e">
        <f ca="1">_xll.RiskPercentile('Paid Bootstrap'!$AR$266,$B42,E$5)</f>
        <v>#NAME?</v>
      </c>
      <c r="F42" s="52" t="e">
        <f ca="1">_xll.RiskPercentile('Paid Bootstrap'!$AR$266,$B42,F$5)</f>
        <v>#NAME?</v>
      </c>
      <c r="G42" s="52" t="e">
        <f ca="1">_xll.RiskPercentile('Paid Bootstrap'!$AR$266,$B42,G$5)</f>
        <v>#NAME?</v>
      </c>
      <c r="H42" s="52" t="e">
        <f ca="1">_xll.RiskPercentile('Paid Bootstrap'!$AR$266,$B42,H$5)</f>
        <v>#NAME?</v>
      </c>
      <c r="I42" s="52" t="e">
        <f ca="1">_xll.RiskPercentile('Paid Bootstrap'!$AR$266,$B42,I$5)</f>
        <v>#NAME?</v>
      </c>
      <c r="J42" s="52" t="e">
        <f ca="1">_xll.RiskPercentile('Paid Bootstrap'!$AR$266,$B42,J$5)</f>
        <v>#NAME?</v>
      </c>
      <c r="K42" s="52" t="e">
        <f ca="1">_xll.RiskPercentile('Paid Bootstrap'!$AR$266,$B42,K$5)</f>
        <v>#NAME?</v>
      </c>
      <c r="L42" s="52" t="e">
        <f ca="1">_xll.RiskPercentile('Paid Bootstrap'!$AR$266,$B42,L$5)</f>
        <v>#NAME?</v>
      </c>
      <c r="M42" s="52" t="e">
        <f ca="1">_xll.RiskPercentile('Paid Bootstrap'!$AR$266,$B42,M$5)</f>
        <v>#NAME?</v>
      </c>
      <c r="N42" s="52" t="e">
        <f ca="1">_xll.RiskPercentile('Paid Bootstrap'!$AR$266,$B42,N$5)</f>
        <v>#NAME?</v>
      </c>
      <c r="O42" s="52" t="e">
        <f ca="1">_xll.RiskPercentile('Paid Bootstrap'!$AR$266,$B42,O$5)</f>
        <v>#NAME?</v>
      </c>
      <c r="P42" s="52" t="e">
        <f ca="1">_xll.RiskPercentile('Paid Bootstrap'!$AR$266,$B42,P$5)</f>
        <v>#NAME?</v>
      </c>
      <c r="Q42" s="52" t="e">
        <f ca="1">_xll.RiskPercentile('Paid Bootstrap'!$AR$266,$B42,Q$5)</f>
        <v>#NAME?</v>
      </c>
      <c r="R42" s="52" t="e">
        <f ca="1">_xll.RiskPercentile('Paid Bootstrap'!$AR$266,$B42,R$5)</f>
        <v>#NAME?</v>
      </c>
      <c r="S42" s="52" t="e">
        <f ca="1">_xll.RiskPercentile('Paid Bootstrap'!$AR$266,$B42,S$5)</f>
        <v>#NAME?</v>
      </c>
      <c r="T42" s="52" t="e">
        <f ca="1">_xll.RiskPercentile('Paid Bootstrap'!$AR$266,$B42,T$5)</f>
        <v>#NAME?</v>
      </c>
      <c r="U42" s="52" t="e">
        <f ca="1">_xll.RiskPercentile('Paid Bootstrap'!$AR$266,$B42,U$5)</f>
        <v>#NAME?</v>
      </c>
      <c r="V42" s="52" t="e">
        <f ca="1">_xll.RiskPercentile('Paid Bootstrap'!$AR$266,$B42,V$5)</f>
        <v>#NAME?</v>
      </c>
      <c r="W42" s="52" t="e">
        <f ca="1">_xll.RiskPercentile('Paid Bootstrap'!$AR$266,$B42,W$5)</f>
        <v>#NAME?</v>
      </c>
      <c r="X42" s="52" t="e">
        <f ca="1">_xll.RiskPercentile('Paid Bootstrap'!$AR$266,$B42,X$5)</f>
        <v>#NAME?</v>
      </c>
      <c r="Y42" s="52" t="e">
        <f ca="1">_xll.RiskPercentile('Paid Bootstrap'!$AR$266,$B42,Y$5)</f>
        <v>#NAME?</v>
      </c>
      <c r="Z42" s="52" t="e">
        <f ca="1">_xll.RiskPercentile('Paid Bootstrap'!$AR$266,$B42,Z$5)</f>
        <v>#NAME?</v>
      </c>
      <c r="AA42" s="52" t="e">
        <f ca="1">_xll.RiskPercentile('Paid Bootstrap'!$AR$266,$B42,AA$5)</f>
        <v>#NAME?</v>
      </c>
      <c r="AB42" s="52" t="e">
        <f ca="1">_xll.RiskPercentile('Paid Bootstrap'!$AR$266,$B42,AB$5)</f>
        <v>#NAME?</v>
      </c>
      <c r="AC42" s="52" t="e">
        <f ca="1">_xll.RiskPercentile('Paid Bootstrap'!$AR$266,$B42,AC$5)</f>
        <v>#NAME?</v>
      </c>
    </row>
    <row r="43" spans="2:29" x14ac:dyDescent="0.25">
      <c r="B43" s="125">
        <f t="shared" si="11"/>
        <v>0.65</v>
      </c>
      <c r="C43" s="52" t="e">
        <f ca="1">_xll.RiskPercentile('Paid Bootstrap'!$AR$266,$B43,C$5)</f>
        <v>#NAME?</v>
      </c>
      <c r="D43" s="52" t="e">
        <f ca="1">_xll.RiskPercentile('Paid Bootstrap'!$AR$266,$B43,D$5)</f>
        <v>#NAME?</v>
      </c>
      <c r="E43" s="52" t="e">
        <f ca="1">_xll.RiskPercentile('Paid Bootstrap'!$AR$266,$B43,E$5)</f>
        <v>#NAME?</v>
      </c>
      <c r="F43" s="52" t="e">
        <f ca="1">_xll.RiskPercentile('Paid Bootstrap'!$AR$266,$B43,F$5)</f>
        <v>#NAME?</v>
      </c>
      <c r="G43" s="52" t="e">
        <f ca="1">_xll.RiskPercentile('Paid Bootstrap'!$AR$266,$B43,G$5)</f>
        <v>#NAME?</v>
      </c>
      <c r="H43" s="52" t="e">
        <f ca="1">_xll.RiskPercentile('Paid Bootstrap'!$AR$266,$B43,H$5)</f>
        <v>#NAME?</v>
      </c>
      <c r="I43" s="52" t="e">
        <f ca="1">_xll.RiskPercentile('Paid Bootstrap'!$AR$266,$B43,I$5)</f>
        <v>#NAME?</v>
      </c>
      <c r="J43" s="52" t="e">
        <f ca="1">_xll.RiskPercentile('Paid Bootstrap'!$AR$266,$B43,J$5)</f>
        <v>#NAME?</v>
      </c>
      <c r="K43" s="52" t="e">
        <f ca="1">_xll.RiskPercentile('Paid Bootstrap'!$AR$266,$B43,K$5)</f>
        <v>#NAME?</v>
      </c>
      <c r="L43" s="52" t="e">
        <f ca="1">_xll.RiskPercentile('Paid Bootstrap'!$AR$266,$B43,L$5)</f>
        <v>#NAME?</v>
      </c>
      <c r="M43" s="52" t="e">
        <f ca="1">_xll.RiskPercentile('Paid Bootstrap'!$AR$266,$B43,M$5)</f>
        <v>#NAME?</v>
      </c>
      <c r="N43" s="52" t="e">
        <f ca="1">_xll.RiskPercentile('Paid Bootstrap'!$AR$266,$B43,N$5)</f>
        <v>#NAME?</v>
      </c>
      <c r="O43" s="52" t="e">
        <f ca="1">_xll.RiskPercentile('Paid Bootstrap'!$AR$266,$B43,O$5)</f>
        <v>#NAME?</v>
      </c>
      <c r="P43" s="52" t="e">
        <f ca="1">_xll.RiskPercentile('Paid Bootstrap'!$AR$266,$B43,P$5)</f>
        <v>#NAME?</v>
      </c>
      <c r="Q43" s="52" t="e">
        <f ca="1">_xll.RiskPercentile('Paid Bootstrap'!$AR$266,$B43,Q$5)</f>
        <v>#NAME?</v>
      </c>
      <c r="R43" s="52" t="e">
        <f ca="1">_xll.RiskPercentile('Paid Bootstrap'!$AR$266,$B43,R$5)</f>
        <v>#NAME?</v>
      </c>
      <c r="S43" s="52" t="e">
        <f ca="1">_xll.RiskPercentile('Paid Bootstrap'!$AR$266,$B43,S$5)</f>
        <v>#NAME?</v>
      </c>
      <c r="T43" s="52" t="e">
        <f ca="1">_xll.RiskPercentile('Paid Bootstrap'!$AR$266,$B43,T$5)</f>
        <v>#NAME?</v>
      </c>
      <c r="U43" s="52" t="e">
        <f ca="1">_xll.RiskPercentile('Paid Bootstrap'!$AR$266,$B43,U$5)</f>
        <v>#NAME?</v>
      </c>
      <c r="V43" s="52" t="e">
        <f ca="1">_xll.RiskPercentile('Paid Bootstrap'!$AR$266,$B43,V$5)</f>
        <v>#NAME?</v>
      </c>
      <c r="W43" s="52" t="e">
        <f ca="1">_xll.RiskPercentile('Paid Bootstrap'!$AR$266,$B43,W$5)</f>
        <v>#NAME?</v>
      </c>
      <c r="X43" s="52" t="e">
        <f ca="1">_xll.RiskPercentile('Paid Bootstrap'!$AR$266,$B43,X$5)</f>
        <v>#NAME?</v>
      </c>
      <c r="Y43" s="52" t="e">
        <f ca="1">_xll.RiskPercentile('Paid Bootstrap'!$AR$266,$B43,Y$5)</f>
        <v>#NAME?</v>
      </c>
      <c r="Z43" s="52" t="e">
        <f ca="1">_xll.RiskPercentile('Paid Bootstrap'!$AR$266,$B43,Z$5)</f>
        <v>#NAME?</v>
      </c>
      <c r="AA43" s="52" t="e">
        <f ca="1">_xll.RiskPercentile('Paid Bootstrap'!$AR$266,$B43,AA$5)</f>
        <v>#NAME?</v>
      </c>
      <c r="AB43" s="52" t="e">
        <f ca="1">_xll.RiskPercentile('Paid Bootstrap'!$AR$266,$B43,AB$5)</f>
        <v>#NAME?</v>
      </c>
      <c r="AC43" s="52" t="e">
        <f ca="1">_xll.RiskPercentile('Paid Bootstrap'!$AR$266,$B43,AC$5)</f>
        <v>#NAME?</v>
      </c>
    </row>
    <row r="44" spans="2:29" x14ac:dyDescent="0.25">
      <c r="B44" s="125">
        <f t="shared" si="11"/>
        <v>0.70000000000000007</v>
      </c>
      <c r="C44" s="52" t="e">
        <f ca="1">_xll.RiskPercentile('Paid Bootstrap'!$AR$266,$B44,C$5)</f>
        <v>#NAME?</v>
      </c>
      <c r="D44" s="52" t="e">
        <f ca="1">_xll.RiskPercentile('Paid Bootstrap'!$AR$266,$B44,D$5)</f>
        <v>#NAME?</v>
      </c>
      <c r="E44" s="52" t="e">
        <f ca="1">_xll.RiskPercentile('Paid Bootstrap'!$AR$266,$B44,E$5)</f>
        <v>#NAME?</v>
      </c>
      <c r="F44" s="52" t="e">
        <f ca="1">_xll.RiskPercentile('Paid Bootstrap'!$AR$266,$B44,F$5)</f>
        <v>#NAME?</v>
      </c>
      <c r="G44" s="52" t="e">
        <f ca="1">_xll.RiskPercentile('Paid Bootstrap'!$AR$266,$B44,G$5)</f>
        <v>#NAME?</v>
      </c>
      <c r="H44" s="52" t="e">
        <f ca="1">_xll.RiskPercentile('Paid Bootstrap'!$AR$266,$B44,H$5)</f>
        <v>#NAME?</v>
      </c>
      <c r="I44" s="52" t="e">
        <f ca="1">_xll.RiskPercentile('Paid Bootstrap'!$AR$266,$B44,I$5)</f>
        <v>#NAME?</v>
      </c>
      <c r="J44" s="52" t="e">
        <f ca="1">_xll.RiskPercentile('Paid Bootstrap'!$AR$266,$B44,J$5)</f>
        <v>#NAME?</v>
      </c>
      <c r="K44" s="52" t="e">
        <f ca="1">_xll.RiskPercentile('Paid Bootstrap'!$AR$266,$B44,K$5)</f>
        <v>#NAME?</v>
      </c>
      <c r="L44" s="52" t="e">
        <f ca="1">_xll.RiskPercentile('Paid Bootstrap'!$AR$266,$B44,L$5)</f>
        <v>#NAME?</v>
      </c>
      <c r="M44" s="52" t="e">
        <f ca="1">_xll.RiskPercentile('Paid Bootstrap'!$AR$266,$B44,M$5)</f>
        <v>#NAME?</v>
      </c>
      <c r="N44" s="52" t="e">
        <f ca="1">_xll.RiskPercentile('Paid Bootstrap'!$AR$266,$B44,N$5)</f>
        <v>#NAME?</v>
      </c>
      <c r="O44" s="52" t="e">
        <f ca="1">_xll.RiskPercentile('Paid Bootstrap'!$AR$266,$B44,O$5)</f>
        <v>#NAME?</v>
      </c>
      <c r="P44" s="52" t="e">
        <f ca="1">_xll.RiskPercentile('Paid Bootstrap'!$AR$266,$B44,P$5)</f>
        <v>#NAME?</v>
      </c>
      <c r="Q44" s="52" t="e">
        <f ca="1">_xll.RiskPercentile('Paid Bootstrap'!$AR$266,$B44,Q$5)</f>
        <v>#NAME?</v>
      </c>
      <c r="R44" s="52" t="e">
        <f ca="1">_xll.RiskPercentile('Paid Bootstrap'!$AR$266,$B44,R$5)</f>
        <v>#NAME?</v>
      </c>
      <c r="S44" s="52" t="e">
        <f ca="1">_xll.RiskPercentile('Paid Bootstrap'!$AR$266,$B44,S$5)</f>
        <v>#NAME?</v>
      </c>
      <c r="T44" s="52" t="e">
        <f ca="1">_xll.RiskPercentile('Paid Bootstrap'!$AR$266,$B44,T$5)</f>
        <v>#NAME?</v>
      </c>
      <c r="U44" s="52" t="e">
        <f ca="1">_xll.RiskPercentile('Paid Bootstrap'!$AR$266,$B44,U$5)</f>
        <v>#NAME?</v>
      </c>
      <c r="V44" s="52" t="e">
        <f ca="1">_xll.RiskPercentile('Paid Bootstrap'!$AR$266,$B44,V$5)</f>
        <v>#NAME?</v>
      </c>
      <c r="W44" s="52" t="e">
        <f ca="1">_xll.RiskPercentile('Paid Bootstrap'!$AR$266,$B44,W$5)</f>
        <v>#NAME?</v>
      </c>
      <c r="X44" s="52" t="e">
        <f ca="1">_xll.RiskPercentile('Paid Bootstrap'!$AR$266,$B44,X$5)</f>
        <v>#NAME?</v>
      </c>
      <c r="Y44" s="52" t="e">
        <f ca="1">_xll.RiskPercentile('Paid Bootstrap'!$AR$266,$B44,Y$5)</f>
        <v>#NAME?</v>
      </c>
      <c r="Z44" s="52" t="e">
        <f ca="1">_xll.RiskPercentile('Paid Bootstrap'!$AR$266,$B44,Z$5)</f>
        <v>#NAME?</v>
      </c>
      <c r="AA44" s="52" t="e">
        <f ca="1">_xll.RiskPercentile('Paid Bootstrap'!$AR$266,$B44,AA$5)</f>
        <v>#NAME?</v>
      </c>
      <c r="AB44" s="52" t="e">
        <f ca="1">_xll.RiskPercentile('Paid Bootstrap'!$AR$266,$B44,AB$5)</f>
        <v>#NAME?</v>
      </c>
      <c r="AC44" s="52" t="e">
        <f ca="1">_xll.RiskPercentile('Paid Bootstrap'!$AR$266,$B44,AC$5)</f>
        <v>#NAME?</v>
      </c>
    </row>
    <row r="45" spans="2:29" x14ac:dyDescent="0.25">
      <c r="B45" s="125">
        <f t="shared" si="11"/>
        <v>0.75000000000000011</v>
      </c>
      <c r="C45" s="52" t="e">
        <f ca="1">_xll.RiskPercentile('Paid Bootstrap'!$AR$266,$B45,C$5)</f>
        <v>#NAME?</v>
      </c>
      <c r="D45" s="52" t="e">
        <f ca="1">_xll.RiskPercentile('Paid Bootstrap'!$AR$266,$B45,D$5)</f>
        <v>#NAME?</v>
      </c>
      <c r="E45" s="52" t="e">
        <f ca="1">_xll.RiskPercentile('Paid Bootstrap'!$AR$266,$B45,E$5)</f>
        <v>#NAME?</v>
      </c>
      <c r="F45" s="52" t="e">
        <f ca="1">_xll.RiskPercentile('Paid Bootstrap'!$AR$266,$B45,F$5)</f>
        <v>#NAME?</v>
      </c>
      <c r="G45" s="52" t="e">
        <f ca="1">_xll.RiskPercentile('Paid Bootstrap'!$AR$266,$B45,G$5)</f>
        <v>#NAME?</v>
      </c>
      <c r="H45" s="52" t="e">
        <f ca="1">_xll.RiskPercentile('Paid Bootstrap'!$AR$266,$B45,H$5)</f>
        <v>#NAME?</v>
      </c>
      <c r="I45" s="52" t="e">
        <f ca="1">_xll.RiskPercentile('Paid Bootstrap'!$AR$266,$B45,I$5)</f>
        <v>#NAME?</v>
      </c>
      <c r="J45" s="52" t="e">
        <f ca="1">_xll.RiskPercentile('Paid Bootstrap'!$AR$266,$B45,J$5)</f>
        <v>#NAME?</v>
      </c>
      <c r="K45" s="52" t="e">
        <f ca="1">_xll.RiskPercentile('Paid Bootstrap'!$AR$266,$B45,K$5)</f>
        <v>#NAME?</v>
      </c>
      <c r="L45" s="52" t="e">
        <f ca="1">_xll.RiskPercentile('Paid Bootstrap'!$AR$266,$B45,L$5)</f>
        <v>#NAME?</v>
      </c>
      <c r="M45" s="52" t="e">
        <f ca="1">_xll.RiskPercentile('Paid Bootstrap'!$AR$266,$B45,M$5)</f>
        <v>#NAME?</v>
      </c>
      <c r="N45" s="52" t="e">
        <f ca="1">_xll.RiskPercentile('Paid Bootstrap'!$AR$266,$B45,N$5)</f>
        <v>#NAME?</v>
      </c>
      <c r="O45" s="52" t="e">
        <f ca="1">_xll.RiskPercentile('Paid Bootstrap'!$AR$266,$B45,O$5)</f>
        <v>#NAME?</v>
      </c>
      <c r="P45" s="52" t="e">
        <f ca="1">_xll.RiskPercentile('Paid Bootstrap'!$AR$266,$B45,P$5)</f>
        <v>#NAME?</v>
      </c>
      <c r="Q45" s="52" t="e">
        <f ca="1">_xll.RiskPercentile('Paid Bootstrap'!$AR$266,$B45,Q$5)</f>
        <v>#NAME?</v>
      </c>
      <c r="R45" s="52" t="e">
        <f ca="1">_xll.RiskPercentile('Paid Bootstrap'!$AR$266,$B45,R$5)</f>
        <v>#NAME?</v>
      </c>
      <c r="S45" s="52" t="e">
        <f ca="1">_xll.RiskPercentile('Paid Bootstrap'!$AR$266,$B45,S$5)</f>
        <v>#NAME?</v>
      </c>
      <c r="T45" s="52" t="e">
        <f ca="1">_xll.RiskPercentile('Paid Bootstrap'!$AR$266,$B45,T$5)</f>
        <v>#NAME?</v>
      </c>
      <c r="U45" s="52" t="e">
        <f ca="1">_xll.RiskPercentile('Paid Bootstrap'!$AR$266,$B45,U$5)</f>
        <v>#NAME?</v>
      </c>
      <c r="V45" s="52" t="e">
        <f ca="1">_xll.RiskPercentile('Paid Bootstrap'!$AR$266,$B45,V$5)</f>
        <v>#NAME?</v>
      </c>
      <c r="W45" s="52" t="e">
        <f ca="1">_xll.RiskPercentile('Paid Bootstrap'!$AR$266,$B45,W$5)</f>
        <v>#NAME?</v>
      </c>
      <c r="X45" s="52" t="e">
        <f ca="1">_xll.RiskPercentile('Paid Bootstrap'!$AR$266,$B45,X$5)</f>
        <v>#NAME?</v>
      </c>
      <c r="Y45" s="52" t="e">
        <f ca="1">_xll.RiskPercentile('Paid Bootstrap'!$AR$266,$B45,Y$5)</f>
        <v>#NAME?</v>
      </c>
      <c r="Z45" s="52" t="e">
        <f ca="1">_xll.RiskPercentile('Paid Bootstrap'!$AR$266,$B45,Z$5)</f>
        <v>#NAME?</v>
      </c>
      <c r="AA45" s="52" t="e">
        <f ca="1">_xll.RiskPercentile('Paid Bootstrap'!$AR$266,$B45,AA$5)</f>
        <v>#NAME?</v>
      </c>
      <c r="AB45" s="52" t="e">
        <f ca="1">_xll.RiskPercentile('Paid Bootstrap'!$AR$266,$B45,AB$5)</f>
        <v>#NAME?</v>
      </c>
      <c r="AC45" s="52" t="e">
        <f ca="1">_xll.RiskPercentile('Paid Bootstrap'!$AR$266,$B45,AC$5)</f>
        <v>#NAME?</v>
      </c>
    </row>
    <row r="46" spans="2:29" x14ac:dyDescent="0.25">
      <c r="B46" s="125">
        <f t="shared" si="11"/>
        <v>0.80000000000000016</v>
      </c>
      <c r="C46" s="52" t="e">
        <f ca="1">_xll.RiskPercentile('Paid Bootstrap'!$AR$266,$B46,C$5)</f>
        <v>#NAME?</v>
      </c>
      <c r="D46" s="52" t="e">
        <f ca="1">_xll.RiskPercentile('Paid Bootstrap'!$AR$266,$B46,D$5)</f>
        <v>#NAME?</v>
      </c>
      <c r="E46" s="52" t="e">
        <f ca="1">_xll.RiskPercentile('Paid Bootstrap'!$AR$266,$B46,E$5)</f>
        <v>#NAME?</v>
      </c>
      <c r="F46" s="52" t="e">
        <f ca="1">_xll.RiskPercentile('Paid Bootstrap'!$AR$266,$B46,F$5)</f>
        <v>#NAME?</v>
      </c>
      <c r="G46" s="52" t="e">
        <f ca="1">_xll.RiskPercentile('Paid Bootstrap'!$AR$266,$B46,G$5)</f>
        <v>#NAME?</v>
      </c>
      <c r="H46" s="52" t="e">
        <f ca="1">_xll.RiskPercentile('Paid Bootstrap'!$AR$266,$B46,H$5)</f>
        <v>#NAME?</v>
      </c>
      <c r="I46" s="52" t="e">
        <f ca="1">_xll.RiskPercentile('Paid Bootstrap'!$AR$266,$B46,I$5)</f>
        <v>#NAME?</v>
      </c>
      <c r="J46" s="52" t="e">
        <f ca="1">_xll.RiskPercentile('Paid Bootstrap'!$AR$266,$B46,J$5)</f>
        <v>#NAME?</v>
      </c>
      <c r="K46" s="52" t="e">
        <f ca="1">_xll.RiskPercentile('Paid Bootstrap'!$AR$266,$B46,K$5)</f>
        <v>#NAME?</v>
      </c>
      <c r="L46" s="52" t="e">
        <f ca="1">_xll.RiskPercentile('Paid Bootstrap'!$AR$266,$B46,L$5)</f>
        <v>#NAME?</v>
      </c>
      <c r="M46" s="52" t="e">
        <f ca="1">_xll.RiskPercentile('Paid Bootstrap'!$AR$266,$B46,M$5)</f>
        <v>#NAME?</v>
      </c>
      <c r="N46" s="52" t="e">
        <f ca="1">_xll.RiskPercentile('Paid Bootstrap'!$AR$266,$B46,N$5)</f>
        <v>#NAME?</v>
      </c>
      <c r="O46" s="52" t="e">
        <f ca="1">_xll.RiskPercentile('Paid Bootstrap'!$AR$266,$B46,O$5)</f>
        <v>#NAME?</v>
      </c>
      <c r="P46" s="52" t="e">
        <f ca="1">_xll.RiskPercentile('Paid Bootstrap'!$AR$266,$B46,P$5)</f>
        <v>#NAME?</v>
      </c>
      <c r="Q46" s="52" t="e">
        <f ca="1">_xll.RiskPercentile('Paid Bootstrap'!$AR$266,$B46,Q$5)</f>
        <v>#NAME?</v>
      </c>
      <c r="R46" s="52" t="e">
        <f ca="1">_xll.RiskPercentile('Paid Bootstrap'!$AR$266,$B46,R$5)</f>
        <v>#NAME?</v>
      </c>
      <c r="S46" s="52" t="e">
        <f ca="1">_xll.RiskPercentile('Paid Bootstrap'!$AR$266,$B46,S$5)</f>
        <v>#NAME?</v>
      </c>
      <c r="T46" s="52" t="e">
        <f ca="1">_xll.RiskPercentile('Paid Bootstrap'!$AR$266,$B46,T$5)</f>
        <v>#NAME?</v>
      </c>
      <c r="U46" s="52" t="e">
        <f ca="1">_xll.RiskPercentile('Paid Bootstrap'!$AR$266,$B46,U$5)</f>
        <v>#NAME?</v>
      </c>
      <c r="V46" s="52" t="e">
        <f ca="1">_xll.RiskPercentile('Paid Bootstrap'!$AR$266,$B46,V$5)</f>
        <v>#NAME?</v>
      </c>
      <c r="W46" s="52" t="e">
        <f ca="1">_xll.RiskPercentile('Paid Bootstrap'!$AR$266,$B46,W$5)</f>
        <v>#NAME?</v>
      </c>
      <c r="X46" s="52" t="e">
        <f ca="1">_xll.RiskPercentile('Paid Bootstrap'!$AR$266,$B46,X$5)</f>
        <v>#NAME?</v>
      </c>
      <c r="Y46" s="52" t="e">
        <f ca="1">_xll.RiskPercentile('Paid Bootstrap'!$AR$266,$B46,Y$5)</f>
        <v>#NAME?</v>
      </c>
      <c r="Z46" s="52" t="e">
        <f ca="1">_xll.RiskPercentile('Paid Bootstrap'!$AR$266,$B46,Z$5)</f>
        <v>#NAME?</v>
      </c>
      <c r="AA46" s="52" t="e">
        <f ca="1">_xll.RiskPercentile('Paid Bootstrap'!$AR$266,$B46,AA$5)</f>
        <v>#NAME?</v>
      </c>
      <c r="AB46" s="52" t="e">
        <f ca="1">_xll.RiskPercentile('Paid Bootstrap'!$AR$266,$B46,AB$5)</f>
        <v>#NAME?</v>
      </c>
      <c r="AC46" s="52" t="e">
        <f ca="1">_xll.RiskPercentile('Paid Bootstrap'!$AR$266,$B46,AC$5)</f>
        <v>#NAME?</v>
      </c>
    </row>
    <row r="47" spans="2:29" x14ac:dyDescent="0.25">
      <c r="B47" s="125">
        <f t="shared" si="11"/>
        <v>0.8500000000000002</v>
      </c>
      <c r="C47" s="52" t="e">
        <f ca="1">_xll.RiskPercentile('Paid Bootstrap'!$AR$266,$B47,C$5)</f>
        <v>#NAME?</v>
      </c>
      <c r="D47" s="52" t="e">
        <f ca="1">_xll.RiskPercentile('Paid Bootstrap'!$AR$266,$B47,D$5)</f>
        <v>#NAME?</v>
      </c>
      <c r="E47" s="52" t="e">
        <f ca="1">_xll.RiskPercentile('Paid Bootstrap'!$AR$266,$B47,E$5)</f>
        <v>#NAME?</v>
      </c>
      <c r="F47" s="52" t="e">
        <f ca="1">_xll.RiskPercentile('Paid Bootstrap'!$AR$266,$B47,F$5)</f>
        <v>#NAME?</v>
      </c>
      <c r="G47" s="52" t="e">
        <f ca="1">_xll.RiskPercentile('Paid Bootstrap'!$AR$266,$B47,G$5)</f>
        <v>#NAME?</v>
      </c>
      <c r="H47" s="52" t="e">
        <f ca="1">_xll.RiskPercentile('Paid Bootstrap'!$AR$266,$B47,H$5)</f>
        <v>#NAME?</v>
      </c>
      <c r="I47" s="52" t="e">
        <f ca="1">_xll.RiskPercentile('Paid Bootstrap'!$AR$266,$B47,I$5)</f>
        <v>#NAME?</v>
      </c>
      <c r="J47" s="52" t="e">
        <f ca="1">_xll.RiskPercentile('Paid Bootstrap'!$AR$266,$B47,J$5)</f>
        <v>#NAME?</v>
      </c>
      <c r="K47" s="52" t="e">
        <f ca="1">_xll.RiskPercentile('Paid Bootstrap'!$AR$266,$B47,K$5)</f>
        <v>#NAME?</v>
      </c>
      <c r="L47" s="52" t="e">
        <f ca="1">_xll.RiskPercentile('Paid Bootstrap'!$AR$266,$B47,L$5)</f>
        <v>#NAME?</v>
      </c>
      <c r="M47" s="52" t="e">
        <f ca="1">_xll.RiskPercentile('Paid Bootstrap'!$AR$266,$B47,M$5)</f>
        <v>#NAME?</v>
      </c>
      <c r="N47" s="52" t="e">
        <f ca="1">_xll.RiskPercentile('Paid Bootstrap'!$AR$266,$B47,N$5)</f>
        <v>#NAME?</v>
      </c>
      <c r="O47" s="52" t="e">
        <f ca="1">_xll.RiskPercentile('Paid Bootstrap'!$AR$266,$B47,O$5)</f>
        <v>#NAME?</v>
      </c>
      <c r="P47" s="52" t="e">
        <f ca="1">_xll.RiskPercentile('Paid Bootstrap'!$AR$266,$B47,P$5)</f>
        <v>#NAME?</v>
      </c>
      <c r="Q47" s="52" t="e">
        <f ca="1">_xll.RiskPercentile('Paid Bootstrap'!$AR$266,$B47,Q$5)</f>
        <v>#NAME?</v>
      </c>
      <c r="R47" s="52" t="e">
        <f ca="1">_xll.RiskPercentile('Paid Bootstrap'!$AR$266,$B47,R$5)</f>
        <v>#NAME?</v>
      </c>
      <c r="S47" s="52" t="e">
        <f ca="1">_xll.RiskPercentile('Paid Bootstrap'!$AR$266,$B47,S$5)</f>
        <v>#NAME?</v>
      </c>
      <c r="T47" s="52" t="e">
        <f ca="1">_xll.RiskPercentile('Paid Bootstrap'!$AR$266,$B47,T$5)</f>
        <v>#NAME?</v>
      </c>
      <c r="U47" s="52" t="e">
        <f ca="1">_xll.RiskPercentile('Paid Bootstrap'!$AR$266,$B47,U$5)</f>
        <v>#NAME?</v>
      </c>
      <c r="V47" s="52" t="e">
        <f ca="1">_xll.RiskPercentile('Paid Bootstrap'!$AR$266,$B47,V$5)</f>
        <v>#NAME?</v>
      </c>
      <c r="W47" s="52" t="e">
        <f ca="1">_xll.RiskPercentile('Paid Bootstrap'!$AR$266,$B47,W$5)</f>
        <v>#NAME?</v>
      </c>
      <c r="X47" s="52" t="e">
        <f ca="1">_xll.RiskPercentile('Paid Bootstrap'!$AR$266,$B47,X$5)</f>
        <v>#NAME?</v>
      </c>
      <c r="Y47" s="52" t="e">
        <f ca="1">_xll.RiskPercentile('Paid Bootstrap'!$AR$266,$B47,Y$5)</f>
        <v>#NAME?</v>
      </c>
      <c r="Z47" s="52" t="e">
        <f ca="1">_xll.RiskPercentile('Paid Bootstrap'!$AR$266,$B47,Z$5)</f>
        <v>#NAME?</v>
      </c>
      <c r="AA47" s="52" t="e">
        <f ca="1">_xll.RiskPercentile('Paid Bootstrap'!$AR$266,$B47,AA$5)</f>
        <v>#NAME?</v>
      </c>
      <c r="AB47" s="52" t="e">
        <f ca="1">_xll.RiskPercentile('Paid Bootstrap'!$AR$266,$B47,AB$5)</f>
        <v>#NAME?</v>
      </c>
      <c r="AC47" s="52" t="e">
        <f ca="1">_xll.RiskPercentile('Paid Bootstrap'!$AR$266,$B47,AC$5)</f>
        <v>#NAME?</v>
      </c>
    </row>
    <row r="48" spans="2:29" x14ac:dyDescent="0.25">
      <c r="B48" s="125">
        <f t="shared" si="11"/>
        <v>0.90000000000000024</v>
      </c>
      <c r="C48" s="52" t="e">
        <f ca="1">_xll.RiskPercentile('Paid Bootstrap'!$AR$266,$B48,C$5)</f>
        <v>#NAME?</v>
      </c>
      <c r="D48" s="52" t="e">
        <f ca="1">_xll.RiskPercentile('Paid Bootstrap'!$AR$266,$B48,D$5)</f>
        <v>#NAME?</v>
      </c>
      <c r="E48" s="52" t="e">
        <f ca="1">_xll.RiskPercentile('Paid Bootstrap'!$AR$266,$B48,E$5)</f>
        <v>#NAME?</v>
      </c>
      <c r="F48" s="52" t="e">
        <f ca="1">_xll.RiskPercentile('Paid Bootstrap'!$AR$266,$B48,F$5)</f>
        <v>#NAME?</v>
      </c>
      <c r="G48" s="52" t="e">
        <f ca="1">_xll.RiskPercentile('Paid Bootstrap'!$AR$266,$B48,G$5)</f>
        <v>#NAME?</v>
      </c>
      <c r="H48" s="52" t="e">
        <f ca="1">_xll.RiskPercentile('Paid Bootstrap'!$AR$266,$B48,H$5)</f>
        <v>#NAME?</v>
      </c>
      <c r="I48" s="52" t="e">
        <f ca="1">_xll.RiskPercentile('Paid Bootstrap'!$AR$266,$B48,I$5)</f>
        <v>#NAME?</v>
      </c>
      <c r="J48" s="52" t="e">
        <f ca="1">_xll.RiskPercentile('Paid Bootstrap'!$AR$266,$B48,J$5)</f>
        <v>#NAME?</v>
      </c>
      <c r="K48" s="52" t="e">
        <f ca="1">_xll.RiskPercentile('Paid Bootstrap'!$AR$266,$B48,K$5)</f>
        <v>#NAME?</v>
      </c>
      <c r="L48" s="52" t="e">
        <f ca="1">_xll.RiskPercentile('Paid Bootstrap'!$AR$266,$B48,L$5)</f>
        <v>#NAME?</v>
      </c>
      <c r="M48" s="52" t="e">
        <f ca="1">_xll.RiskPercentile('Paid Bootstrap'!$AR$266,$B48,M$5)</f>
        <v>#NAME?</v>
      </c>
      <c r="N48" s="52" t="e">
        <f ca="1">_xll.RiskPercentile('Paid Bootstrap'!$AR$266,$B48,N$5)</f>
        <v>#NAME?</v>
      </c>
      <c r="O48" s="52" t="e">
        <f ca="1">_xll.RiskPercentile('Paid Bootstrap'!$AR$266,$B48,O$5)</f>
        <v>#NAME?</v>
      </c>
      <c r="P48" s="52" t="e">
        <f ca="1">_xll.RiskPercentile('Paid Bootstrap'!$AR$266,$B48,P$5)</f>
        <v>#NAME?</v>
      </c>
      <c r="Q48" s="52" t="e">
        <f ca="1">_xll.RiskPercentile('Paid Bootstrap'!$AR$266,$B48,Q$5)</f>
        <v>#NAME?</v>
      </c>
      <c r="R48" s="52" t="e">
        <f ca="1">_xll.RiskPercentile('Paid Bootstrap'!$AR$266,$B48,R$5)</f>
        <v>#NAME?</v>
      </c>
      <c r="S48" s="52" t="e">
        <f ca="1">_xll.RiskPercentile('Paid Bootstrap'!$AR$266,$B48,S$5)</f>
        <v>#NAME?</v>
      </c>
      <c r="T48" s="52" t="e">
        <f ca="1">_xll.RiskPercentile('Paid Bootstrap'!$AR$266,$B48,T$5)</f>
        <v>#NAME?</v>
      </c>
      <c r="U48" s="52" t="e">
        <f ca="1">_xll.RiskPercentile('Paid Bootstrap'!$AR$266,$B48,U$5)</f>
        <v>#NAME?</v>
      </c>
      <c r="V48" s="52" t="e">
        <f ca="1">_xll.RiskPercentile('Paid Bootstrap'!$AR$266,$B48,V$5)</f>
        <v>#NAME?</v>
      </c>
      <c r="W48" s="52" t="e">
        <f ca="1">_xll.RiskPercentile('Paid Bootstrap'!$AR$266,$B48,W$5)</f>
        <v>#NAME?</v>
      </c>
      <c r="X48" s="52" t="e">
        <f ca="1">_xll.RiskPercentile('Paid Bootstrap'!$AR$266,$B48,X$5)</f>
        <v>#NAME?</v>
      </c>
      <c r="Y48" s="52" t="e">
        <f ca="1">_xll.RiskPercentile('Paid Bootstrap'!$AR$266,$B48,Y$5)</f>
        <v>#NAME?</v>
      </c>
      <c r="Z48" s="52" t="e">
        <f ca="1">_xll.RiskPercentile('Paid Bootstrap'!$AR$266,$B48,Z$5)</f>
        <v>#NAME?</v>
      </c>
      <c r="AA48" s="52" t="e">
        <f ca="1">_xll.RiskPercentile('Paid Bootstrap'!$AR$266,$B48,AA$5)</f>
        <v>#NAME?</v>
      </c>
      <c r="AB48" s="52" t="e">
        <f ca="1">_xll.RiskPercentile('Paid Bootstrap'!$AR$266,$B48,AB$5)</f>
        <v>#NAME?</v>
      </c>
      <c r="AC48" s="52" t="e">
        <f ca="1">_xll.RiskPercentile('Paid Bootstrap'!$AR$266,$B48,AC$5)</f>
        <v>#NAME?</v>
      </c>
    </row>
    <row r="49" spans="1:29" x14ac:dyDescent="0.25">
      <c r="B49" s="125">
        <f t="shared" si="11"/>
        <v>0.95000000000000029</v>
      </c>
      <c r="C49" s="52" t="e">
        <f ca="1">_xll.RiskPercentile('Paid Bootstrap'!$AR$266,$B49,C$5)</f>
        <v>#NAME?</v>
      </c>
      <c r="D49" s="52" t="e">
        <f ca="1">_xll.RiskPercentile('Paid Bootstrap'!$AR$266,$B49,D$5)</f>
        <v>#NAME?</v>
      </c>
      <c r="E49" s="52" t="e">
        <f ca="1">_xll.RiskPercentile('Paid Bootstrap'!$AR$266,$B49,E$5)</f>
        <v>#NAME?</v>
      </c>
      <c r="F49" s="52" t="e">
        <f ca="1">_xll.RiskPercentile('Paid Bootstrap'!$AR$266,$B49,F$5)</f>
        <v>#NAME?</v>
      </c>
      <c r="G49" s="52" t="e">
        <f ca="1">_xll.RiskPercentile('Paid Bootstrap'!$AR$266,$B49,G$5)</f>
        <v>#NAME?</v>
      </c>
      <c r="H49" s="52" t="e">
        <f ca="1">_xll.RiskPercentile('Paid Bootstrap'!$AR$266,$B49,H$5)</f>
        <v>#NAME?</v>
      </c>
      <c r="I49" s="52" t="e">
        <f ca="1">_xll.RiskPercentile('Paid Bootstrap'!$AR$266,$B49,I$5)</f>
        <v>#NAME?</v>
      </c>
      <c r="J49" s="52" t="e">
        <f ca="1">_xll.RiskPercentile('Paid Bootstrap'!$AR$266,$B49,J$5)</f>
        <v>#NAME?</v>
      </c>
      <c r="K49" s="52" t="e">
        <f ca="1">_xll.RiskPercentile('Paid Bootstrap'!$AR$266,$B49,K$5)</f>
        <v>#NAME?</v>
      </c>
      <c r="L49" s="52" t="e">
        <f ca="1">_xll.RiskPercentile('Paid Bootstrap'!$AR$266,$B49,L$5)</f>
        <v>#NAME?</v>
      </c>
      <c r="M49" s="52" t="e">
        <f ca="1">_xll.RiskPercentile('Paid Bootstrap'!$AR$266,$B49,M$5)</f>
        <v>#NAME?</v>
      </c>
      <c r="N49" s="52" t="e">
        <f ca="1">_xll.RiskPercentile('Paid Bootstrap'!$AR$266,$B49,N$5)</f>
        <v>#NAME?</v>
      </c>
      <c r="O49" s="52" t="e">
        <f ca="1">_xll.RiskPercentile('Paid Bootstrap'!$AR$266,$B49,O$5)</f>
        <v>#NAME?</v>
      </c>
      <c r="P49" s="52" t="e">
        <f ca="1">_xll.RiskPercentile('Paid Bootstrap'!$AR$266,$B49,P$5)</f>
        <v>#NAME?</v>
      </c>
      <c r="Q49" s="52" t="e">
        <f ca="1">_xll.RiskPercentile('Paid Bootstrap'!$AR$266,$B49,Q$5)</f>
        <v>#NAME?</v>
      </c>
      <c r="R49" s="52" t="e">
        <f ca="1">_xll.RiskPercentile('Paid Bootstrap'!$AR$266,$B49,R$5)</f>
        <v>#NAME?</v>
      </c>
      <c r="S49" s="52" t="e">
        <f ca="1">_xll.RiskPercentile('Paid Bootstrap'!$AR$266,$B49,S$5)</f>
        <v>#NAME?</v>
      </c>
      <c r="T49" s="52" t="e">
        <f ca="1">_xll.RiskPercentile('Paid Bootstrap'!$AR$266,$B49,T$5)</f>
        <v>#NAME?</v>
      </c>
      <c r="U49" s="52" t="e">
        <f ca="1">_xll.RiskPercentile('Paid Bootstrap'!$AR$266,$B49,U$5)</f>
        <v>#NAME?</v>
      </c>
      <c r="V49" s="52" t="e">
        <f ca="1">_xll.RiskPercentile('Paid Bootstrap'!$AR$266,$B49,V$5)</f>
        <v>#NAME?</v>
      </c>
      <c r="W49" s="52" t="e">
        <f ca="1">_xll.RiskPercentile('Paid Bootstrap'!$AR$266,$B49,W$5)</f>
        <v>#NAME?</v>
      </c>
      <c r="X49" s="52" t="e">
        <f ca="1">_xll.RiskPercentile('Paid Bootstrap'!$AR$266,$B49,X$5)</f>
        <v>#NAME?</v>
      </c>
      <c r="Y49" s="52" t="e">
        <f ca="1">_xll.RiskPercentile('Paid Bootstrap'!$AR$266,$B49,Y$5)</f>
        <v>#NAME?</v>
      </c>
      <c r="Z49" s="52" t="e">
        <f ca="1">_xll.RiskPercentile('Paid Bootstrap'!$AR$266,$B49,Z$5)</f>
        <v>#NAME?</v>
      </c>
      <c r="AA49" s="52" t="e">
        <f ca="1">_xll.RiskPercentile('Paid Bootstrap'!$AR$266,$B49,AA$5)</f>
        <v>#NAME?</v>
      </c>
      <c r="AB49" s="52" t="e">
        <f ca="1">_xll.RiskPercentile('Paid Bootstrap'!$AR$266,$B49,AB$5)</f>
        <v>#NAME?</v>
      </c>
      <c r="AC49" s="52" t="e">
        <f ca="1">_xll.RiskPercentile('Paid Bootstrap'!$AR$266,$B49,AC$5)</f>
        <v>#NAME?</v>
      </c>
    </row>
    <row r="50" spans="1:29" x14ac:dyDescent="0.25">
      <c r="E50" s="46"/>
      <c r="H50" s="46"/>
      <c r="T50" s="46"/>
    </row>
    <row r="51" spans="1:29" x14ac:dyDescent="0.25">
      <c r="E51" s="46"/>
      <c r="H51" s="46"/>
      <c r="T51" s="46"/>
    </row>
    <row r="52" spans="1:29" x14ac:dyDescent="0.25">
      <c r="A52" t="s">
        <v>48</v>
      </c>
      <c r="E52" s="46"/>
      <c r="H52" s="46"/>
      <c r="T52" s="46"/>
    </row>
    <row r="53" spans="1:29" x14ac:dyDescent="0.25">
      <c r="B53" s="125">
        <v>0.05</v>
      </c>
      <c r="C53" s="52" t="e">
        <f ca="1">_xll.RiskPercentile('Incurred Bootstrap'!$Y$266,$B53,C$5)</f>
        <v>#NAME?</v>
      </c>
      <c r="D53" s="52" t="e">
        <f ca="1">_xll.RiskPercentile('Incurred Bootstrap'!$Y$266,$B53,D$5)</f>
        <v>#NAME?</v>
      </c>
      <c r="E53" s="52" t="e">
        <f ca="1">_xll.RiskPercentile('Incurred Bootstrap'!$Y$266,$B53,E$5)</f>
        <v>#NAME?</v>
      </c>
      <c r="F53" s="52" t="e">
        <f ca="1">_xll.RiskPercentile('Incurred Bootstrap'!$Y$266,$B53,F$5)</f>
        <v>#NAME?</v>
      </c>
      <c r="G53" s="52" t="e">
        <f ca="1">_xll.RiskPercentile('Incurred Bootstrap'!$Y$266,$B53,G$5)</f>
        <v>#NAME?</v>
      </c>
      <c r="H53" s="52" t="e">
        <f ca="1">_xll.RiskPercentile('Incurred Bootstrap'!$Y$266,$B53,H$5)</f>
        <v>#NAME?</v>
      </c>
      <c r="I53" s="52" t="e">
        <f ca="1">_xll.RiskPercentile('Incurred Bootstrap'!$Y$266,$B53,I$5)</f>
        <v>#NAME?</v>
      </c>
      <c r="J53" s="52" t="e">
        <f ca="1">_xll.RiskPercentile('Incurred Bootstrap'!$Y$266,$B53,J$5)</f>
        <v>#NAME?</v>
      </c>
      <c r="K53" s="52" t="e">
        <f ca="1">_xll.RiskPercentile('Incurred Bootstrap'!$Y$266,$B53,K$5)</f>
        <v>#NAME?</v>
      </c>
      <c r="L53" s="52" t="e">
        <f ca="1">_xll.RiskPercentile('Incurred Bootstrap'!$Y$266,$B53,L$5)</f>
        <v>#NAME?</v>
      </c>
      <c r="M53" s="52" t="e">
        <f ca="1">_xll.RiskPercentile('Incurred Bootstrap'!$Y$266,$B53,M$5)</f>
        <v>#NAME?</v>
      </c>
      <c r="N53" s="52" t="e">
        <f ca="1">_xll.RiskPercentile('Incurred Bootstrap'!$Y$266,$B53,N$5)</f>
        <v>#NAME?</v>
      </c>
      <c r="O53" s="52" t="e">
        <f ca="1">_xll.RiskPercentile('Incurred Bootstrap'!$Y$266,$B53,O$5)</f>
        <v>#NAME?</v>
      </c>
      <c r="P53" s="52" t="e">
        <f ca="1">_xll.RiskPercentile('Incurred Bootstrap'!$Y$266,$B53,P$5)</f>
        <v>#NAME?</v>
      </c>
      <c r="Q53" s="52" t="e">
        <f ca="1">_xll.RiskPercentile('Incurred Bootstrap'!$Y$266,$B53,Q$5)</f>
        <v>#NAME?</v>
      </c>
      <c r="R53" s="52" t="e">
        <f ca="1">_xll.RiskPercentile('Incurred Bootstrap'!$Y$266,$B53,R$5)</f>
        <v>#NAME?</v>
      </c>
      <c r="S53" s="52" t="e">
        <f ca="1">_xll.RiskPercentile('Incurred Bootstrap'!$Y$266,$B53,S$5)</f>
        <v>#NAME?</v>
      </c>
      <c r="T53" s="52" t="e">
        <f ca="1">_xll.RiskPercentile('Incurred Bootstrap'!$Y$266,$B53,T$5)</f>
        <v>#NAME?</v>
      </c>
      <c r="U53" s="52" t="e">
        <f ca="1">_xll.RiskPercentile('Incurred Bootstrap'!$Y$266,$B53,U$5)</f>
        <v>#NAME?</v>
      </c>
      <c r="V53" s="52" t="e">
        <f ca="1">_xll.RiskPercentile('Incurred Bootstrap'!$Y$266,$B53,V$5)</f>
        <v>#NAME?</v>
      </c>
      <c r="W53" s="52" t="e">
        <f ca="1">_xll.RiskPercentile('Incurred Bootstrap'!$Y$266,$B53,W$5)</f>
        <v>#NAME?</v>
      </c>
      <c r="X53" s="52" t="e">
        <f ca="1">_xll.RiskPercentile('Incurred Bootstrap'!$Y$266,$B53,X$5)</f>
        <v>#NAME?</v>
      </c>
      <c r="Y53" s="52" t="e">
        <f ca="1">_xll.RiskPercentile('Incurred Bootstrap'!$Y$266,$B53,Y$5)</f>
        <v>#NAME?</v>
      </c>
      <c r="Z53" s="52" t="e">
        <f ca="1">_xll.RiskPercentile('Incurred Bootstrap'!$Y$266,$B53,Z$5)</f>
        <v>#NAME?</v>
      </c>
      <c r="AA53" s="52" t="e">
        <f ca="1">_xll.RiskPercentile('Incurred Bootstrap'!$Y$266,$B53,AA$5)</f>
        <v>#NAME?</v>
      </c>
      <c r="AB53" s="52" t="e">
        <f ca="1">_xll.RiskPercentile('Incurred Bootstrap'!$Y$266,$B53,AB$5)</f>
        <v>#NAME?</v>
      </c>
      <c r="AC53" s="52" t="e">
        <f ca="1">_xll.RiskPercentile('Incurred Bootstrap'!$Y$266,$B53,AC$5)</f>
        <v>#NAME?</v>
      </c>
    </row>
    <row r="54" spans="1:29" x14ac:dyDescent="0.25">
      <c r="B54" s="125">
        <f>+B53+5%</f>
        <v>0.1</v>
      </c>
      <c r="C54" s="52" t="e">
        <f ca="1">_xll.RiskPercentile('Incurred Bootstrap'!$Y$266,$B54,C$5)</f>
        <v>#NAME?</v>
      </c>
      <c r="D54" s="52" t="e">
        <f ca="1">_xll.RiskPercentile('Incurred Bootstrap'!$Y$266,$B54,D$5)</f>
        <v>#NAME?</v>
      </c>
      <c r="E54" s="52" t="e">
        <f ca="1">_xll.RiskPercentile('Incurred Bootstrap'!$Y$266,$B54,E$5)</f>
        <v>#NAME?</v>
      </c>
      <c r="F54" s="52" t="e">
        <f ca="1">_xll.RiskPercentile('Incurred Bootstrap'!$Y$266,$B54,F$5)</f>
        <v>#NAME?</v>
      </c>
      <c r="G54" s="52" t="e">
        <f ca="1">_xll.RiskPercentile('Incurred Bootstrap'!$Y$266,$B54,G$5)</f>
        <v>#NAME?</v>
      </c>
      <c r="H54" s="52" t="e">
        <f ca="1">_xll.RiskPercentile('Incurred Bootstrap'!$Y$266,$B54,H$5)</f>
        <v>#NAME?</v>
      </c>
      <c r="I54" s="52" t="e">
        <f ca="1">_xll.RiskPercentile('Incurred Bootstrap'!$Y$266,$B54,I$5)</f>
        <v>#NAME?</v>
      </c>
      <c r="J54" s="52" t="e">
        <f ca="1">_xll.RiskPercentile('Incurred Bootstrap'!$Y$266,$B54,J$5)</f>
        <v>#NAME?</v>
      </c>
      <c r="K54" s="52" t="e">
        <f ca="1">_xll.RiskPercentile('Incurred Bootstrap'!$Y$266,$B54,K$5)</f>
        <v>#NAME?</v>
      </c>
      <c r="L54" s="52" t="e">
        <f ca="1">_xll.RiskPercentile('Incurred Bootstrap'!$Y$266,$B54,L$5)</f>
        <v>#NAME?</v>
      </c>
      <c r="M54" s="52" t="e">
        <f ca="1">_xll.RiskPercentile('Incurred Bootstrap'!$Y$266,$B54,M$5)</f>
        <v>#NAME?</v>
      </c>
      <c r="N54" s="52" t="e">
        <f ca="1">_xll.RiskPercentile('Incurred Bootstrap'!$Y$266,$B54,N$5)</f>
        <v>#NAME?</v>
      </c>
      <c r="O54" s="52" t="e">
        <f ca="1">_xll.RiskPercentile('Incurred Bootstrap'!$Y$266,$B54,O$5)</f>
        <v>#NAME?</v>
      </c>
      <c r="P54" s="52" t="e">
        <f ca="1">_xll.RiskPercentile('Incurred Bootstrap'!$Y$266,$B54,P$5)</f>
        <v>#NAME?</v>
      </c>
      <c r="Q54" s="52" t="e">
        <f ca="1">_xll.RiskPercentile('Incurred Bootstrap'!$Y$266,$B54,Q$5)</f>
        <v>#NAME?</v>
      </c>
      <c r="R54" s="52" t="e">
        <f ca="1">_xll.RiskPercentile('Incurred Bootstrap'!$Y$266,$B54,R$5)</f>
        <v>#NAME?</v>
      </c>
      <c r="S54" s="52" t="e">
        <f ca="1">_xll.RiskPercentile('Incurred Bootstrap'!$Y$266,$B54,S$5)</f>
        <v>#NAME?</v>
      </c>
      <c r="T54" s="52" t="e">
        <f ca="1">_xll.RiskPercentile('Incurred Bootstrap'!$Y$266,$B54,T$5)</f>
        <v>#NAME?</v>
      </c>
      <c r="U54" s="52" t="e">
        <f ca="1">_xll.RiskPercentile('Incurred Bootstrap'!$Y$266,$B54,U$5)</f>
        <v>#NAME?</v>
      </c>
      <c r="V54" s="52" t="e">
        <f ca="1">_xll.RiskPercentile('Incurred Bootstrap'!$Y$266,$B54,V$5)</f>
        <v>#NAME?</v>
      </c>
      <c r="W54" s="52" t="e">
        <f ca="1">_xll.RiskPercentile('Incurred Bootstrap'!$Y$266,$B54,W$5)</f>
        <v>#NAME?</v>
      </c>
      <c r="X54" s="52" t="e">
        <f ca="1">_xll.RiskPercentile('Incurred Bootstrap'!$Y$266,$B54,X$5)</f>
        <v>#NAME?</v>
      </c>
      <c r="Y54" s="52" t="e">
        <f ca="1">_xll.RiskPercentile('Incurred Bootstrap'!$Y$266,$B54,Y$5)</f>
        <v>#NAME?</v>
      </c>
      <c r="Z54" s="52" t="e">
        <f ca="1">_xll.RiskPercentile('Incurred Bootstrap'!$Y$266,$B54,Z$5)</f>
        <v>#NAME?</v>
      </c>
      <c r="AA54" s="52" t="e">
        <f ca="1">_xll.RiskPercentile('Incurred Bootstrap'!$Y$266,$B54,AA$5)</f>
        <v>#NAME?</v>
      </c>
      <c r="AB54" s="52" t="e">
        <f ca="1">_xll.RiskPercentile('Incurred Bootstrap'!$Y$266,$B54,AB$5)</f>
        <v>#NAME?</v>
      </c>
      <c r="AC54" s="52" t="e">
        <f ca="1">_xll.RiskPercentile('Incurred Bootstrap'!$Y$266,$B54,AC$5)</f>
        <v>#NAME?</v>
      </c>
    </row>
    <row r="55" spans="1:29" x14ac:dyDescent="0.25">
      <c r="B55" s="125">
        <f t="shared" ref="B55:B71" si="12">+B54+5%</f>
        <v>0.15000000000000002</v>
      </c>
      <c r="C55" s="52" t="e">
        <f ca="1">_xll.RiskPercentile('Incurred Bootstrap'!$Y$266,$B55,C$5)</f>
        <v>#NAME?</v>
      </c>
      <c r="D55" s="52" t="e">
        <f ca="1">_xll.RiskPercentile('Incurred Bootstrap'!$Y$266,$B55,D$5)</f>
        <v>#NAME?</v>
      </c>
      <c r="E55" s="52" t="e">
        <f ca="1">_xll.RiskPercentile('Incurred Bootstrap'!$Y$266,$B55,E$5)</f>
        <v>#NAME?</v>
      </c>
      <c r="F55" s="52" t="e">
        <f ca="1">_xll.RiskPercentile('Incurred Bootstrap'!$Y$266,$B55,F$5)</f>
        <v>#NAME?</v>
      </c>
      <c r="G55" s="52" t="e">
        <f ca="1">_xll.RiskPercentile('Incurred Bootstrap'!$Y$266,$B55,G$5)</f>
        <v>#NAME?</v>
      </c>
      <c r="H55" s="52" t="e">
        <f ca="1">_xll.RiskPercentile('Incurred Bootstrap'!$Y$266,$B55,H$5)</f>
        <v>#NAME?</v>
      </c>
      <c r="I55" s="52" t="e">
        <f ca="1">_xll.RiskPercentile('Incurred Bootstrap'!$Y$266,$B55,I$5)</f>
        <v>#NAME?</v>
      </c>
      <c r="J55" s="52" t="e">
        <f ca="1">_xll.RiskPercentile('Incurred Bootstrap'!$Y$266,$B55,J$5)</f>
        <v>#NAME?</v>
      </c>
      <c r="K55" s="52" t="e">
        <f ca="1">_xll.RiskPercentile('Incurred Bootstrap'!$Y$266,$B55,K$5)</f>
        <v>#NAME?</v>
      </c>
      <c r="L55" s="52" t="e">
        <f ca="1">_xll.RiskPercentile('Incurred Bootstrap'!$Y$266,$B55,L$5)</f>
        <v>#NAME?</v>
      </c>
      <c r="M55" s="52" t="e">
        <f ca="1">_xll.RiskPercentile('Incurred Bootstrap'!$Y$266,$B55,M$5)</f>
        <v>#NAME?</v>
      </c>
      <c r="N55" s="52" t="e">
        <f ca="1">_xll.RiskPercentile('Incurred Bootstrap'!$Y$266,$B55,N$5)</f>
        <v>#NAME?</v>
      </c>
      <c r="O55" s="52" t="e">
        <f ca="1">_xll.RiskPercentile('Incurred Bootstrap'!$Y$266,$B55,O$5)</f>
        <v>#NAME?</v>
      </c>
      <c r="P55" s="52" t="e">
        <f ca="1">_xll.RiskPercentile('Incurred Bootstrap'!$Y$266,$B55,P$5)</f>
        <v>#NAME?</v>
      </c>
      <c r="Q55" s="52" t="e">
        <f ca="1">_xll.RiskPercentile('Incurred Bootstrap'!$Y$266,$B55,Q$5)</f>
        <v>#NAME?</v>
      </c>
      <c r="R55" s="52" t="e">
        <f ca="1">_xll.RiskPercentile('Incurred Bootstrap'!$Y$266,$B55,R$5)</f>
        <v>#NAME?</v>
      </c>
      <c r="S55" s="52" t="e">
        <f ca="1">_xll.RiskPercentile('Incurred Bootstrap'!$Y$266,$B55,S$5)</f>
        <v>#NAME?</v>
      </c>
      <c r="T55" s="52" t="e">
        <f ca="1">_xll.RiskPercentile('Incurred Bootstrap'!$Y$266,$B55,T$5)</f>
        <v>#NAME?</v>
      </c>
      <c r="U55" s="52" t="e">
        <f ca="1">_xll.RiskPercentile('Incurred Bootstrap'!$Y$266,$B55,U$5)</f>
        <v>#NAME?</v>
      </c>
      <c r="V55" s="52" t="e">
        <f ca="1">_xll.RiskPercentile('Incurred Bootstrap'!$Y$266,$B55,V$5)</f>
        <v>#NAME?</v>
      </c>
      <c r="W55" s="52" t="e">
        <f ca="1">_xll.RiskPercentile('Incurred Bootstrap'!$Y$266,$B55,W$5)</f>
        <v>#NAME?</v>
      </c>
      <c r="X55" s="52" t="e">
        <f ca="1">_xll.RiskPercentile('Incurred Bootstrap'!$Y$266,$B55,X$5)</f>
        <v>#NAME?</v>
      </c>
      <c r="Y55" s="52" t="e">
        <f ca="1">_xll.RiskPercentile('Incurred Bootstrap'!$Y$266,$B55,Y$5)</f>
        <v>#NAME?</v>
      </c>
      <c r="Z55" s="52" t="e">
        <f ca="1">_xll.RiskPercentile('Incurred Bootstrap'!$Y$266,$B55,Z$5)</f>
        <v>#NAME?</v>
      </c>
      <c r="AA55" s="52" t="e">
        <f ca="1">_xll.RiskPercentile('Incurred Bootstrap'!$Y$266,$B55,AA$5)</f>
        <v>#NAME?</v>
      </c>
      <c r="AB55" s="52" t="e">
        <f ca="1">_xll.RiskPercentile('Incurred Bootstrap'!$Y$266,$B55,AB$5)</f>
        <v>#NAME?</v>
      </c>
      <c r="AC55" s="52" t="e">
        <f ca="1">_xll.RiskPercentile('Incurred Bootstrap'!$Y$266,$B55,AC$5)</f>
        <v>#NAME?</v>
      </c>
    </row>
    <row r="56" spans="1:29" x14ac:dyDescent="0.25">
      <c r="B56" s="125">
        <f t="shared" si="12"/>
        <v>0.2</v>
      </c>
      <c r="C56" s="52" t="e">
        <f ca="1">_xll.RiskPercentile('Incurred Bootstrap'!$Y$266,$B56,C$5)</f>
        <v>#NAME?</v>
      </c>
      <c r="D56" s="52" t="e">
        <f ca="1">_xll.RiskPercentile('Incurred Bootstrap'!$Y$266,$B56,D$5)</f>
        <v>#NAME?</v>
      </c>
      <c r="E56" s="52" t="e">
        <f ca="1">_xll.RiskPercentile('Incurred Bootstrap'!$Y$266,$B56,E$5)</f>
        <v>#NAME?</v>
      </c>
      <c r="F56" s="52" t="e">
        <f ca="1">_xll.RiskPercentile('Incurred Bootstrap'!$Y$266,$B56,F$5)</f>
        <v>#NAME?</v>
      </c>
      <c r="G56" s="52" t="e">
        <f ca="1">_xll.RiskPercentile('Incurred Bootstrap'!$Y$266,$B56,G$5)</f>
        <v>#NAME?</v>
      </c>
      <c r="H56" s="52" t="e">
        <f ca="1">_xll.RiskPercentile('Incurred Bootstrap'!$Y$266,$B56,H$5)</f>
        <v>#NAME?</v>
      </c>
      <c r="I56" s="52" t="e">
        <f ca="1">_xll.RiskPercentile('Incurred Bootstrap'!$Y$266,$B56,I$5)</f>
        <v>#NAME?</v>
      </c>
      <c r="J56" s="52" t="e">
        <f ca="1">_xll.RiskPercentile('Incurred Bootstrap'!$Y$266,$B56,J$5)</f>
        <v>#NAME?</v>
      </c>
      <c r="K56" s="52" t="e">
        <f ca="1">_xll.RiskPercentile('Incurred Bootstrap'!$Y$266,$B56,K$5)</f>
        <v>#NAME?</v>
      </c>
      <c r="L56" s="52" t="e">
        <f ca="1">_xll.RiskPercentile('Incurred Bootstrap'!$Y$266,$B56,L$5)</f>
        <v>#NAME?</v>
      </c>
      <c r="M56" s="52" t="e">
        <f ca="1">_xll.RiskPercentile('Incurred Bootstrap'!$Y$266,$B56,M$5)</f>
        <v>#NAME?</v>
      </c>
      <c r="N56" s="52" t="e">
        <f ca="1">_xll.RiskPercentile('Incurred Bootstrap'!$Y$266,$B56,N$5)</f>
        <v>#NAME?</v>
      </c>
      <c r="O56" s="52" t="e">
        <f ca="1">_xll.RiskPercentile('Incurred Bootstrap'!$Y$266,$B56,O$5)</f>
        <v>#NAME?</v>
      </c>
      <c r="P56" s="52" t="e">
        <f ca="1">_xll.RiskPercentile('Incurred Bootstrap'!$Y$266,$B56,P$5)</f>
        <v>#NAME?</v>
      </c>
      <c r="Q56" s="52" t="e">
        <f ca="1">_xll.RiskPercentile('Incurred Bootstrap'!$Y$266,$B56,Q$5)</f>
        <v>#NAME?</v>
      </c>
      <c r="R56" s="52" t="e">
        <f ca="1">_xll.RiskPercentile('Incurred Bootstrap'!$Y$266,$B56,R$5)</f>
        <v>#NAME?</v>
      </c>
      <c r="S56" s="52" t="e">
        <f ca="1">_xll.RiskPercentile('Incurred Bootstrap'!$Y$266,$B56,S$5)</f>
        <v>#NAME?</v>
      </c>
      <c r="T56" s="52" t="e">
        <f ca="1">_xll.RiskPercentile('Incurred Bootstrap'!$Y$266,$B56,T$5)</f>
        <v>#NAME?</v>
      </c>
      <c r="U56" s="52" t="e">
        <f ca="1">_xll.RiskPercentile('Incurred Bootstrap'!$Y$266,$B56,U$5)</f>
        <v>#NAME?</v>
      </c>
      <c r="V56" s="52" t="e">
        <f ca="1">_xll.RiskPercentile('Incurred Bootstrap'!$Y$266,$B56,V$5)</f>
        <v>#NAME?</v>
      </c>
      <c r="W56" s="52" t="e">
        <f ca="1">_xll.RiskPercentile('Incurred Bootstrap'!$Y$266,$B56,W$5)</f>
        <v>#NAME?</v>
      </c>
      <c r="X56" s="52" t="e">
        <f ca="1">_xll.RiskPercentile('Incurred Bootstrap'!$Y$266,$B56,X$5)</f>
        <v>#NAME?</v>
      </c>
      <c r="Y56" s="52" t="e">
        <f ca="1">_xll.RiskPercentile('Incurred Bootstrap'!$Y$266,$B56,Y$5)</f>
        <v>#NAME?</v>
      </c>
      <c r="Z56" s="52" t="e">
        <f ca="1">_xll.RiskPercentile('Incurred Bootstrap'!$Y$266,$B56,Z$5)</f>
        <v>#NAME?</v>
      </c>
      <c r="AA56" s="52" t="e">
        <f ca="1">_xll.RiskPercentile('Incurred Bootstrap'!$Y$266,$B56,AA$5)</f>
        <v>#NAME?</v>
      </c>
      <c r="AB56" s="52" t="e">
        <f ca="1">_xll.RiskPercentile('Incurred Bootstrap'!$Y$266,$B56,AB$5)</f>
        <v>#NAME?</v>
      </c>
      <c r="AC56" s="52" t="e">
        <f ca="1">_xll.RiskPercentile('Incurred Bootstrap'!$Y$266,$B56,AC$5)</f>
        <v>#NAME?</v>
      </c>
    </row>
    <row r="57" spans="1:29" x14ac:dyDescent="0.25">
      <c r="B57" s="125">
        <f t="shared" si="12"/>
        <v>0.25</v>
      </c>
      <c r="C57" s="52" t="e">
        <f ca="1">_xll.RiskPercentile('Incurred Bootstrap'!$Y$266,$B57,C$5)</f>
        <v>#NAME?</v>
      </c>
      <c r="D57" s="52" t="e">
        <f ca="1">_xll.RiskPercentile('Incurred Bootstrap'!$Y$266,$B57,D$5)</f>
        <v>#NAME?</v>
      </c>
      <c r="E57" s="52" t="e">
        <f ca="1">_xll.RiskPercentile('Incurred Bootstrap'!$Y$266,$B57,E$5)</f>
        <v>#NAME?</v>
      </c>
      <c r="F57" s="52" t="e">
        <f ca="1">_xll.RiskPercentile('Incurred Bootstrap'!$Y$266,$B57,F$5)</f>
        <v>#NAME?</v>
      </c>
      <c r="G57" s="52" t="e">
        <f ca="1">_xll.RiskPercentile('Incurred Bootstrap'!$Y$266,$B57,G$5)</f>
        <v>#NAME?</v>
      </c>
      <c r="H57" s="52" t="e">
        <f ca="1">_xll.RiskPercentile('Incurred Bootstrap'!$Y$266,$B57,H$5)</f>
        <v>#NAME?</v>
      </c>
      <c r="I57" s="52" t="e">
        <f ca="1">_xll.RiskPercentile('Incurred Bootstrap'!$Y$266,$B57,I$5)</f>
        <v>#NAME?</v>
      </c>
      <c r="J57" s="52" t="e">
        <f ca="1">_xll.RiskPercentile('Incurred Bootstrap'!$Y$266,$B57,J$5)</f>
        <v>#NAME?</v>
      </c>
      <c r="K57" s="52" t="e">
        <f ca="1">_xll.RiskPercentile('Incurred Bootstrap'!$Y$266,$B57,K$5)</f>
        <v>#NAME?</v>
      </c>
      <c r="L57" s="52" t="e">
        <f ca="1">_xll.RiskPercentile('Incurred Bootstrap'!$Y$266,$B57,L$5)</f>
        <v>#NAME?</v>
      </c>
      <c r="M57" s="52" t="e">
        <f ca="1">_xll.RiskPercentile('Incurred Bootstrap'!$Y$266,$B57,M$5)</f>
        <v>#NAME?</v>
      </c>
      <c r="N57" s="52" t="e">
        <f ca="1">_xll.RiskPercentile('Incurred Bootstrap'!$Y$266,$B57,N$5)</f>
        <v>#NAME?</v>
      </c>
      <c r="O57" s="52" t="e">
        <f ca="1">_xll.RiskPercentile('Incurred Bootstrap'!$Y$266,$B57,O$5)</f>
        <v>#NAME?</v>
      </c>
      <c r="P57" s="52" t="e">
        <f ca="1">_xll.RiskPercentile('Incurred Bootstrap'!$Y$266,$B57,P$5)</f>
        <v>#NAME?</v>
      </c>
      <c r="Q57" s="52" t="e">
        <f ca="1">_xll.RiskPercentile('Incurred Bootstrap'!$Y$266,$B57,Q$5)</f>
        <v>#NAME?</v>
      </c>
      <c r="R57" s="52" t="e">
        <f ca="1">_xll.RiskPercentile('Incurred Bootstrap'!$Y$266,$B57,R$5)</f>
        <v>#NAME?</v>
      </c>
      <c r="S57" s="52" t="e">
        <f ca="1">_xll.RiskPercentile('Incurred Bootstrap'!$Y$266,$B57,S$5)</f>
        <v>#NAME?</v>
      </c>
      <c r="T57" s="52" t="e">
        <f ca="1">_xll.RiskPercentile('Incurred Bootstrap'!$Y$266,$B57,T$5)</f>
        <v>#NAME?</v>
      </c>
      <c r="U57" s="52" t="e">
        <f ca="1">_xll.RiskPercentile('Incurred Bootstrap'!$Y$266,$B57,U$5)</f>
        <v>#NAME?</v>
      </c>
      <c r="V57" s="52" t="e">
        <f ca="1">_xll.RiskPercentile('Incurred Bootstrap'!$Y$266,$B57,V$5)</f>
        <v>#NAME?</v>
      </c>
      <c r="W57" s="52" t="e">
        <f ca="1">_xll.RiskPercentile('Incurred Bootstrap'!$Y$266,$B57,W$5)</f>
        <v>#NAME?</v>
      </c>
      <c r="X57" s="52" t="e">
        <f ca="1">_xll.RiskPercentile('Incurred Bootstrap'!$Y$266,$B57,X$5)</f>
        <v>#NAME?</v>
      </c>
      <c r="Y57" s="52" t="e">
        <f ca="1">_xll.RiskPercentile('Incurred Bootstrap'!$Y$266,$B57,Y$5)</f>
        <v>#NAME?</v>
      </c>
      <c r="Z57" s="52" t="e">
        <f ca="1">_xll.RiskPercentile('Incurred Bootstrap'!$Y$266,$B57,Z$5)</f>
        <v>#NAME?</v>
      </c>
      <c r="AA57" s="52" t="e">
        <f ca="1">_xll.RiskPercentile('Incurred Bootstrap'!$Y$266,$B57,AA$5)</f>
        <v>#NAME?</v>
      </c>
      <c r="AB57" s="52" t="e">
        <f ca="1">_xll.RiskPercentile('Incurred Bootstrap'!$Y$266,$B57,AB$5)</f>
        <v>#NAME?</v>
      </c>
      <c r="AC57" s="52" t="e">
        <f ca="1">_xll.RiskPercentile('Incurred Bootstrap'!$Y$266,$B57,AC$5)</f>
        <v>#NAME?</v>
      </c>
    </row>
    <row r="58" spans="1:29" x14ac:dyDescent="0.25">
      <c r="B58" s="125">
        <f t="shared" si="12"/>
        <v>0.3</v>
      </c>
      <c r="C58" s="52" t="e">
        <f ca="1">_xll.RiskPercentile('Incurred Bootstrap'!$Y$266,$B58,C$5)</f>
        <v>#NAME?</v>
      </c>
      <c r="D58" s="52" t="e">
        <f ca="1">_xll.RiskPercentile('Incurred Bootstrap'!$Y$266,$B58,D$5)</f>
        <v>#NAME?</v>
      </c>
      <c r="E58" s="52" t="e">
        <f ca="1">_xll.RiskPercentile('Incurred Bootstrap'!$Y$266,$B58,E$5)</f>
        <v>#NAME?</v>
      </c>
      <c r="F58" s="52" t="e">
        <f ca="1">_xll.RiskPercentile('Incurred Bootstrap'!$Y$266,$B58,F$5)</f>
        <v>#NAME?</v>
      </c>
      <c r="G58" s="52" t="e">
        <f ca="1">_xll.RiskPercentile('Incurred Bootstrap'!$Y$266,$B58,G$5)</f>
        <v>#NAME?</v>
      </c>
      <c r="H58" s="52" t="e">
        <f ca="1">_xll.RiskPercentile('Incurred Bootstrap'!$Y$266,$B58,H$5)</f>
        <v>#NAME?</v>
      </c>
      <c r="I58" s="52" t="e">
        <f ca="1">_xll.RiskPercentile('Incurred Bootstrap'!$Y$266,$B58,I$5)</f>
        <v>#NAME?</v>
      </c>
      <c r="J58" s="52" t="e">
        <f ca="1">_xll.RiskPercentile('Incurred Bootstrap'!$Y$266,$B58,J$5)</f>
        <v>#NAME?</v>
      </c>
      <c r="K58" s="52" t="e">
        <f ca="1">_xll.RiskPercentile('Incurred Bootstrap'!$Y$266,$B58,K$5)</f>
        <v>#NAME?</v>
      </c>
      <c r="L58" s="52" t="e">
        <f ca="1">_xll.RiskPercentile('Incurred Bootstrap'!$Y$266,$B58,L$5)</f>
        <v>#NAME?</v>
      </c>
      <c r="M58" s="52" t="e">
        <f ca="1">_xll.RiskPercentile('Incurred Bootstrap'!$Y$266,$B58,M$5)</f>
        <v>#NAME?</v>
      </c>
      <c r="N58" s="52" t="e">
        <f ca="1">_xll.RiskPercentile('Incurred Bootstrap'!$Y$266,$B58,N$5)</f>
        <v>#NAME?</v>
      </c>
      <c r="O58" s="52" t="e">
        <f ca="1">_xll.RiskPercentile('Incurred Bootstrap'!$Y$266,$B58,O$5)</f>
        <v>#NAME?</v>
      </c>
      <c r="P58" s="52" t="e">
        <f ca="1">_xll.RiskPercentile('Incurred Bootstrap'!$Y$266,$B58,P$5)</f>
        <v>#NAME?</v>
      </c>
      <c r="Q58" s="52" t="e">
        <f ca="1">_xll.RiskPercentile('Incurred Bootstrap'!$Y$266,$B58,Q$5)</f>
        <v>#NAME?</v>
      </c>
      <c r="R58" s="52" t="e">
        <f ca="1">_xll.RiskPercentile('Incurred Bootstrap'!$Y$266,$B58,R$5)</f>
        <v>#NAME?</v>
      </c>
      <c r="S58" s="52" t="e">
        <f ca="1">_xll.RiskPercentile('Incurred Bootstrap'!$Y$266,$B58,S$5)</f>
        <v>#NAME?</v>
      </c>
      <c r="T58" s="52" t="e">
        <f ca="1">_xll.RiskPercentile('Incurred Bootstrap'!$Y$266,$B58,T$5)</f>
        <v>#NAME?</v>
      </c>
      <c r="U58" s="52" t="e">
        <f ca="1">_xll.RiskPercentile('Incurred Bootstrap'!$Y$266,$B58,U$5)</f>
        <v>#NAME?</v>
      </c>
      <c r="V58" s="52" t="e">
        <f ca="1">_xll.RiskPercentile('Incurred Bootstrap'!$Y$266,$B58,V$5)</f>
        <v>#NAME?</v>
      </c>
      <c r="W58" s="52" t="e">
        <f ca="1">_xll.RiskPercentile('Incurred Bootstrap'!$Y$266,$B58,W$5)</f>
        <v>#NAME?</v>
      </c>
      <c r="X58" s="52" t="e">
        <f ca="1">_xll.RiskPercentile('Incurred Bootstrap'!$Y$266,$B58,X$5)</f>
        <v>#NAME?</v>
      </c>
      <c r="Y58" s="52" t="e">
        <f ca="1">_xll.RiskPercentile('Incurred Bootstrap'!$Y$266,$B58,Y$5)</f>
        <v>#NAME?</v>
      </c>
      <c r="Z58" s="52" t="e">
        <f ca="1">_xll.RiskPercentile('Incurred Bootstrap'!$Y$266,$B58,Z$5)</f>
        <v>#NAME?</v>
      </c>
      <c r="AA58" s="52" t="e">
        <f ca="1">_xll.RiskPercentile('Incurred Bootstrap'!$Y$266,$B58,AA$5)</f>
        <v>#NAME?</v>
      </c>
      <c r="AB58" s="52" t="e">
        <f ca="1">_xll.RiskPercentile('Incurred Bootstrap'!$Y$266,$B58,AB$5)</f>
        <v>#NAME?</v>
      </c>
      <c r="AC58" s="52" t="e">
        <f ca="1">_xll.RiskPercentile('Incurred Bootstrap'!$Y$266,$B58,AC$5)</f>
        <v>#NAME?</v>
      </c>
    </row>
    <row r="59" spans="1:29" x14ac:dyDescent="0.25">
      <c r="B59" s="125">
        <f t="shared" si="12"/>
        <v>0.35</v>
      </c>
      <c r="C59" s="52" t="e">
        <f ca="1">_xll.RiskPercentile('Incurred Bootstrap'!$Y$266,$B59,C$5)</f>
        <v>#NAME?</v>
      </c>
      <c r="D59" s="52" t="e">
        <f ca="1">_xll.RiskPercentile('Incurred Bootstrap'!$Y$266,$B59,D$5)</f>
        <v>#NAME?</v>
      </c>
      <c r="E59" s="52" t="e">
        <f ca="1">_xll.RiskPercentile('Incurred Bootstrap'!$Y$266,$B59,E$5)</f>
        <v>#NAME?</v>
      </c>
      <c r="F59" s="52" t="e">
        <f ca="1">_xll.RiskPercentile('Incurred Bootstrap'!$Y$266,$B59,F$5)</f>
        <v>#NAME?</v>
      </c>
      <c r="G59" s="52" t="e">
        <f ca="1">_xll.RiskPercentile('Incurred Bootstrap'!$Y$266,$B59,G$5)</f>
        <v>#NAME?</v>
      </c>
      <c r="H59" s="52" t="e">
        <f ca="1">_xll.RiskPercentile('Incurred Bootstrap'!$Y$266,$B59,H$5)</f>
        <v>#NAME?</v>
      </c>
      <c r="I59" s="52" t="e">
        <f ca="1">_xll.RiskPercentile('Incurred Bootstrap'!$Y$266,$B59,I$5)</f>
        <v>#NAME?</v>
      </c>
      <c r="J59" s="52" t="e">
        <f ca="1">_xll.RiskPercentile('Incurred Bootstrap'!$Y$266,$B59,J$5)</f>
        <v>#NAME?</v>
      </c>
      <c r="K59" s="52" t="e">
        <f ca="1">_xll.RiskPercentile('Incurred Bootstrap'!$Y$266,$B59,K$5)</f>
        <v>#NAME?</v>
      </c>
      <c r="L59" s="52" t="e">
        <f ca="1">_xll.RiskPercentile('Incurred Bootstrap'!$Y$266,$B59,L$5)</f>
        <v>#NAME?</v>
      </c>
      <c r="M59" s="52" t="e">
        <f ca="1">_xll.RiskPercentile('Incurred Bootstrap'!$Y$266,$B59,M$5)</f>
        <v>#NAME?</v>
      </c>
      <c r="N59" s="52" t="e">
        <f ca="1">_xll.RiskPercentile('Incurred Bootstrap'!$Y$266,$B59,N$5)</f>
        <v>#NAME?</v>
      </c>
      <c r="O59" s="52" t="e">
        <f ca="1">_xll.RiskPercentile('Incurred Bootstrap'!$Y$266,$B59,O$5)</f>
        <v>#NAME?</v>
      </c>
      <c r="P59" s="52" t="e">
        <f ca="1">_xll.RiskPercentile('Incurred Bootstrap'!$Y$266,$B59,P$5)</f>
        <v>#NAME?</v>
      </c>
      <c r="Q59" s="52" t="e">
        <f ca="1">_xll.RiskPercentile('Incurred Bootstrap'!$Y$266,$B59,Q$5)</f>
        <v>#NAME?</v>
      </c>
      <c r="R59" s="52" t="e">
        <f ca="1">_xll.RiskPercentile('Incurred Bootstrap'!$Y$266,$B59,R$5)</f>
        <v>#NAME?</v>
      </c>
      <c r="S59" s="52" t="e">
        <f ca="1">_xll.RiskPercentile('Incurred Bootstrap'!$Y$266,$B59,S$5)</f>
        <v>#NAME?</v>
      </c>
      <c r="T59" s="52" t="e">
        <f ca="1">_xll.RiskPercentile('Incurred Bootstrap'!$Y$266,$B59,T$5)</f>
        <v>#NAME?</v>
      </c>
      <c r="U59" s="52" t="e">
        <f ca="1">_xll.RiskPercentile('Incurred Bootstrap'!$Y$266,$B59,U$5)</f>
        <v>#NAME?</v>
      </c>
      <c r="V59" s="52" t="e">
        <f ca="1">_xll.RiskPercentile('Incurred Bootstrap'!$Y$266,$B59,V$5)</f>
        <v>#NAME?</v>
      </c>
      <c r="W59" s="52" t="e">
        <f ca="1">_xll.RiskPercentile('Incurred Bootstrap'!$Y$266,$B59,W$5)</f>
        <v>#NAME?</v>
      </c>
      <c r="X59" s="52" t="e">
        <f ca="1">_xll.RiskPercentile('Incurred Bootstrap'!$Y$266,$B59,X$5)</f>
        <v>#NAME?</v>
      </c>
      <c r="Y59" s="52" t="e">
        <f ca="1">_xll.RiskPercentile('Incurred Bootstrap'!$Y$266,$B59,Y$5)</f>
        <v>#NAME?</v>
      </c>
      <c r="Z59" s="52" t="e">
        <f ca="1">_xll.RiskPercentile('Incurred Bootstrap'!$Y$266,$B59,Z$5)</f>
        <v>#NAME?</v>
      </c>
      <c r="AA59" s="52" t="e">
        <f ca="1">_xll.RiskPercentile('Incurred Bootstrap'!$Y$266,$B59,AA$5)</f>
        <v>#NAME?</v>
      </c>
      <c r="AB59" s="52" t="e">
        <f ca="1">_xll.RiskPercentile('Incurred Bootstrap'!$Y$266,$B59,AB$5)</f>
        <v>#NAME?</v>
      </c>
      <c r="AC59" s="52" t="e">
        <f ca="1">_xll.RiskPercentile('Incurred Bootstrap'!$Y$266,$B59,AC$5)</f>
        <v>#NAME?</v>
      </c>
    </row>
    <row r="60" spans="1:29" x14ac:dyDescent="0.25">
      <c r="B60" s="125">
        <f t="shared" si="12"/>
        <v>0.39999999999999997</v>
      </c>
      <c r="C60" s="52" t="e">
        <f ca="1">_xll.RiskPercentile('Incurred Bootstrap'!$Y$266,$B60,C$5)</f>
        <v>#NAME?</v>
      </c>
      <c r="D60" s="52" t="e">
        <f ca="1">_xll.RiskPercentile('Incurred Bootstrap'!$Y$266,$B60,D$5)</f>
        <v>#NAME?</v>
      </c>
      <c r="E60" s="52" t="e">
        <f ca="1">_xll.RiskPercentile('Incurred Bootstrap'!$Y$266,$B60,E$5)</f>
        <v>#NAME?</v>
      </c>
      <c r="F60" s="52" t="e">
        <f ca="1">_xll.RiskPercentile('Incurred Bootstrap'!$Y$266,$B60,F$5)</f>
        <v>#NAME?</v>
      </c>
      <c r="G60" s="52" t="e">
        <f ca="1">_xll.RiskPercentile('Incurred Bootstrap'!$Y$266,$B60,G$5)</f>
        <v>#NAME?</v>
      </c>
      <c r="H60" s="52" t="e">
        <f ca="1">_xll.RiskPercentile('Incurred Bootstrap'!$Y$266,$B60,H$5)</f>
        <v>#NAME?</v>
      </c>
      <c r="I60" s="52" t="e">
        <f ca="1">_xll.RiskPercentile('Incurred Bootstrap'!$Y$266,$B60,I$5)</f>
        <v>#NAME?</v>
      </c>
      <c r="J60" s="52" t="e">
        <f ca="1">_xll.RiskPercentile('Incurred Bootstrap'!$Y$266,$B60,J$5)</f>
        <v>#NAME?</v>
      </c>
      <c r="K60" s="52" t="e">
        <f ca="1">_xll.RiskPercentile('Incurred Bootstrap'!$Y$266,$B60,K$5)</f>
        <v>#NAME?</v>
      </c>
      <c r="L60" s="52" t="e">
        <f ca="1">_xll.RiskPercentile('Incurred Bootstrap'!$Y$266,$B60,L$5)</f>
        <v>#NAME?</v>
      </c>
      <c r="M60" s="52" t="e">
        <f ca="1">_xll.RiskPercentile('Incurred Bootstrap'!$Y$266,$B60,M$5)</f>
        <v>#NAME?</v>
      </c>
      <c r="N60" s="52" t="e">
        <f ca="1">_xll.RiskPercentile('Incurred Bootstrap'!$Y$266,$B60,N$5)</f>
        <v>#NAME?</v>
      </c>
      <c r="O60" s="52" t="e">
        <f ca="1">_xll.RiskPercentile('Incurred Bootstrap'!$Y$266,$B60,O$5)</f>
        <v>#NAME?</v>
      </c>
      <c r="P60" s="52" t="e">
        <f ca="1">_xll.RiskPercentile('Incurred Bootstrap'!$Y$266,$B60,P$5)</f>
        <v>#NAME?</v>
      </c>
      <c r="Q60" s="52" t="e">
        <f ca="1">_xll.RiskPercentile('Incurred Bootstrap'!$Y$266,$B60,Q$5)</f>
        <v>#NAME?</v>
      </c>
      <c r="R60" s="52" t="e">
        <f ca="1">_xll.RiskPercentile('Incurred Bootstrap'!$Y$266,$B60,R$5)</f>
        <v>#NAME?</v>
      </c>
      <c r="S60" s="52" t="e">
        <f ca="1">_xll.RiskPercentile('Incurred Bootstrap'!$Y$266,$B60,S$5)</f>
        <v>#NAME?</v>
      </c>
      <c r="T60" s="52" t="e">
        <f ca="1">_xll.RiskPercentile('Incurred Bootstrap'!$Y$266,$B60,T$5)</f>
        <v>#NAME?</v>
      </c>
      <c r="U60" s="52" t="e">
        <f ca="1">_xll.RiskPercentile('Incurred Bootstrap'!$Y$266,$B60,U$5)</f>
        <v>#NAME?</v>
      </c>
      <c r="V60" s="52" t="e">
        <f ca="1">_xll.RiskPercentile('Incurred Bootstrap'!$Y$266,$B60,V$5)</f>
        <v>#NAME?</v>
      </c>
      <c r="W60" s="52" t="e">
        <f ca="1">_xll.RiskPercentile('Incurred Bootstrap'!$Y$266,$B60,W$5)</f>
        <v>#NAME?</v>
      </c>
      <c r="X60" s="52" t="e">
        <f ca="1">_xll.RiskPercentile('Incurred Bootstrap'!$Y$266,$B60,X$5)</f>
        <v>#NAME?</v>
      </c>
      <c r="Y60" s="52" t="e">
        <f ca="1">_xll.RiskPercentile('Incurred Bootstrap'!$Y$266,$B60,Y$5)</f>
        <v>#NAME?</v>
      </c>
      <c r="Z60" s="52" t="e">
        <f ca="1">_xll.RiskPercentile('Incurred Bootstrap'!$Y$266,$B60,Z$5)</f>
        <v>#NAME?</v>
      </c>
      <c r="AA60" s="52" t="e">
        <f ca="1">_xll.RiskPercentile('Incurred Bootstrap'!$Y$266,$B60,AA$5)</f>
        <v>#NAME?</v>
      </c>
      <c r="AB60" s="52" t="e">
        <f ca="1">_xll.RiskPercentile('Incurred Bootstrap'!$Y$266,$B60,AB$5)</f>
        <v>#NAME?</v>
      </c>
      <c r="AC60" s="52" t="e">
        <f ca="1">_xll.RiskPercentile('Incurred Bootstrap'!$Y$266,$B60,AC$5)</f>
        <v>#NAME?</v>
      </c>
    </row>
    <row r="61" spans="1:29" x14ac:dyDescent="0.25">
      <c r="B61" s="125">
        <f t="shared" si="12"/>
        <v>0.44999999999999996</v>
      </c>
      <c r="C61" s="52" t="e">
        <f ca="1">_xll.RiskPercentile('Incurred Bootstrap'!$Y$266,$B61,C$5)</f>
        <v>#NAME?</v>
      </c>
      <c r="D61" s="52" t="e">
        <f ca="1">_xll.RiskPercentile('Incurred Bootstrap'!$Y$266,$B61,D$5)</f>
        <v>#NAME?</v>
      </c>
      <c r="E61" s="52" t="e">
        <f ca="1">_xll.RiskPercentile('Incurred Bootstrap'!$Y$266,$B61,E$5)</f>
        <v>#NAME?</v>
      </c>
      <c r="F61" s="52" t="e">
        <f ca="1">_xll.RiskPercentile('Incurred Bootstrap'!$Y$266,$B61,F$5)</f>
        <v>#NAME?</v>
      </c>
      <c r="G61" s="52" t="e">
        <f ca="1">_xll.RiskPercentile('Incurred Bootstrap'!$Y$266,$B61,G$5)</f>
        <v>#NAME?</v>
      </c>
      <c r="H61" s="52" t="e">
        <f ca="1">_xll.RiskPercentile('Incurred Bootstrap'!$Y$266,$B61,H$5)</f>
        <v>#NAME?</v>
      </c>
      <c r="I61" s="52" t="e">
        <f ca="1">_xll.RiskPercentile('Incurred Bootstrap'!$Y$266,$B61,I$5)</f>
        <v>#NAME?</v>
      </c>
      <c r="J61" s="52" t="e">
        <f ca="1">_xll.RiskPercentile('Incurred Bootstrap'!$Y$266,$B61,J$5)</f>
        <v>#NAME?</v>
      </c>
      <c r="K61" s="52" t="e">
        <f ca="1">_xll.RiskPercentile('Incurred Bootstrap'!$Y$266,$B61,K$5)</f>
        <v>#NAME?</v>
      </c>
      <c r="L61" s="52" t="e">
        <f ca="1">_xll.RiskPercentile('Incurred Bootstrap'!$Y$266,$B61,L$5)</f>
        <v>#NAME?</v>
      </c>
      <c r="M61" s="52" t="e">
        <f ca="1">_xll.RiskPercentile('Incurred Bootstrap'!$Y$266,$B61,M$5)</f>
        <v>#NAME?</v>
      </c>
      <c r="N61" s="52" t="e">
        <f ca="1">_xll.RiskPercentile('Incurred Bootstrap'!$Y$266,$B61,N$5)</f>
        <v>#NAME?</v>
      </c>
      <c r="O61" s="52" t="e">
        <f ca="1">_xll.RiskPercentile('Incurred Bootstrap'!$Y$266,$B61,O$5)</f>
        <v>#NAME?</v>
      </c>
      <c r="P61" s="52" t="e">
        <f ca="1">_xll.RiskPercentile('Incurred Bootstrap'!$Y$266,$B61,P$5)</f>
        <v>#NAME?</v>
      </c>
      <c r="Q61" s="52" t="e">
        <f ca="1">_xll.RiskPercentile('Incurred Bootstrap'!$Y$266,$B61,Q$5)</f>
        <v>#NAME?</v>
      </c>
      <c r="R61" s="52" t="e">
        <f ca="1">_xll.RiskPercentile('Incurred Bootstrap'!$Y$266,$B61,R$5)</f>
        <v>#NAME?</v>
      </c>
      <c r="S61" s="52" t="e">
        <f ca="1">_xll.RiskPercentile('Incurred Bootstrap'!$Y$266,$B61,S$5)</f>
        <v>#NAME?</v>
      </c>
      <c r="T61" s="52" t="e">
        <f ca="1">_xll.RiskPercentile('Incurred Bootstrap'!$Y$266,$B61,T$5)</f>
        <v>#NAME?</v>
      </c>
      <c r="U61" s="52" t="e">
        <f ca="1">_xll.RiskPercentile('Incurred Bootstrap'!$Y$266,$B61,U$5)</f>
        <v>#NAME?</v>
      </c>
      <c r="V61" s="52" t="e">
        <f ca="1">_xll.RiskPercentile('Incurred Bootstrap'!$Y$266,$B61,V$5)</f>
        <v>#NAME?</v>
      </c>
      <c r="W61" s="52" t="e">
        <f ca="1">_xll.RiskPercentile('Incurred Bootstrap'!$Y$266,$B61,W$5)</f>
        <v>#NAME?</v>
      </c>
      <c r="X61" s="52" t="e">
        <f ca="1">_xll.RiskPercentile('Incurred Bootstrap'!$Y$266,$B61,X$5)</f>
        <v>#NAME?</v>
      </c>
      <c r="Y61" s="52" t="e">
        <f ca="1">_xll.RiskPercentile('Incurred Bootstrap'!$Y$266,$B61,Y$5)</f>
        <v>#NAME?</v>
      </c>
      <c r="Z61" s="52" t="e">
        <f ca="1">_xll.RiskPercentile('Incurred Bootstrap'!$Y$266,$B61,Z$5)</f>
        <v>#NAME?</v>
      </c>
      <c r="AA61" s="52" t="e">
        <f ca="1">_xll.RiskPercentile('Incurred Bootstrap'!$Y$266,$B61,AA$5)</f>
        <v>#NAME?</v>
      </c>
      <c r="AB61" s="52" t="e">
        <f ca="1">_xll.RiskPercentile('Incurred Bootstrap'!$Y$266,$B61,AB$5)</f>
        <v>#NAME?</v>
      </c>
      <c r="AC61" s="52" t="e">
        <f ca="1">_xll.RiskPercentile('Incurred Bootstrap'!$Y$266,$B61,AC$5)</f>
        <v>#NAME?</v>
      </c>
    </row>
    <row r="62" spans="1:29" x14ac:dyDescent="0.25">
      <c r="B62" s="125">
        <f t="shared" si="12"/>
        <v>0.49999999999999994</v>
      </c>
      <c r="C62" s="52" t="e">
        <f ca="1">_xll.RiskPercentile('Incurred Bootstrap'!$Y$266,$B62,C$5)</f>
        <v>#NAME?</v>
      </c>
      <c r="D62" s="52" t="e">
        <f ca="1">_xll.RiskPercentile('Incurred Bootstrap'!$Y$266,$B62,D$5)</f>
        <v>#NAME?</v>
      </c>
      <c r="E62" s="52" t="e">
        <f ca="1">_xll.RiskPercentile('Incurred Bootstrap'!$Y$266,$B62,E$5)</f>
        <v>#NAME?</v>
      </c>
      <c r="F62" s="52" t="e">
        <f ca="1">_xll.RiskPercentile('Incurred Bootstrap'!$Y$266,$B62,F$5)</f>
        <v>#NAME?</v>
      </c>
      <c r="G62" s="52" t="e">
        <f ca="1">_xll.RiskPercentile('Incurred Bootstrap'!$Y$266,$B62,G$5)</f>
        <v>#NAME?</v>
      </c>
      <c r="H62" s="52" t="e">
        <f ca="1">_xll.RiskPercentile('Incurred Bootstrap'!$Y$266,$B62,H$5)</f>
        <v>#NAME?</v>
      </c>
      <c r="I62" s="52" t="e">
        <f ca="1">_xll.RiskPercentile('Incurred Bootstrap'!$Y$266,$B62,I$5)</f>
        <v>#NAME?</v>
      </c>
      <c r="J62" s="52" t="e">
        <f ca="1">_xll.RiskPercentile('Incurred Bootstrap'!$Y$266,$B62,J$5)</f>
        <v>#NAME?</v>
      </c>
      <c r="K62" s="52" t="e">
        <f ca="1">_xll.RiskPercentile('Incurred Bootstrap'!$Y$266,$B62,K$5)</f>
        <v>#NAME?</v>
      </c>
      <c r="L62" s="52" t="e">
        <f ca="1">_xll.RiskPercentile('Incurred Bootstrap'!$Y$266,$B62,L$5)</f>
        <v>#NAME?</v>
      </c>
      <c r="M62" s="52" t="e">
        <f ca="1">_xll.RiskPercentile('Incurred Bootstrap'!$Y$266,$B62,M$5)</f>
        <v>#NAME?</v>
      </c>
      <c r="N62" s="52" t="e">
        <f ca="1">_xll.RiskPercentile('Incurred Bootstrap'!$Y$266,$B62,N$5)</f>
        <v>#NAME?</v>
      </c>
      <c r="O62" s="52" t="e">
        <f ca="1">_xll.RiskPercentile('Incurred Bootstrap'!$Y$266,$B62,O$5)</f>
        <v>#NAME?</v>
      </c>
      <c r="P62" s="52" t="e">
        <f ca="1">_xll.RiskPercentile('Incurred Bootstrap'!$Y$266,$B62,P$5)</f>
        <v>#NAME?</v>
      </c>
      <c r="Q62" s="52" t="e">
        <f ca="1">_xll.RiskPercentile('Incurred Bootstrap'!$Y$266,$B62,Q$5)</f>
        <v>#NAME?</v>
      </c>
      <c r="R62" s="52" t="e">
        <f ca="1">_xll.RiskPercentile('Incurred Bootstrap'!$Y$266,$B62,R$5)</f>
        <v>#NAME?</v>
      </c>
      <c r="S62" s="52" t="e">
        <f ca="1">_xll.RiskPercentile('Incurred Bootstrap'!$Y$266,$B62,S$5)</f>
        <v>#NAME?</v>
      </c>
      <c r="T62" s="52" t="e">
        <f ca="1">_xll.RiskPercentile('Incurred Bootstrap'!$Y$266,$B62,T$5)</f>
        <v>#NAME?</v>
      </c>
      <c r="U62" s="52" t="e">
        <f ca="1">_xll.RiskPercentile('Incurred Bootstrap'!$Y$266,$B62,U$5)</f>
        <v>#NAME?</v>
      </c>
      <c r="V62" s="52" t="e">
        <f ca="1">_xll.RiskPercentile('Incurred Bootstrap'!$Y$266,$B62,V$5)</f>
        <v>#NAME?</v>
      </c>
      <c r="W62" s="52" t="e">
        <f ca="1">_xll.RiskPercentile('Incurred Bootstrap'!$Y$266,$B62,W$5)</f>
        <v>#NAME?</v>
      </c>
      <c r="X62" s="52" t="e">
        <f ca="1">_xll.RiskPercentile('Incurred Bootstrap'!$Y$266,$B62,X$5)</f>
        <v>#NAME?</v>
      </c>
      <c r="Y62" s="52" t="e">
        <f ca="1">_xll.RiskPercentile('Incurred Bootstrap'!$Y$266,$B62,Y$5)</f>
        <v>#NAME?</v>
      </c>
      <c r="Z62" s="52" t="e">
        <f ca="1">_xll.RiskPercentile('Incurred Bootstrap'!$Y$266,$B62,Z$5)</f>
        <v>#NAME?</v>
      </c>
      <c r="AA62" s="52" t="e">
        <f ca="1">_xll.RiskPercentile('Incurred Bootstrap'!$Y$266,$B62,AA$5)</f>
        <v>#NAME?</v>
      </c>
      <c r="AB62" s="52" t="e">
        <f ca="1">_xll.RiskPercentile('Incurred Bootstrap'!$Y$266,$B62,AB$5)</f>
        <v>#NAME?</v>
      </c>
      <c r="AC62" s="52" t="e">
        <f ca="1">_xll.RiskPercentile('Incurred Bootstrap'!$Y$266,$B62,AC$5)</f>
        <v>#NAME?</v>
      </c>
    </row>
    <row r="63" spans="1:29" x14ac:dyDescent="0.25">
      <c r="B63" s="125">
        <f t="shared" si="12"/>
        <v>0.54999999999999993</v>
      </c>
      <c r="C63" s="52" t="e">
        <f ca="1">_xll.RiskPercentile('Incurred Bootstrap'!$Y$266,$B63,C$5)</f>
        <v>#NAME?</v>
      </c>
      <c r="D63" s="52" t="e">
        <f ca="1">_xll.RiskPercentile('Incurred Bootstrap'!$Y$266,$B63,D$5)</f>
        <v>#NAME?</v>
      </c>
      <c r="E63" s="52" t="e">
        <f ca="1">_xll.RiskPercentile('Incurred Bootstrap'!$Y$266,$B63,E$5)</f>
        <v>#NAME?</v>
      </c>
      <c r="F63" s="52" t="e">
        <f ca="1">_xll.RiskPercentile('Incurred Bootstrap'!$Y$266,$B63,F$5)</f>
        <v>#NAME?</v>
      </c>
      <c r="G63" s="52" t="e">
        <f ca="1">_xll.RiskPercentile('Incurred Bootstrap'!$Y$266,$B63,G$5)</f>
        <v>#NAME?</v>
      </c>
      <c r="H63" s="52" t="e">
        <f ca="1">_xll.RiskPercentile('Incurred Bootstrap'!$Y$266,$B63,H$5)</f>
        <v>#NAME?</v>
      </c>
      <c r="I63" s="52" t="e">
        <f ca="1">_xll.RiskPercentile('Incurred Bootstrap'!$Y$266,$B63,I$5)</f>
        <v>#NAME?</v>
      </c>
      <c r="J63" s="52" t="e">
        <f ca="1">_xll.RiskPercentile('Incurred Bootstrap'!$Y$266,$B63,J$5)</f>
        <v>#NAME?</v>
      </c>
      <c r="K63" s="52" t="e">
        <f ca="1">_xll.RiskPercentile('Incurred Bootstrap'!$Y$266,$B63,K$5)</f>
        <v>#NAME?</v>
      </c>
      <c r="L63" s="52" t="e">
        <f ca="1">_xll.RiskPercentile('Incurred Bootstrap'!$Y$266,$B63,L$5)</f>
        <v>#NAME?</v>
      </c>
      <c r="M63" s="52" t="e">
        <f ca="1">_xll.RiskPercentile('Incurred Bootstrap'!$Y$266,$B63,M$5)</f>
        <v>#NAME?</v>
      </c>
      <c r="N63" s="52" t="e">
        <f ca="1">_xll.RiskPercentile('Incurred Bootstrap'!$Y$266,$B63,N$5)</f>
        <v>#NAME?</v>
      </c>
      <c r="O63" s="52" t="e">
        <f ca="1">_xll.RiskPercentile('Incurred Bootstrap'!$Y$266,$B63,O$5)</f>
        <v>#NAME?</v>
      </c>
      <c r="P63" s="52" t="e">
        <f ca="1">_xll.RiskPercentile('Incurred Bootstrap'!$Y$266,$B63,P$5)</f>
        <v>#NAME?</v>
      </c>
      <c r="Q63" s="52" t="e">
        <f ca="1">_xll.RiskPercentile('Incurred Bootstrap'!$Y$266,$B63,Q$5)</f>
        <v>#NAME?</v>
      </c>
      <c r="R63" s="52" t="e">
        <f ca="1">_xll.RiskPercentile('Incurred Bootstrap'!$Y$266,$B63,R$5)</f>
        <v>#NAME?</v>
      </c>
      <c r="S63" s="52" t="e">
        <f ca="1">_xll.RiskPercentile('Incurred Bootstrap'!$Y$266,$B63,S$5)</f>
        <v>#NAME?</v>
      </c>
      <c r="T63" s="52" t="e">
        <f ca="1">_xll.RiskPercentile('Incurred Bootstrap'!$Y$266,$B63,T$5)</f>
        <v>#NAME?</v>
      </c>
      <c r="U63" s="52" t="e">
        <f ca="1">_xll.RiskPercentile('Incurred Bootstrap'!$Y$266,$B63,U$5)</f>
        <v>#NAME?</v>
      </c>
      <c r="V63" s="52" t="e">
        <f ca="1">_xll.RiskPercentile('Incurred Bootstrap'!$Y$266,$B63,V$5)</f>
        <v>#NAME?</v>
      </c>
      <c r="W63" s="52" t="e">
        <f ca="1">_xll.RiskPercentile('Incurred Bootstrap'!$Y$266,$B63,W$5)</f>
        <v>#NAME?</v>
      </c>
      <c r="X63" s="52" t="e">
        <f ca="1">_xll.RiskPercentile('Incurred Bootstrap'!$Y$266,$B63,X$5)</f>
        <v>#NAME?</v>
      </c>
      <c r="Y63" s="52" t="e">
        <f ca="1">_xll.RiskPercentile('Incurred Bootstrap'!$Y$266,$B63,Y$5)</f>
        <v>#NAME?</v>
      </c>
      <c r="Z63" s="52" t="e">
        <f ca="1">_xll.RiskPercentile('Incurred Bootstrap'!$Y$266,$B63,Z$5)</f>
        <v>#NAME?</v>
      </c>
      <c r="AA63" s="52" t="e">
        <f ca="1">_xll.RiskPercentile('Incurred Bootstrap'!$Y$266,$B63,AA$5)</f>
        <v>#NAME?</v>
      </c>
      <c r="AB63" s="52" t="e">
        <f ca="1">_xll.RiskPercentile('Incurred Bootstrap'!$Y$266,$B63,AB$5)</f>
        <v>#NAME?</v>
      </c>
      <c r="AC63" s="52" t="e">
        <f ca="1">_xll.RiskPercentile('Incurred Bootstrap'!$Y$266,$B63,AC$5)</f>
        <v>#NAME?</v>
      </c>
    </row>
    <row r="64" spans="1:29" x14ac:dyDescent="0.25">
      <c r="B64" s="125">
        <f t="shared" si="12"/>
        <v>0.6</v>
      </c>
      <c r="C64" s="52" t="e">
        <f ca="1">_xll.RiskPercentile('Incurred Bootstrap'!$Y$266,$B64,C$5)</f>
        <v>#NAME?</v>
      </c>
      <c r="D64" s="52" t="e">
        <f ca="1">_xll.RiskPercentile('Incurred Bootstrap'!$Y$266,$B64,D$5)</f>
        <v>#NAME?</v>
      </c>
      <c r="E64" s="52" t="e">
        <f ca="1">_xll.RiskPercentile('Incurred Bootstrap'!$Y$266,$B64,E$5)</f>
        <v>#NAME?</v>
      </c>
      <c r="F64" s="52" t="e">
        <f ca="1">_xll.RiskPercentile('Incurred Bootstrap'!$Y$266,$B64,F$5)</f>
        <v>#NAME?</v>
      </c>
      <c r="G64" s="52" t="e">
        <f ca="1">_xll.RiskPercentile('Incurred Bootstrap'!$Y$266,$B64,G$5)</f>
        <v>#NAME?</v>
      </c>
      <c r="H64" s="52" t="e">
        <f ca="1">_xll.RiskPercentile('Incurred Bootstrap'!$Y$266,$B64,H$5)</f>
        <v>#NAME?</v>
      </c>
      <c r="I64" s="52" t="e">
        <f ca="1">_xll.RiskPercentile('Incurred Bootstrap'!$Y$266,$B64,I$5)</f>
        <v>#NAME?</v>
      </c>
      <c r="J64" s="52" t="e">
        <f ca="1">_xll.RiskPercentile('Incurred Bootstrap'!$Y$266,$B64,J$5)</f>
        <v>#NAME?</v>
      </c>
      <c r="K64" s="52" t="e">
        <f ca="1">_xll.RiskPercentile('Incurred Bootstrap'!$Y$266,$B64,K$5)</f>
        <v>#NAME?</v>
      </c>
      <c r="L64" s="52" t="e">
        <f ca="1">_xll.RiskPercentile('Incurred Bootstrap'!$Y$266,$B64,L$5)</f>
        <v>#NAME?</v>
      </c>
      <c r="M64" s="52" t="e">
        <f ca="1">_xll.RiskPercentile('Incurred Bootstrap'!$Y$266,$B64,M$5)</f>
        <v>#NAME?</v>
      </c>
      <c r="N64" s="52" t="e">
        <f ca="1">_xll.RiskPercentile('Incurred Bootstrap'!$Y$266,$B64,N$5)</f>
        <v>#NAME?</v>
      </c>
      <c r="O64" s="52" t="e">
        <f ca="1">_xll.RiskPercentile('Incurred Bootstrap'!$Y$266,$B64,O$5)</f>
        <v>#NAME?</v>
      </c>
      <c r="P64" s="52" t="e">
        <f ca="1">_xll.RiskPercentile('Incurred Bootstrap'!$Y$266,$B64,P$5)</f>
        <v>#NAME?</v>
      </c>
      <c r="Q64" s="52" t="e">
        <f ca="1">_xll.RiskPercentile('Incurred Bootstrap'!$Y$266,$B64,Q$5)</f>
        <v>#NAME?</v>
      </c>
      <c r="R64" s="52" t="e">
        <f ca="1">_xll.RiskPercentile('Incurred Bootstrap'!$Y$266,$B64,R$5)</f>
        <v>#NAME?</v>
      </c>
      <c r="S64" s="52" t="e">
        <f ca="1">_xll.RiskPercentile('Incurred Bootstrap'!$Y$266,$B64,S$5)</f>
        <v>#NAME?</v>
      </c>
      <c r="T64" s="52" t="e">
        <f ca="1">_xll.RiskPercentile('Incurred Bootstrap'!$Y$266,$B64,T$5)</f>
        <v>#NAME?</v>
      </c>
      <c r="U64" s="52" t="e">
        <f ca="1">_xll.RiskPercentile('Incurred Bootstrap'!$Y$266,$B64,U$5)</f>
        <v>#NAME?</v>
      </c>
      <c r="V64" s="52" t="e">
        <f ca="1">_xll.RiskPercentile('Incurred Bootstrap'!$Y$266,$B64,V$5)</f>
        <v>#NAME?</v>
      </c>
      <c r="W64" s="52" t="e">
        <f ca="1">_xll.RiskPercentile('Incurred Bootstrap'!$Y$266,$B64,W$5)</f>
        <v>#NAME?</v>
      </c>
      <c r="X64" s="52" t="e">
        <f ca="1">_xll.RiskPercentile('Incurred Bootstrap'!$Y$266,$B64,X$5)</f>
        <v>#NAME?</v>
      </c>
      <c r="Y64" s="52" t="e">
        <f ca="1">_xll.RiskPercentile('Incurred Bootstrap'!$Y$266,$B64,Y$5)</f>
        <v>#NAME?</v>
      </c>
      <c r="Z64" s="52" t="e">
        <f ca="1">_xll.RiskPercentile('Incurred Bootstrap'!$Y$266,$B64,Z$5)</f>
        <v>#NAME?</v>
      </c>
      <c r="AA64" s="52" t="e">
        <f ca="1">_xll.RiskPercentile('Incurred Bootstrap'!$Y$266,$B64,AA$5)</f>
        <v>#NAME?</v>
      </c>
      <c r="AB64" s="52" t="e">
        <f ca="1">_xll.RiskPercentile('Incurred Bootstrap'!$Y$266,$B64,AB$5)</f>
        <v>#NAME?</v>
      </c>
      <c r="AC64" s="52" t="e">
        <f ca="1">_xll.RiskPercentile('Incurred Bootstrap'!$Y$266,$B64,AC$5)</f>
        <v>#NAME?</v>
      </c>
    </row>
    <row r="65" spans="2:29" x14ac:dyDescent="0.25">
      <c r="B65" s="125">
        <f t="shared" si="12"/>
        <v>0.65</v>
      </c>
      <c r="C65" s="52" t="e">
        <f ca="1">_xll.RiskPercentile('Incurred Bootstrap'!$Y$266,$B65,C$5)</f>
        <v>#NAME?</v>
      </c>
      <c r="D65" s="52" t="e">
        <f ca="1">_xll.RiskPercentile('Incurred Bootstrap'!$Y$266,$B65,D$5)</f>
        <v>#NAME?</v>
      </c>
      <c r="E65" s="52" t="e">
        <f ca="1">_xll.RiskPercentile('Incurred Bootstrap'!$Y$266,$B65,E$5)</f>
        <v>#NAME?</v>
      </c>
      <c r="F65" s="52" t="e">
        <f ca="1">_xll.RiskPercentile('Incurred Bootstrap'!$Y$266,$B65,F$5)</f>
        <v>#NAME?</v>
      </c>
      <c r="G65" s="52" t="e">
        <f ca="1">_xll.RiskPercentile('Incurred Bootstrap'!$Y$266,$B65,G$5)</f>
        <v>#NAME?</v>
      </c>
      <c r="H65" s="52" t="e">
        <f ca="1">_xll.RiskPercentile('Incurred Bootstrap'!$Y$266,$B65,H$5)</f>
        <v>#NAME?</v>
      </c>
      <c r="I65" s="52" t="e">
        <f ca="1">_xll.RiskPercentile('Incurred Bootstrap'!$Y$266,$B65,I$5)</f>
        <v>#NAME?</v>
      </c>
      <c r="J65" s="52" t="e">
        <f ca="1">_xll.RiskPercentile('Incurred Bootstrap'!$Y$266,$B65,J$5)</f>
        <v>#NAME?</v>
      </c>
      <c r="K65" s="52" t="e">
        <f ca="1">_xll.RiskPercentile('Incurred Bootstrap'!$Y$266,$B65,K$5)</f>
        <v>#NAME?</v>
      </c>
      <c r="L65" s="52" t="e">
        <f ca="1">_xll.RiskPercentile('Incurred Bootstrap'!$Y$266,$B65,L$5)</f>
        <v>#NAME?</v>
      </c>
      <c r="M65" s="52" t="e">
        <f ca="1">_xll.RiskPercentile('Incurred Bootstrap'!$Y$266,$B65,M$5)</f>
        <v>#NAME?</v>
      </c>
      <c r="N65" s="52" t="e">
        <f ca="1">_xll.RiskPercentile('Incurred Bootstrap'!$Y$266,$B65,N$5)</f>
        <v>#NAME?</v>
      </c>
      <c r="O65" s="52" t="e">
        <f ca="1">_xll.RiskPercentile('Incurred Bootstrap'!$Y$266,$B65,O$5)</f>
        <v>#NAME?</v>
      </c>
      <c r="P65" s="52" t="e">
        <f ca="1">_xll.RiskPercentile('Incurred Bootstrap'!$Y$266,$B65,P$5)</f>
        <v>#NAME?</v>
      </c>
      <c r="Q65" s="52" t="e">
        <f ca="1">_xll.RiskPercentile('Incurred Bootstrap'!$Y$266,$B65,Q$5)</f>
        <v>#NAME?</v>
      </c>
      <c r="R65" s="52" t="e">
        <f ca="1">_xll.RiskPercentile('Incurred Bootstrap'!$Y$266,$B65,R$5)</f>
        <v>#NAME?</v>
      </c>
      <c r="S65" s="52" t="e">
        <f ca="1">_xll.RiskPercentile('Incurred Bootstrap'!$Y$266,$B65,S$5)</f>
        <v>#NAME?</v>
      </c>
      <c r="T65" s="52" t="e">
        <f ca="1">_xll.RiskPercentile('Incurred Bootstrap'!$Y$266,$B65,T$5)</f>
        <v>#NAME?</v>
      </c>
      <c r="U65" s="52" t="e">
        <f ca="1">_xll.RiskPercentile('Incurred Bootstrap'!$Y$266,$B65,U$5)</f>
        <v>#NAME?</v>
      </c>
      <c r="V65" s="52" t="e">
        <f ca="1">_xll.RiskPercentile('Incurred Bootstrap'!$Y$266,$B65,V$5)</f>
        <v>#NAME?</v>
      </c>
      <c r="W65" s="52" t="e">
        <f ca="1">_xll.RiskPercentile('Incurred Bootstrap'!$Y$266,$B65,W$5)</f>
        <v>#NAME?</v>
      </c>
      <c r="X65" s="52" t="e">
        <f ca="1">_xll.RiskPercentile('Incurred Bootstrap'!$Y$266,$B65,X$5)</f>
        <v>#NAME?</v>
      </c>
      <c r="Y65" s="52" t="e">
        <f ca="1">_xll.RiskPercentile('Incurred Bootstrap'!$Y$266,$B65,Y$5)</f>
        <v>#NAME?</v>
      </c>
      <c r="Z65" s="52" t="e">
        <f ca="1">_xll.RiskPercentile('Incurred Bootstrap'!$Y$266,$B65,Z$5)</f>
        <v>#NAME?</v>
      </c>
      <c r="AA65" s="52" t="e">
        <f ca="1">_xll.RiskPercentile('Incurred Bootstrap'!$Y$266,$B65,AA$5)</f>
        <v>#NAME?</v>
      </c>
      <c r="AB65" s="52" t="e">
        <f ca="1">_xll.RiskPercentile('Incurred Bootstrap'!$Y$266,$B65,AB$5)</f>
        <v>#NAME?</v>
      </c>
      <c r="AC65" s="52" t="e">
        <f ca="1">_xll.RiskPercentile('Incurred Bootstrap'!$Y$266,$B65,AC$5)</f>
        <v>#NAME?</v>
      </c>
    </row>
    <row r="66" spans="2:29" x14ac:dyDescent="0.25">
      <c r="B66" s="125">
        <f t="shared" si="12"/>
        <v>0.70000000000000007</v>
      </c>
      <c r="C66" s="52" t="e">
        <f ca="1">_xll.RiskPercentile('Incurred Bootstrap'!$Y$266,$B66,C$5)</f>
        <v>#NAME?</v>
      </c>
      <c r="D66" s="52" t="e">
        <f ca="1">_xll.RiskPercentile('Incurred Bootstrap'!$Y$266,$B66,D$5)</f>
        <v>#NAME?</v>
      </c>
      <c r="E66" s="52" t="e">
        <f ca="1">_xll.RiskPercentile('Incurred Bootstrap'!$Y$266,$B66,E$5)</f>
        <v>#NAME?</v>
      </c>
      <c r="F66" s="52" t="e">
        <f ca="1">_xll.RiskPercentile('Incurred Bootstrap'!$Y$266,$B66,F$5)</f>
        <v>#NAME?</v>
      </c>
      <c r="G66" s="52" t="e">
        <f ca="1">_xll.RiskPercentile('Incurred Bootstrap'!$Y$266,$B66,G$5)</f>
        <v>#NAME?</v>
      </c>
      <c r="H66" s="52" t="e">
        <f ca="1">_xll.RiskPercentile('Incurred Bootstrap'!$Y$266,$B66,H$5)</f>
        <v>#NAME?</v>
      </c>
      <c r="I66" s="52" t="e">
        <f ca="1">_xll.RiskPercentile('Incurred Bootstrap'!$Y$266,$B66,I$5)</f>
        <v>#NAME?</v>
      </c>
      <c r="J66" s="52" t="e">
        <f ca="1">_xll.RiskPercentile('Incurred Bootstrap'!$Y$266,$B66,J$5)</f>
        <v>#NAME?</v>
      </c>
      <c r="K66" s="52" t="e">
        <f ca="1">_xll.RiskPercentile('Incurred Bootstrap'!$Y$266,$B66,K$5)</f>
        <v>#NAME?</v>
      </c>
      <c r="L66" s="52" t="e">
        <f ca="1">_xll.RiskPercentile('Incurred Bootstrap'!$Y$266,$B66,L$5)</f>
        <v>#NAME?</v>
      </c>
      <c r="M66" s="52" t="e">
        <f ca="1">_xll.RiskPercentile('Incurred Bootstrap'!$Y$266,$B66,M$5)</f>
        <v>#NAME?</v>
      </c>
      <c r="N66" s="52" t="e">
        <f ca="1">_xll.RiskPercentile('Incurred Bootstrap'!$Y$266,$B66,N$5)</f>
        <v>#NAME?</v>
      </c>
      <c r="O66" s="52" t="e">
        <f ca="1">_xll.RiskPercentile('Incurred Bootstrap'!$Y$266,$B66,O$5)</f>
        <v>#NAME?</v>
      </c>
      <c r="P66" s="52" t="e">
        <f ca="1">_xll.RiskPercentile('Incurred Bootstrap'!$Y$266,$B66,P$5)</f>
        <v>#NAME?</v>
      </c>
      <c r="Q66" s="52" t="e">
        <f ca="1">_xll.RiskPercentile('Incurred Bootstrap'!$Y$266,$B66,Q$5)</f>
        <v>#NAME?</v>
      </c>
      <c r="R66" s="52" t="e">
        <f ca="1">_xll.RiskPercentile('Incurred Bootstrap'!$Y$266,$B66,R$5)</f>
        <v>#NAME?</v>
      </c>
      <c r="S66" s="52" t="e">
        <f ca="1">_xll.RiskPercentile('Incurred Bootstrap'!$Y$266,$B66,S$5)</f>
        <v>#NAME?</v>
      </c>
      <c r="T66" s="52" t="e">
        <f ca="1">_xll.RiskPercentile('Incurred Bootstrap'!$Y$266,$B66,T$5)</f>
        <v>#NAME?</v>
      </c>
      <c r="U66" s="52" t="e">
        <f ca="1">_xll.RiskPercentile('Incurred Bootstrap'!$Y$266,$B66,U$5)</f>
        <v>#NAME?</v>
      </c>
      <c r="V66" s="52" t="e">
        <f ca="1">_xll.RiskPercentile('Incurred Bootstrap'!$Y$266,$B66,V$5)</f>
        <v>#NAME?</v>
      </c>
      <c r="W66" s="52" t="e">
        <f ca="1">_xll.RiskPercentile('Incurred Bootstrap'!$Y$266,$B66,W$5)</f>
        <v>#NAME?</v>
      </c>
      <c r="X66" s="52" t="e">
        <f ca="1">_xll.RiskPercentile('Incurred Bootstrap'!$Y$266,$B66,X$5)</f>
        <v>#NAME?</v>
      </c>
      <c r="Y66" s="52" t="e">
        <f ca="1">_xll.RiskPercentile('Incurred Bootstrap'!$Y$266,$B66,Y$5)</f>
        <v>#NAME?</v>
      </c>
      <c r="Z66" s="52" t="e">
        <f ca="1">_xll.RiskPercentile('Incurred Bootstrap'!$Y$266,$B66,Z$5)</f>
        <v>#NAME?</v>
      </c>
      <c r="AA66" s="52" t="e">
        <f ca="1">_xll.RiskPercentile('Incurred Bootstrap'!$Y$266,$B66,AA$5)</f>
        <v>#NAME?</v>
      </c>
      <c r="AB66" s="52" t="e">
        <f ca="1">_xll.RiskPercentile('Incurred Bootstrap'!$Y$266,$B66,AB$5)</f>
        <v>#NAME?</v>
      </c>
      <c r="AC66" s="52" t="e">
        <f ca="1">_xll.RiskPercentile('Incurred Bootstrap'!$Y$266,$B66,AC$5)</f>
        <v>#NAME?</v>
      </c>
    </row>
    <row r="67" spans="2:29" x14ac:dyDescent="0.25">
      <c r="B67" s="125">
        <f t="shared" si="12"/>
        <v>0.75000000000000011</v>
      </c>
      <c r="C67" s="52" t="e">
        <f ca="1">_xll.RiskPercentile('Incurred Bootstrap'!$Y$266,$B67,C$5)</f>
        <v>#NAME?</v>
      </c>
      <c r="D67" s="52" t="e">
        <f ca="1">_xll.RiskPercentile('Incurred Bootstrap'!$Y$266,$B67,D$5)</f>
        <v>#NAME?</v>
      </c>
      <c r="E67" s="52" t="e">
        <f ca="1">_xll.RiskPercentile('Incurred Bootstrap'!$Y$266,$B67,E$5)</f>
        <v>#NAME?</v>
      </c>
      <c r="F67" s="52" t="e">
        <f ca="1">_xll.RiskPercentile('Incurred Bootstrap'!$Y$266,$B67,F$5)</f>
        <v>#NAME?</v>
      </c>
      <c r="G67" s="52" t="e">
        <f ca="1">_xll.RiskPercentile('Incurred Bootstrap'!$Y$266,$B67,G$5)</f>
        <v>#NAME?</v>
      </c>
      <c r="H67" s="52" t="e">
        <f ca="1">_xll.RiskPercentile('Incurred Bootstrap'!$Y$266,$B67,H$5)</f>
        <v>#NAME?</v>
      </c>
      <c r="I67" s="52" t="e">
        <f ca="1">_xll.RiskPercentile('Incurred Bootstrap'!$Y$266,$B67,I$5)</f>
        <v>#NAME?</v>
      </c>
      <c r="J67" s="52" t="e">
        <f ca="1">_xll.RiskPercentile('Incurred Bootstrap'!$Y$266,$B67,J$5)</f>
        <v>#NAME?</v>
      </c>
      <c r="K67" s="52" t="e">
        <f ca="1">_xll.RiskPercentile('Incurred Bootstrap'!$Y$266,$B67,K$5)</f>
        <v>#NAME?</v>
      </c>
      <c r="L67" s="52" t="e">
        <f ca="1">_xll.RiskPercentile('Incurred Bootstrap'!$Y$266,$B67,L$5)</f>
        <v>#NAME?</v>
      </c>
      <c r="M67" s="52" t="e">
        <f ca="1">_xll.RiskPercentile('Incurred Bootstrap'!$Y$266,$B67,M$5)</f>
        <v>#NAME?</v>
      </c>
      <c r="N67" s="52" t="e">
        <f ca="1">_xll.RiskPercentile('Incurred Bootstrap'!$Y$266,$B67,N$5)</f>
        <v>#NAME?</v>
      </c>
      <c r="O67" s="52" t="e">
        <f ca="1">_xll.RiskPercentile('Incurred Bootstrap'!$Y$266,$B67,O$5)</f>
        <v>#NAME?</v>
      </c>
      <c r="P67" s="52" t="e">
        <f ca="1">_xll.RiskPercentile('Incurred Bootstrap'!$Y$266,$B67,P$5)</f>
        <v>#NAME?</v>
      </c>
      <c r="Q67" s="52" t="e">
        <f ca="1">_xll.RiskPercentile('Incurred Bootstrap'!$Y$266,$B67,Q$5)</f>
        <v>#NAME?</v>
      </c>
      <c r="R67" s="52" t="e">
        <f ca="1">_xll.RiskPercentile('Incurred Bootstrap'!$Y$266,$B67,R$5)</f>
        <v>#NAME?</v>
      </c>
      <c r="S67" s="52" t="e">
        <f ca="1">_xll.RiskPercentile('Incurred Bootstrap'!$Y$266,$B67,S$5)</f>
        <v>#NAME?</v>
      </c>
      <c r="T67" s="52" t="e">
        <f ca="1">_xll.RiskPercentile('Incurred Bootstrap'!$Y$266,$B67,T$5)</f>
        <v>#NAME?</v>
      </c>
      <c r="U67" s="52" t="e">
        <f ca="1">_xll.RiskPercentile('Incurred Bootstrap'!$Y$266,$B67,U$5)</f>
        <v>#NAME?</v>
      </c>
      <c r="V67" s="52" t="e">
        <f ca="1">_xll.RiskPercentile('Incurred Bootstrap'!$Y$266,$B67,V$5)</f>
        <v>#NAME?</v>
      </c>
      <c r="W67" s="52" t="e">
        <f ca="1">_xll.RiskPercentile('Incurred Bootstrap'!$Y$266,$B67,W$5)</f>
        <v>#NAME?</v>
      </c>
      <c r="X67" s="52" t="e">
        <f ca="1">_xll.RiskPercentile('Incurred Bootstrap'!$Y$266,$B67,X$5)</f>
        <v>#NAME?</v>
      </c>
      <c r="Y67" s="52" t="e">
        <f ca="1">_xll.RiskPercentile('Incurred Bootstrap'!$Y$266,$B67,Y$5)</f>
        <v>#NAME?</v>
      </c>
      <c r="Z67" s="52" t="e">
        <f ca="1">_xll.RiskPercentile('Incurred Bootstrap'!$Y$266,$B67,Z$5)</f>
        <v>#NAME?</v>
      </c>
      <c r="AA67" s="52" t="e">
        <f ca="1">_xll.RiskPercentile('Incurred Bootstrap'!$Y$266,$B67,AA$5)</f>
        <v>#NAME?</v>
      </c>
      <c r="AB67" s="52" t="e">
        <f ca="1">_xll.RiskPercentile('Incurred Bootstrap'!$Y$266,$B67,AB$5)</f>
        <v>#NAME?</v>
      </c>
      <c r="AC67" s="52" t="e">
        <f ca="1">_xll.RiskPercentile('Incurred Bootstrap'!$Y$266,$B67,AC$5)</f>
        <v>#NAME?</v>
      </c>
    </row>
    <row r="68" spans="2:29" x14ac:dyDescent="0.25">
      <c r="B68" s="125">
        <f t="shared" si="12"/>
        <v>0.80000000000000016</v>
      </c>
      <c r="C68" s="52" t="e">
        <f ca="1">_xll.RiskPercentile('Incurred Bootstrap'!$Y$266,$B68,C$5)</f>
        <v>#NAME?</v>
      </c>
      <c r="D68" s="52" t="e">
        <f ca="1">_xll.RiskPercentile('Incurred Bootstrap'!$Y$266,$B68,D$5)</f>
        <v>#NAME?</v>
      </c>
      <c r="E68" s="52" t="e">
        <f ca="1">_xll.RiskPercentile('Incurred Bootstrap'!$Y$266,$B68,E$5)</f>
        <v>#NAME?</v>
      </c>
      <c r="F68" s="52" t="e">
        <f ca="1">_xll.RiskPercentile('Incurred Bootstrap'!$Y$266,$B68,F$5)</f>
        <v>#NAME?</v>
      </c>
      <c r="G68" s="52" t="e">
        <f ca="1">_xll.RiskPercentile('Incurred Bootstrap'!$Y$266,$B68,G$5)</f>
        <v>#NAME?</v>
      </c>
      <c r="H68" s="52" t="e">
        <f ca="1">_xll.RiskPercentile('Incurred Bootstrap'!$Y$266,$B68,H$5)</f>
        <v>#NAME?</v>
      </c>
      <c r="I68" s="52" t="e">
        <f ca="1">_xll.RiskPercentile('Incurred Bootstrap'!$Y$266,$B68,I$5)</f>
        <v>#NAME?</v>
      </c>
      <c r="J68" s="52" t="e">
        <f ca="1">_xll.RiskPercentile('Incurred Bootstrap'!$Y$266,$B68,J$5)</f>
        <v>#NAME?</v>
      </c>
      <c r="K68" s="52" t="e">
        <f ca="1">_xll.RiskPercentile('Incurred Bootstrap'!$Y$266,$B68,K$5)</f>
        <v>#NAME?</v>
      </c>
      <c r="L68" s="52" t="e">
        <f ca="1">_xll.RiskPercentile('Incurred Bootstrap'!$Y$266,$B68,L$5)</f>
        <v>#NAME?</v>
      </c>
      <c r="M68" s="52" t="e">
        <f ca="1">_xll.RiskPercentile('Incurred Bootstrap'!$Y$266,$B68,M$5)</f>
        <v>#NAME?</v>
      </c>
      <c r="N68" s="52" t="e">
        <f ca="1">_xll.RiskPercentile('Incurred Bootstrap'!$Y$266,$B68,N$5)</f>
        <v>#NAME?</v>
      </c>
      <c r="O68" s="52" t="e">
        <f ca="1">_xll.RiskPercentile('Incurred Bootstrap'!$Y$266,$B68,O$5)</f>
        <v>#NAME?</v>
      </c>
      <c r="P68" s="52" t="e">
        <f ca="1">_xll.RiskPercentile('Incurred Bootstrap'!$Y$266,$B68,P$5)</f>
        <v>#NAME?</v>
      </c>
      <c r="Q68" s="52" t="e">
        <f ca="1">_xll.RiskPercentile('Incurred Bootstrap'!$Y$266,$B68,Q$5)</f>
        <v>#NAME?</v>
      </c>
      <c r="R68" s="52" t="e">
        <f ca="1">_xll.RiskPercentile('Incurred Bootstrap'!$Y$266,$B68,R$5)</f>
        <v>#NAME?</v>
      </c>
      <c r="S68" s="52" t="e">
        <f ca="1">_xll.RiskPercentile('Incurred Bootstrap'!$Y$266,$B68,S$5)</f>
        <v>#NAME?</v>
      </c>
      <c r="T68" s="52" t="e">
        <f ca="1">_xll.RiskPercentile('Incurred Bootstrap'!$Y$266,$B68,T$5)</f>
        <v>#NAME?</v>
      </c>
      <c r="U68" s="52" t="e">
        <f ca="1">_xll.RiskPercentile('Incurred Bootstrap'!$Y$266,$B68,U$5)</f>
        <v>#NAME?</v>
      </c>
      <c r="V68" s="52" t="e">
        <f ca="1">_xll.RiskPercentile('Incurred Bootstrap'!$Y$266,$B68,V$5)</f>
        <v>#NAME?</v>
      </c>
      <c r="W68" s="52" t="e">
        <f ca="1">_xll.RiskPercentile('Incurred Bootstrap'!$Y$266,$B68,W$5)</f>
        <v>#NAME?</v>
      </c>
      <c r="X68" s="52" t="e">
        <f ca="1">_xll.RiskPercentile('Incurred Bootstrap'!$Y$266,$B68,X$5)</f>
        <v>#NAME?</v>
      </c>
      <c r="Y68" s="52" t="e">
        <f ca="1">_xll.RiskPercentile('Incurred Bootstrap'!$Y$266,$B68,Y$5)</f>
        <v>#NAME?</v>
      </c>
      <c r="Z68" s="52" t="e">
        <f ca="1">_xll.RiskPercentile('Incurred Bootstrap'!$Y$266,$B68,Z$5)</f>
        <v>#NAME?</v>
      </c>
      <c r="AA68" s="52" t="e">
        <f ca="1">_xll.RiskPercentile('Incurred Bootstrap'!$Y$266,$B68,AA$5)</f>
        <v>#NAME?</v>
      </c>
      <c r="AB68" s="52" t="e">
        <f ca="1">_xll.RiskPercentile('Incurred Bootstrap'!$Y$266,$B68,AB$5)</f>
        <v>#NAME?</v>
      </c>
      <c r="AC68" s="52" t="e">
        <f ca="1">_xll.RiskPercentile('Incurred Bootstrap'!$Y$266,$B68,AC$5)</f>
        <v>#NAME?</v>
      </c>
    </row>
    <row r="69" spans="2:29" x14ac:dyDescent="0.25">
      <c r="B69" s="125">
        <f t="shared" si="12"/>
        <v>0.8500000000000002</v>
      </c>
      <c r="C69" s="52" t="e">
        <f ca="1">_xll.RiskPercentile('Incurred Bootstrap'!$Y$266,$B69,C$5)</f>
        <v>#NAME?</v>
      </c>
      <c r="D69" s="52" t="e">
        <f ca="1">_xll.RiskPercentile('Incurred Bootstrap'!$Y$266,$B69,D$5)</f>
        <v>#NAME?</v>
      </c>
      <c r="E69" s="52" t="e">
        <f ca="1">_xll.RiskPercentile('Incurred Bootstrap'!$Y$266,$B69,E$5)</f>
        <v>#NAME?</v>
      </c>
      <c r="F69" s="52" t="e">
        <f ca="1">_xll.RiskPercentile('Incurred Bootstrap'!$Y$266,$B69,F$5)</f>
        <v>#NAME?</v>
      </c>
      <c r="G69" s="52" t="e">
        <f ca="1">_xll.RiskPercentile('Incurred Bootstrap'!$Y$266,$B69,G$5)</f>
        <v>#NAME?</v>
      </c>
      <c r="H69" s="52" t="e">
        <f ca="1">_xll.RiskPercentile('Incurred Bootstrap'!$Y$266,$B69,H$5)</f>
        <v>#NAME?</v>
      </c>
      <c r="I69" s="52" t="e">
        <f ca="1">_xll.RiskPercentile('Incurred Bootstrap'!$Y$266,$B69,I$5)</f>
        <v>#NAME?</v>
      </c>
      <c r="J69" s="52" t="e">
        <f ca="1">_xll.RiskPercentile('Incurred Bootstrap'!$Y$266,$B69,J$5)</f>
        <v>#NAME?</v>
      </c>
      <c r="K69" s="52" t="e">
        <f ca="1">_xll.RiskPercentile('Incurred Bootstrap'!$Y$266,$B69,K$5)</f>
        <v>#NAME?</v>
      </c>
      <c r="L69" s="52" t="e">
        <f ca="1">_xll.RiskPercentile('Incurred Bootstrap'!$Y$266,$B69,L$5)</f>
        <v>#NAME?</v>
      </c>
      <c r="M69" s="52" t="e">
        <f ca="1">_xll.RiskPercentile('Incurred Bootstrap'!$Y$266,$B69,M$5)</f>
        <v>#NAME?</v>
      </c>
      <c r="N69" s="52" t="e">
        <f ca="1">_xll.RiskPercentile('Incurred Bootstrap'!$Y$266,$B69,N$5)</f>
        <v>#NAME?</v>
      </c>
      <c r="O69" s="52" t="e">
        <f ca="1">_xll.RiskPercentile('Incurred Bootstrap'!$Y$266,$B69,O$5)</f>
        <v>#NAME?</v>
      </c>
      <c r="P69" s="52" t="e">
        <f ca="1">_xll.RiskPercentile('Incurred Bootstrap'!$Y$266,$B69,P$5)</f>
        <v>#NAME?</v>
      </c>
      <c r="Q69" s="52" t="e">
        <f ca="1">_xll.RiskPercentile('Incurred Bootstrap'!$Y$266,$B69,Q$5)</f>
        <v>#NAME?</v>
      </c>
      <c r="R69" s="52" t="e">
        <f ca="1">_xll.RiskPercentile('Incurred Bootstrap'!$Y$266,$B69,R$5)</f>
        <v>#NAME?</v>
      </c>
      <c r="S69" s="52" t="e">
        <f ca="1">_xll.RiskPercentile('Incurred Bootstrap'!$Y$266,$B69,S$5)</f>
        <v>#NAME?</v>
      </c>
      <c r="T69" s="52" t="e">
        <f ca="1">_xll.RiskPercentile('Incurred Bootstrap'!$Y$266,$B69,T$5)</f>
        <v>#NAME?</v>
      </c>
      <c r="U69" s="52" t="e">
        <f ca="1">_xll.RiskPercentile('Incurred Bootstrap'!$Y$266,$B69,U$5)</f>
        <v>#NAME?</v>
      </c>
      <c r="V69" s="52" t="e">
        <f ca="1">_xll.RiskPercentile('Incurred Bootstrap'!$Y$266,$B69,V$5)</f>
        <v>#NAME?</v>
      </c>
      <c r="W69" s="52" t="e">
        <f ca="1">_xll.RiskPercentile('Incurred Bootstrap'!$Y$266,$B69,W$5)</f>
        <v>#NAME?</v>
      </c>
      <c r="X69" s="52" t="e">
        <f ca="1">_xll.RiskPercentile('Incurred Bootstrap'!$Y$266,$B69,X$5)</f>
        <v>#NAME?</v>
      </c>
      <c r="Y69" s="52" t="e">
        <f ca="1">_xll.RiskPercentile('Incurred Bootstrap'!$Y$266,$B69,Y$5)</f>
        <v>#NAME?</v>
      </c>
      <c r="Z69" s="52" t="e">
        <f ca="1">_xll.RiskPercentile('Incurred Bootstrap'!$Y$266,$B69,Z$5)</f>
        <v>#NAME?</v>
      </c>
      <c r="AA69" s="52" t="e">
        <f ca="1">_xll.RiskPercentile('Incurred Bootstrap'!$Y$266,$B69,AA$5)</f>
        <v>#NAME?</v>
      </c>
      <c r="AB69" s="52" t="e">
        <f ca="1">_xll.RiskPercentile('Incurred Bootstrap'!$Y$266,$B69,AB$5)</f>
        <v>#NAME?</v>
      </c>
      <c r="AC69" s="52" t="e">
        <f ca="1">_xll.RiskPercentile('Incurred Bootstrap'!$Y$266,$B69,AC$5)</f>
        <v>#NAME?</v>
      </c>
    </row>
    <row r="70" spans="2:29" x14ac:dyDescent="0.25">
      <c r="B70" s="125">
        <f t="shared" si="12"/>
        <v>0.90000000000000024</v>
      </c>
      <c r="C70" s="52" t="e">
        <f ca="1">_xll.RiskPercentile('Incurred Bootstrap'!$Y$266,$B70,C$5)</f>
        <v>#NAME?</v>
      </c>
      <c r="D70" s="52" t="e">
        <f ca="1">_xll.RiskPercentile('Incurred Bootstrap'!$Y$266,$B70,D$5)</f>
        <v>#NAME?</v>
      </c>
      <c r="E70" s="52" t="e">
        <f ca="1">_xll.RiskPercentile('Incurred Bootstrap'!$Y$266,$B70,E$5)</f>
        <v>#NAME?</v>
      </c>
      <c r="F70" s="52" t="e">
        <f ca="1">_xll.RiskPercentile('Incurred Bootstrap'!$Y$266,$B70,F$5)</f>
        <v>#NAME?</v>
      </c>
      <c r="G70" s="52" t="e">
        <f ca="1">_xll.RiskPercentile('Incurred Bootstrap'!$Y$266,$B70,G$5)</f>
        <v>#NAME?</v>
      </c>
      <c r="H70" s="52" t="e">
        <f ca="1">_xll.RiskPercentile('Incurred Bootstrap'!$Y$266,$B70,H$5)</f>
        <v>#NAME?</v>
      </c>
      <c r="I70" s="52" t="e">
        <f ca="1">_xll.RiskPercentile('Incurred Bootstrap'!$Y$266,$B70,I$5)</f>
        <v>#NAME?</v>
      </c>
      <c r="J70" s="52" t="e">
        <f ca="1">_xll.RiskPercentile('Incurred Bootstrap'!$Y$266,$B70,J$5)</f>
        <v>#NAME?</v>
      </c>
      <c r="K70" s="52" t="e">
        <f ca="1">_xll.RiskPercentile('Incurred Bootstrap'!$Y$266,$B70,K$5)</f>
        <v>#NAME?</v>
      </c>
      <c r="L70" s="52" t="e">
        <f ca="1">_xll.RiskPercentile('Incurred Bootstrap'!$Y$266,$B70,L$5)</f>
        <v>#NAME?</v>
      </c>
      <c r="M70" s="52" t="e">
        <f ca="1">_xll.RiskPercentile('Incurred Bootstrap'!$Y$266,$B70,M$5)</f>
        <v>#NAME?</v>
      </c>
      <c r="N70" s="52" t="e">
        <f ca="1">_xll.RiskPercentile('Incurred Bootstrap'!$Y$266,$B70,N$5)</f>
        <v>#NAME?</v>
      </c>
      <c r="O70" s="52" t="e">
        <f ca="1">_xll.RiskPercentile('Incurred Bootstrap'!$Y$266,$B70,O$5)</f>
        <v>#NAME?</v>
      </c>
      <c r="P70" s="52" t="e">
        <f ca="1">_xll.RiskPercentile('Incurred Bootstrap'!$Y$266,$B70,P$5)</f>
        <v>#NAME?</v>
      </c>
      <c r="Q70" s="52" t="e">
        <f ca="1">_xll.RiskPercentile('Incurred Bootstrap'!$Y$266,$B70,Q$5)</f>
        <v>#NAME?</v>
      </c>
      <c r="R70" s="52" t="e">
        <f ca="1">_xll.RiskPercentile('Incurred Bootstrap'!$Y$266,$B70,R$5)</f>
        <v>#NAME?</v>
      </c>
      <c r="S70" s="52" t="e">
        <f ca="1">_xll.RiskPercentile('Incurred Bootstrap'!$Y$266,$B70,S$5)</f>
        <v>#NAME?</v>
      </c>
      <c r="T70" s="52" t="e">
        <f ca="1">_xll.RiskPercentile('Incurred Bootstrap'!$Y$266,$B70,T$5)</f>
        <v>#NAME?</v>
      </c>
      <c r="U70" s="52" t="e">
        <f ca="1">_xll.RiskPercentile('Incurred Bootstrap'!$Y$266,$B70,U$5)</f>
        <v>#NAME?</v>
      </c>
      <c r="V70" s="52" t="e">
        <f ca="1">_xll.RiskPercentile('Incurred Bootstrap'!$Y$266,$B70,V$5)</f>
        <v>#NAME?</v>
      </c>
      <c r="W70" s="52" t="e">
        <f ca="1">_xll.RiskPercentile('Incurred Bootstrap'!$Y$266,$B70,W$5)</f>
        <v>#NAME?</v>
      </c>
      <c r="X70" s="52" t="e">
        <f ca="1">_xll.RiskPercentile('Incurred Bootstrap'!$Y$266,$B70,X$5)</f>
        <v>#NAME?</v>
      </c>
      <c r="Y70" s="52" t="e">
        <f ca="1">_xll.RiskPercentile('Incurred Bootstrap'!$Y$266,$B70,Y$5)</f>
        <v>#NAME?</v>
      </c>
      <c r="Z70" s="52" t="e">
        <f ca="1">_xll.RiskPercentile('Incurred Bootstrap'!$Y$266,$B70,Z$5)</f>
        <v>#NAME?</v>
      </c>
      <c r="AA70" s="52" t="e">
        <f ca="1">_xll.RiskPercentile('Incurred Bootstrap'!$Y$266,$B70,AA$5)</f>
        <v>#NAME?</v>
      </c>
      <c r="AB70" s="52" t="e">
        <f ca="1">_xll.RiskPercentile('Incurred Bootstrap'!$Y$266,$B70,AB$5)</f>
        <v>#NAME?</v>
      </c>
      <c r="AC70" s="52" t="e">
        <f ca="1">_xll.RiskPercentile('Incurred Bootstrap'!$Y$266,$B70,AC$5)</f>
        <v>#NAME?</v>
      </c>
    </row>
    <row r="71" spans="2:29" x14ac:dyDescent="0.25">
      <c r="B71" s="125">
        <f t="shared" si="12"/>
        <v>0.95000000000000029</v>
      </c>
      <c r="C71" s="52" t="e">
        <f ca="1">_xll.RiskPercentile('Incurred Bootstrap'!$Y$266,$B71,C$5)</f>
        <v>#NAME?</v>
      </c>
      <c r="D71" s="52" t="e">
        <f ca="1">_xll.RiskPercentile('Incurred Bootstrap'!$Y$266,$B71,D$5)</f>
        <v>#NAME?</v>
      </c>
      <c r="E71" s="52" t="e">
        <f ca="1">_xll.RiskPercentile('Incurred Bootstrap'!$Y$266,$B71,E$5)</f>
        <v>#NAME?</v>
      </c>
      <c r="F71" s="52" t="e">
        <f ca="1">_xll.RiskPercentile('Incurred Bootstrap'!$Y$266,$B71,F$5)</f>
        <v>#NAME?</v>
      </c>
      <c r="G71" s="52" t="e">
        <f ca="1">_xll.RiskPercentile('Incurred Bootstrap'!$Y$266,$B71,G$5)</f>
        <v>#NAME?</v>
      </c>
      <c r="H71" s="52" t="e">
        <f ca="1">_xll.RiskPercentile('Incurred Bootstrap'!$Y$266,$B71,H$5)</f>
        <v>#NAME?</v>
      </c>
      <c r="I71" s="52" t="e">
        <f ca="1">_xll.RiskPercentile('Incurred Bootstrap'!$Y$266,$B71,I$5)</f>
        <v>#NAME?</v>
      </c>
      <c r="J71" s="52" t="e">
        <f ca="1">_xll.RiskPercentile('Incurred Bootstrap'!$Y$266,$B71,J$5)</f>
        <v>#NAME?</v>
      </c>
      <c r="K71" s="52" t="e">
        <f ca="1">_xll.RiskPercentile('Incurred Bootstrap'!$Y$266,$B71,K$5)</f>
        <v>#NAME?</v>
      </c>
      <c r="L71" s="52" t="e">
        <f ca="1">_xll.RiskPercentile('Incurred Bootstrap'!$Y$266,$B71,L$5)</f>
        <v>#NAME?</v>
      </c>
      <c r="M71" s="52" t="e">
        <f ca="1">_xll.RiskPercentile('Incurred Bootstrap'!$Y$266,$B71,M$5)</f>
        <v>#NAME?</v>
      </c>
      <c r="N71" s="52" t="e">
        <f ca="1">_xll.RiskPercentile('Incurred Bootstrap'!$Y$266,$B71,N$5)</f>
        <v>#NAME?</v>
      </c>
      <c r="O71" s="52" t="e">
        <f ca="1">_xll.RiskPercentile('Incurred Bootstrap'!$Y$266,$B71,O$5)</f>
        <v>#NAME?</v>
      </c>
      <c r="P71" s="52" t="e">
        <f ca="1">_xll.RiskPercentile('Incurred Bootstrap'!$Y$266,$B71,P$5)</f>
        <v>#NAME?</v>
      </c>
      <c r="Q71" s="52" t="e">
        <f ca="1">_xll.RiskPercentile('Incurred Bootstrap'!$Y$266,$B71,Q$5)</f>
        <v>#NAME?</v>
      </c>
      <c r="R71" s="52" t="e">
        <f ca="1">_xll.RiskPercentile('Incurred Bootstrap'!$Y$266,$B71,R$5)</f>
        <v>#NAME?</v>
      </c>
      <c r="S71" s="52" t="e">
        <f ca="1">_xll.RiskPercentile('Incurred Bootstrap'!$Y$266,$B71,S$5)</f>
        <v>#NAME?</v>
      </c>
      <c r="T71" s="52" t="e">
        <f ca="1">_xll.RiskPercentile('Incurred Bootstrap'!$Y$266,$B71,T$5)</f>
        <v>#NAME?</v>
      </c>
      <c r="U71" s="52" t="e">
        <f ca="1">_xll.RiskPercentile('Incurred Bootstrap'!$Y$266,$B71,U$5)</f>
        <v>#NAME?</v>
      </c>
      <c r="V71" s="52" t="e">
        <f ca="1">_xll.RiskPercentile('Incurred Bootstrap'!$Y$266,$B71,V$5)</f>
        <v>#NAME?</v>
      </c>
      <c r="W71" s="52" t="e">
        <f ca="1">_xll.RiskPercentile('Incurred Bootstrap'!$Y$266,$B71,W$5)</f>
        <v>#NAME?</v>
      </c>
      <c r="X71" s="52" t="e">
        <f ca="1">_xll.RiskPercentile('Incurred Bootstrap'!$Y$266,$B71,X$5)</f>
        <v>#NAME?</v>
      </c>
      <c r="Y71" s="52" t="e">
        <f ca="1">_xll.RiskPercentile('Incurred Bootstrap'!$Y$266,$B71,Y$5)</f>
        <v>#NAME?</v>
      </c>
      <c r="Z71" s="52" t="e">
        <f ca="1">_xll.RiskPercentile('Incurred Bootstrap'!$Y$266,$B71,Z$5)</f>
        <v>#NAME?</v>
      </c>
      <c r="AA71" s="52" t="e">
        <f ca="1">_xll.RiskPercentile('Incurred Bootstrap'!$Y$266,$B71,AA$5)</f>
        <v>#NAME?</v>
      </c>
      <c r="AB71" s="52" t="e">
        <f ca="1">_xll.RiskPercentile('Incurred Bootstrap'!$Y$266,$B71,AB$5)</f>
        <v>#NAME?</v>
      </c>
      <c r="AC71" s="52" t="e">
        <f ca="1">_xll.RiskPercentile('Incurred Bootstrap'!$Y$266,$B71,AC$5)</f>
        <v>#NAME?</v>
      </c>
    </row>
    <row r="72" spans="2:29" x14ac:dyDescent="0.25">
      <c r="E72" s="46"/>
      <c r="H72" s="46"/>
      <c r="T72" s="46"/>
    </row>
    <row r="73" spans="2:29" x14ac:dyDescent="0.25">
      <c r="E73" s="46"/>
      <c r="H73" s="46"/>
      <c r="T73" s="46"/>
    </row>
    <row r="74" spans="2:29" x14ac:dyDescent="0.25">
      <c r="E74" s="46"/>
      <c r="H74" s="46"/>
      <c r="T74" s="46"/>
    </row>
    <row r="75" spans="2:29" x14ac:dyDescent="0.25">
      <c r="E75" s="46"/>
      <c r="H75" s="46"/>
      <c r="T75" s="46"/>
    </row>
    <row r="76" spans="2:29" x14ac:dyDescent="0.25">
      <c r="E76" s="46"/>
      <c r="H76" s="46"/>
      <c r="T76" s="46"/>
    </row>
    <row r="77" spans="2:29" x14ac:dyDescent="0.25">
      <c r="E77" s="46"/>
      <c r="H77" s="46"/>
      <c r="T77" s="46"/>
    </row>
    <row r="78" spans="2:29" x14ac:dyDescent="0.25">
      <c r="E78" s="46"/>
      <c r="H78" s="46"/>
      <c r="T78" s="46"/>
    </row>
    <row r="79" spans="2:29" x14ac:dyDescent="0.25">
      <c r="E79" s="46"/>
      <c r="H79" s="46"/>
      <c r="T79" s="46"/>
    </row>
    <row r="80" spans="2:29" x14ac:dyDescent="0.25">
      <c r="E80" s="46"/>
      <c r="H80" s="46"/>
      <c r="T80" s="46"/>
    </row>
    <row r="81" spans="5:20" x14ac:dyDescent="0.25">
      <c r="E81" s="46"/>
      <c r="H81" s="46"/>
      <c r="T81" s="46"/>
    </row>
    <row r="82" spans="5:20" x14ac:dyDescent="0.25">
      <c r="E82" s="46"/>
      <c r="H82" s="46"/>
      <c r="T82" s="46"/>
    </row>
    <row r="83" spans="5:20" x14ac:dyDescent="0.25">
      <c r="E83" s="46"/>
      <c r="H83" s="46"/>
      <c r="T83" s="46"/>
    </row>
    <row r="84" spans="5:20" x14ac:dyDescent="0.25">
      <c r="E84" s="46"/>
      <c r="H84" s="46"/>
      <c r="T84" s="46"/>
    </row>
    <row r="85" spans="5:20" x14ac:dyDescent="0.25">
      <c r="E85" s="46"/>
      <c r="H85" s="46"/>
      <c r="T85" s="46"/>
    </row>
  </sheetData>
  <phoneticPr fontId="4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1"/>
  <sheetViews>
    <sheetView workbookViewId="0">
      <selection activeCell="A2" sqref="A2"/>
    </sheetView>
  </sheetViews>
  <sheetFormatPr defaultRowHeight="13.2" x14ac:dyDescent="0.25"/>
  <cols>
    <col min="1" max="1" width="11.77734375" bestFit="1" customWidth="1"/>
    <col min="2" max="3" width="10.44140625" customWidth="1"/>
    <col min="4" max="4" width="3.33203125" customWidth="1"/>
    <col min="5" max="6" width="11.44140625" bestFit="1" customWidth="1"/>
    <col min="7" max="7" width="3.33203125" customWidth="1"/>
    <col min="8" max="8" width="11.33203125" customWidth="1"/>
    <col min="9" max="9" width="11.44140625" bestFit="1" customWidth="1"/>
    <col min="10" max="10" width="3.33203125" customWidth="1"/>
  </cols>
  <sheetData>
    <row r="1" spans="1:12" x14ac:dyDescent="0.25">
      <c r="H1" s="123"/>
    </row>
    <row r="2" spans="1:12" x14ac:dyDescent="0.25">
      <c r="A2">
        <v>22</v>
      </c>
    </row>
    <row r="3" spans="1:12" x14ac:dyDescent="0.25">
      <c r="A3" t="str">
        <f>INDEX(Notes!C40:C74,GroupNo)</f>
        <v>Group S22, Professional E&amp;O</v>
      </c>
    </row>
    <row r="5" spans="1:12" x14ac:dyDescent="0.25">
      <c r="B5" s="124" t="s">
        <v>50</v>
      </c>
      <c r="C5" s="124"/>
      <c r="E5" s="124" t="s">
        <v>49</v>
      </c>
      <c r="F5" s="124"/>
      <c r="H5" s="124" t="s">
        <v>52</v>
      </c>
      <c r="I5" s="124"/>
      <c r="K5" s="124" t="s">
        <v>175</v>
      </c>
      <c r="L5" s="124"/>
    </row>
    <row r="6" spans="1:12" x14ac:dyDescent="0.25">
      <c r="A6" t="s">
        <v>61</v>
      </c>
      <c r="B6" t="s">
        <v>57</v>
      </c>
      <c r="C6" t="s">
        <v>51</v>
      </c>
      <c r="E6" s="1" t="s">
        <v>55</v>
      </c>
      <c r="F6" s="1" t="s">
        <v>62</v>
      </c>
      <c r="H6" s="1" t="s">
        <v>55</v>
      </c>
      <c r="I6" s="1" t="s">
        <v>62</v>
      </c>
      <c r="K6" s="1" t="s">
        <v>55</v>
      </c>
      <c r="L6" s="1" t="s">
        <v>62</v>
      </c>
    </row>
    <row r="7" spans="1:12" x14ac:dyDescent="0.25">
      <c r="A7">
        <f>Inputs!B62</f>
        <v>1996</v>
      </c>
      <c r="B7" s="122">
        <f>INDEX(BEWSSummary,Inputs!$I$3*(GroupNo-1)+$A7-(Inputs!$I$2-Inputs!$I$3),1)+INDEX(BEWSSummary,Inputs!$I$3*(GroupNo-1)+$A7-(Inputs!$I$2-Inputs!$I$3),3)</f>
        <v>0</v>
      </c>
      <c r="C7" s="122">
        <f>INDEX(BEWSSummary,Inputs!$I$3*(GroupNo-1)+$A7-(Inputs!$I$2-Inputs!$I$3),1)+INDEX(BEWSSummary,Inputs!$I$3*(GroupNo-1)+$A7-(Inputs!$I$2-Inputs!$I$3),2)</f>
        <v>0</v>
      </c>
      <c r="E7" s="52" t="e">
        <f ca="1">_xll.RiskMean(TEXT(A7,"####")&amp; " / Paid TNR",GroupNo)</f>
        <v>#NAME?</v>
      </c>
      <c r="F7" s="52" t="e">
        <f ca="1">_xll.RiskMean(TEXT(A7, "####")&amp;" / Inc TNR",GroupNo)</f>
        <v>#NAME?</v>
      </c>
      <c r="H7" s="52" t="e">
        <f t="shared" ref="H7:H26" ca="1" si="0">E7-$C7</f>
        <v>#NAME?</v>
      </c>
      <c r="I7" s="52" t="e">
        <f t="shared" ref="I7:I26" ca="1" si="1">F7-$C7</f>
        <v>#NAME?</v>
      </c>
      <c r="K7" s="184" t="e">
        <f ca="1">_xll.RiskStdDev(TEXT(A7,"####")&amp; " / Paid TNR",GroupNo)/_xll.RiskMean(TEXT(A7,"####")&amp; " / Paid TNR",GroupNo)</f>
        <v>#NAME?</v>
      </c>
      <c r="L7" s="184" t="e">
        <f ca="1">_xll.RiskStdDev(TEXT(A7, "####")&amp;" / Inc TNR",GroupNo)/_xll.RiskMean(TEXT(A7, "####")&amp;" / Inc TNR",GroupNo)</f>
        <v>#NAME?</v>
      </c>
    </row>
    <row r="8" spans="1:12" x14ac:dyDescent="0.25">
      <c r="A8">
        <f>Inputs!B63</f>
        <v>1997</v>
      </c>
      <c r="B8" s="122">
        <f>INDEX(BEWSSummary,Inputs!$I$3*(GroupNo-1)+$A8-(Inputs!$I$2-Inputs!$I$3),1)+INDEX(BEWSSummary,Inputs!$I$3*(GroupNo-1)+$A8-(Inputs!$I$2-Inputs!$I$3),3)</f>
        <v>3</v>
      </c>
      <c r="C8" s="122">
        <f>INDEX(BEWSSummary,Inputs!$I$3*(GroupNo-1)+$A8-(Inputs!$I$2-Inputs!$I$3),1)+INDEX(BEWSSummary,Inputs!$I$3*(GroupNo-1)+$A8-(Inputs!$I$2-Inputs!$I$3),2)</f>
        <v>3</v>
      </c>
      <c r="E8" s="52" t="e">
        <f ca="1">_xll.RiskMean(TEXT(A8,"####")&amp; " / Paid TNR",GroupNo)</f>
        <v>#NAME?</v>
      </c>
      <c r="F8" s="52" t="e">
        <f ca="1">_xll.RiskMean(TEXT(A8, "####")&amp;" / Inc TNR",GroupNo)</f>
        <v>#NAME?</v>
      </c>
      <c r="H8" s="52" t="e">
        <f t="shared" ca="1" si="0"/>
        <v>#NAME?</v>
      </c>
      <c r="I8" s="52" t="e">
        <f t="shared" ca="1" si="1"/>
        <v>#NAME?</v>
      </c>
      <c r="K8" s="184" t="e">
        <f ca="1">_xll.RiskStdDev(TEXT(A8,"####")&amp; " / Paid TNR",GroupNo)/_xll.RiskMean(TEXT(A8,"####")&amp; " / Paid TNR",GroupNo)</f>
        <v>#NAME?</v>
      </c>
      <c r="L8" s="184" t="e">
        <f ca="1">_xll.RiskStdDev(TEXT(A8, "####")&amp;" / Inc TNR",GroupNo)/_xll.RiskMean(TEXT(A8, "####")&amp;" / Inc TNR",GroupNo)</f>
        <v>#NAME?</v>
      </c>
    </row>
    <row r="9" spans="1:12" x14ac:dyDescent="0.25">
      <c r="A9">
        <f>Inputs!B64</f>
        <v>1998</v>
      </c>
      <c r="B9" s="122">
        <f>INDEX(BEWSSummary,Inputs!$I$3*(GroupNo-1)+$A9-(Inputs!$I$2-Inputs!$I$3),1)+INDEX(BEWSSummary,Inputs!$I$3*(GroupNo-1)+$A9-(Inputs!$I$2-Inputs!$I$3),3)</f>
        <v>776846.67999999993</v>
      </c>
      <c r="C9" s="122">
        <f>INDEX(BEWSSummary,Inputs!$I$3*(GroupNo-1)+$A9-(Inputs!$I$2-Inputs!$I$3),1)+INDEX(BEWSSummary,Inputs!$I$3*(GroupNo-1)+$A9-(Inputs!$I$2-Inputs!$I$3),2)</f>
        <v>1119846.6800000002</v>
      </c>
      <c r="E9" s="52" t="e">
        <f ca="1">_xll.RiskMean(TEXT(A9,"####")&amp; " / Paid TNR",GroupNo)</f>
        <v>#NAME?</v>
      </c>
      <c r="F9" s="52" t="e">
        <f ca="1">_xll.RiskMean(TEXT(A9, "####")&amp;" / Inc TNR",GroupNo)</f>
        <v>#NAME?</v>
      </c>
      <c r="H9" s="52" t="e">
        <f t="shared" ca="1" si="0"/>
        <v>#NAME?</v>
      </c>
      <c r="I9" s="52" t="e">
        <f t="shared" ca="1" si="1"/>
        <v>#NAME?</v>
      </c>
      <c r="K9" s="184" t="e">
        <f ca="1">_xll.RiskStdDev(TEXT(A9,"####")&amp; " / Paid TNR",GroupNo)/_xll.RiskMean(TEXT(A9,"####")&amp; " / Paid TNR",GroupNo)</f>
        <v>#NAME?</v>
      </c>
      <c r="L9" s="184" t="e">
        <f ca="1">_xll.RiskStdDev(TEXT(A9, "####")&amp;" / Inc TNR",GroupNo)/_xll.RiskMean(TEXT(A9, "####")&amp;" / Inc TNR",GroupNo)</f>
        <v>#NAME?</v>
      </c>
    </row>
    <row r="10" spans="1:12" x14ac:dyDescent="0.25">
      <c r="A10">
        <f>Inputs!B65</f>
        <v>1999</v>
      </c>
      <c r="B10" s="122">
        <f>INDEX(BEWSSummary,Inputs!$I$3*(GroupNo-1)+$A10-(Inputs!$I$2-Inputs!$I$3),1)+INDEX(BEWSSummary,Inputs!$I$3*(GroupNo-1)+$A10-(Inputs!$I$2-Inputs!$I$3),3)</f>
        <v>90001.78</v>
      </c>
      <c r="C10" s="122">
        <f>INDEX(BEWSSummary,Inputs!$I$3*(GroupNo-1)+$A10-(Inputs!$I$2-Inputs!$I$3),1)+INDEX(BEWSSummary,Inputs!$I$3*(GroupNo-1)+$A10-(Inputs!$I$2-Inputs!$I$3),2)</f>
        <v>187001.78</v>
      </c>
      <c r="E10" s="52" t="e">
        <f ca="1">_xll.RiskMean(TEXT(A10,"####")&amp; " / Paid TNR",GroupNo)</f>
        <v>#NAME?</v>
      </c>
      <c r="F10" s="52" t="e">
        <f ca="1">_xll.RiskMean(TEXT(A10, "####")&amp;" / Inc TNR",GroupNo)</f>
        <v>#NAME?</v>
      </c>
      <c r="H10" s="52" t="e">
        <f t="shared" ca="1" si="0"/>
        <v>#NAME?</v>
      </c>
      <c r="I10" s="52" t="e">
        <f t="shared" ca="1" si="1"/>
        <v>#NAME?</v>
      </c>
      <c r="K10" s="184" t="e">
        <f ca="1">_xll.RiskStdDev(TEXT(A10,"####")&amp; " / Paid TNR",GroupNo)/_xll.RiskMean(TEXT(A10,"####")&amp; " / Paid TNR",GroupNo)</f>
        <v>#NAME?</v>
      </c>
      <c r="L10" s="184" t="e">
        <f ca="1">_xll.RiskStdDev(TEXT(A10, "####")&amp;" / Inc TNR",GroupNo)/_xll.RiskMean(TEXT(A10, "####")&amp;" / Inc TNR",GroupNo)</f>
        <v>#NAME?</v>
      </c>
    </row>
    <row r="11" spans="1:12" x14ac:dyDescent="0.25">
      <c r="A11">
        <f>Inputs!B66</f>
        <v>2000</v>
      </c>
      <c r="B11" s="122">
        <f>INDEX(BEWSSummary,Inputs!$I$3*(GroupNo-1)+$A11-(Inputs!$I$2-Inputs!$I$3),1)+INDEX(BEWSSummary,Inputs!$I$3*(GroupNo-1)+$A11-(Inputs!$I$2-Inputs!$I$3),3)</f>
        <v>43038.12</v>
      </c>
      <c r="C11" s="122">
        <f>INDEX(BEWSSummary,Inputs!$I$3*(GroupNo-1)+$A11-(Inputs!$I$2-Inputs!$I$3),1)+INDEX(BEWSSummary,Inputs!$I$3*(GroupNo-1)+$A11-(Inputs!$I$2-Inputs!$I$3),2)</f>
        <v>-6961.88</v>
      </c>
      <c r="E11" s="52" t="e">
        <f ca="1">_xll.RiskMean(TEXT(A11,"####")&amp; " / Paid TNR",GroupNo)</f>
        <v>#NAME?</v>
      </c>
      <c r="F11" s="52" t="e">
        <f ca="1">_xll.RiskMean(TEXT(A11, "####")&amp;" / Inc TNR",GroupNo)</f>
        <v>#NAME?</v>
      </c>
      <c r="H11" s="52" t="e">
        <f t="shared" ca="1" si="0"/>
        <v>#NAME?</v>
      </c>
      <c r="I11" s="52" t="e">
        <f t="shared" ca="1" si="1"/>
        <v>#NAME?</v>
      </c>
      <c r="K11" s="184" t="e">
        <f ca="1">_xll.RiskStdDev(TEXT(A11,"####")&amp; " / Paid TNR",GroupNo)/_xll.RiskMean(TEXT(A11,"####")&amp; " / Paid TNR",GroupNo)</f>
        <v>#NAME?</v>
      </c>
      <c r="L11" s="184" t="e">
        <f ca="1">_xll.RiskStdDev(TEXT(A11, "####")&amp;" / Inc TNR",GroupNo)/_xll.RiskMean(TEXT(A11, "####")&amp;" / Inc TNR",GroupNo)</f>
        <v>#NAME?</v>
      </c>
    </row>
    <row r="12" spans="1:12" x14ac:dyDescent="0.25">
      <c r="A12">
        <f>Inputs!B67</f>
        <v>2001</v>
      </c>
      <c r="B12" s="122">
        <f>INDEX(BEWSSummary,Inputs!$I$3*(GroupNo-1)+$A12-(Inputs!$I$2-Inputs!$I$3),1)+INDEX(BEWSSummary,Inputs!$I$3*(GroupNo-1)+$A12-(Inputs!$I$2-Inputs!$I$3),3)</f>
        <v>124482.47</v>
      </c>
      <c r="C12" s="122">
        <f>INDEX(BEWSSummary,Inputs!$I$3*(GroupNo-1)+$A12-(Inputs!$I$2-Inputs!$I$3),1)+INDEX(BEWSSummary,Inputs!$I$3*(GroupNo-1)+$A12-(Inputs!$I$2-Inputs!$I$3),2)</f>
        <v>82482.47</v>
      </c>
      <c r="E12" s="52" t="e">
        <f ca="1">_xll.RiskMean(TEXT(A12,"####")&amp; " / Paid TNR",GroupNo)</f>
        <v>#NAME?</v>
      </c>
      <c r="F12" s="52" t="e">
        <f ca="1">_xll.RiskMean(TEXT(A12, "####")&amp;" / Inc TNR",GroupNo)</f>
        <v>#NAME?</v>
      </c>
      <c r="H12" s="52" t="e">
        <f t="shared" ca="1" si="0"/>
        <v>#NAME?</v>
      </c>
      <c r="I12" s="52" t="e">
        <f t="shared" ca="1" si="1"/>
        <v>#NAME?</v>
      </c>
      <c r="K12" s="184" t="e">
        <f ca="1">_xll.RiskStdDev(TEXT(A12,"####")&amp; " / Paid TNR",GroupNo)/_xll.RiskMean(TEXT(A12,"####")&amp; " / Paid TNR",GroupNo)</f>
        <v>#NAME?</v>
      </c>
      <c r="L12" s="184" t="e">
        <f ca="1">_xll.RiskStdDev(TEXT(A12, "####")&amp;" / Inc TNR",GroupNo)/_xll.RiskMean(TEXT(A12, "####")&amp;" / Inc TNR",GroupNo)</f>
        <v>#NAME?</v>
      </c>
    </row>
    <row r="13" spans="1:12" x14ac:dyDescent="0.25">
      <c r="A13">
        <f>Inputs!B68</f>
        <v>2002</v>
      </c>
      <c r="B13" s="122">
        <f>INDEX(BEWSSummary,Inputs!$I$3*(GroupNo-1)+$A13-(Inputs!$I$2-Inputs!$I$3),1)+INDEX(BEWSSummary,Inputs!$I$3*(GroupNo-1)+$A13-(Inputs!$I$2-Inputs!$I$3),3)</f>
        <v>117294.47</v>
      </c>
      <c r="C13" s="122">
        <f>INDEX(BEWSSummary,Inputs!$I$3*(GroupNo-1)+$A13-(Inputs!$I$2-Inputs!$I$3),1)+INDEX(BEWSSummary,Inputs!$I$3*(GroupNo-1)+$A13-(Inputs!$I$2-Inputs!$I$3),2)</f>
        <v>20294.47</v>
      </c>
      <c r="E13" s="52" t="e">
        <f ca="1">_xll.RiskMean(TEXT(A13,"####")&amp; " / Paid TNR",GroupNo)</f>
        <v>#NAME?</v>
      </c>
      <c r="F13" s="52" t="e">
        <f ca="1">_xll.RiskMean(TEXT(A13, "####")&amp;" / Inc TNR",GroupNo)</f>
        <v>#NAME?</v>
      </c>
      <c r="H13" s="52" t="e">
        <f t="shared" ca="1" si="0"/>
        <v>#NAME?</v>
      </c>
      <c r="I13" s="52" t="e">
        <f t="shared" ca="1" si="1"/>
        <v>#NAME?</v>
      </c>
      <c r="K13" s="184" t="e">
        <f ca="1">_xll.RiskStdDev(TEXT(A13,"####")&amp; " / Paid TNR",GroupNo)/_xll.RiskMean(TEXT(A13,"####")&amp; " / Paid TNR",GroupNo)</f>
        <v>#NAME?</v>
      </c>
      <c r="L13" s="184" t="e">
        <f ca="1">_xll.RiskStdDev(TEXT(A13, "####")&amp;" / Inc TNR",GroupNo)/_xll.RiskMean(TEXT(A13, "####")&amp;" / Inc TNR",GroupNo)</f>
        <v>#NAME?</v>
      </c>
    </row>
    <row r="14" spans="1:12" x14ac:dyDescent="0.25">
      <c r="A14">
        <f>Inputs!B69</f>
        <v>2003</v>
      </c>
      <c r="B14" s="122">
        <f>INDEX(BEWSSummary,Inputs!$I$3*(GroupNo-1)+$A14-(Inputs!$I$2-Inputs!$I$3),1)+INDEX(BEWSSummary,Inputs!$I$3*(GroupNo-1)+$A14-(Inputs!$I$2-Inputs!$I$3),3)</f>
        <v>-295105.57</v>
      </c>
      <c r="C14" s="122">
        <f>INDEX(BEWSSummary,Inputs!$I$3*(GroupNo-1)+$A14-(Inputs!$I$2-Inputs!$I$3),1)+INDEX(BEWSSummary,Inputs!$I$3*(GroupNo-1)+$A14-(Inputs!$I$2-Inputs!$I$3),2)</f>
        <v>-599105.56999999995</v>
      </c>
      <c r="E14" s="52" t="e">
        <f ca="1">_xll.RiskMean(TEXT(A14,"####")&amp; " / Paid TNR",GroupNo)</f>
        <v>#NAME?</v>
      </c>
      <c r="F14" s="52" t="e">
        <f ca="1">_xll.RiskMean(TEXT(A14, "####")&amp;" / Inc TNR",GroupNo)</f>
        <v>#NAME?</v>
      </c>
      <c r="H14" s="52" t="e">
        <f t="shared" ca="1" si="0"/>
        <v>#NAME?</v>
      </c>
      <c r="I14" s="52" t="e">
        <f t="shared" ca="1" si="1"/>
        <v>#NAME?</v>
      </c>
      <c r="K14" s="184" t="e">
        <f ca="1">_xll.RiskStdDev(TEXT(A14,"####")&amp; " / Paid TNR",GroupNo)/_xll.RiskMean(TEXT(A14,"####")&amp; " / Paid TNR",GroupNo)</f>
        <v>#NAME?</v>
      </c>
      <c r="L14" s="184" t="e">
        <f ca="1">_xll.RiskStdDev(TEXT(A14, "####")&amp;" / Inc TNR",GroupNo)/_xll.RiskMean(TEXT(A14, "####")&amp;" / Inc TNR",GroupNo)</f>
        <v>#NAME?</v>
      </c>
    </row>
    <row r="15" spans="1:12" x14ac:dyDescent="0.25">
      <c r="A15">
        <f>Inputs!B70</f>
        <v>2004</v>
      </c>
      <c r="B15" s="122">
        <f>INDEX(BEWSSummary,Inputs!$I$3*(GroupNo-1)+$A15-(Inputs!$I$2-Inputs!$I$3),1)+INDEX(BEWSSummary,Inputs!$I$3*(GroupNo-1)+$A15-(Inputs!$I$2-Inputs!$I$3),3)</f>
        <v>1457151.0399999998</v>
      </c>
      <c r="C15" s="122">
        <f>INDEX(BEWSSummary,Inputs!$I$3*(GroupNo-1)+$A15-(Inputs!$I$2-Inputs!$I$3),1)+INDEX(BEWSSummary,Inputs!$I$3*(GroupNo-1)+$A15-(Inputs!$I$2-Inputs!$I$3),2)</f>
        <v>-1533848.96</v>
      </c>
      <c r="E15" s="52" t="e">
        <f ca="1">_xll.RiskMean(TEXT(A15,"####")&amp; " / Paid TNR",GroupNo)</f>
        <v>#NAME?</v>
      </c>
      <c r="F15" s="52" t="e">
        <f ca="1">_xll.RiskMean(TEXT(A15, "####")&amp;" / Inc TNR",GroupNo)</f>
        <v>#NAME?</v>
      </c>
      <c r="H15" s="52" t="e">
        <f t="shared" ca="1" si="0"/>
        <v>#NAME?</v>
      </c>
      <c r="I15" s="52" t="e">
        <f t="shared" ca="1" si="1"/>
        <v>#NAME?</v>
      </c>
      <c r="K15" s="184" t="e">
        <f ca="1">_xll.RiskStdDev(TEXT(A15,"####")&amp; " / Paid TNR",GroupNo)/_xll.RiskMean(TEXT(A15,"####")&amp; " / Paid TNR",GroupNo)</f>
        <v>#NAME?</v>
      </c>
      <c r="L15" s="184" t="e">
        <f ca="1">_xll.RiskStdDev(TEXT(A15, "####")&amp;" / Inc TNR",GroupNo)/_xll.RiskMean(TEXT(A15, "####")&amp;" / Inc TNR",GroupNo)</f>
        <v>#NAME?</v>
      </c>
    </row>
    <row r="16" spans="1:12" x14ac:dyDescent="0.25">
      <c r="A16">
        <f>Inputs!B71</f>
        <v>2005</v>
      </c>
      <c r="B16" s="122">
        <f>INDEX(BEWSSummary,Inputs!$I$3*(GroupNo-1)+$A16-(Inputs!$I$2-Inputs!$I$3),1)+INDEX(BEWSSummary,Inputs!$I$3*(GroupNo-1)+$A16-(Inputs!$I$2-Inputs!$I$3),3)</f>
        <v>1079878.67</v>
      </c>
      <c r="C16" s="122">
        <f>INDEX(BEWSSummary,Inputs!$I$3*(GroupNo-1)+$A16-(Inputs!$I$2-Inputs!$I$3),1)+INDEX(BEWSSummary,Inputs!$I$3*(GroupNo-1)+$A16-(Inputs!$I$2-Inputs!$I$3),2)</f>
        <v>-834121.33000000007</v>
      </c>
      <c r="E16" s="52" t="e">
        <f ca="1">_xll.RiskMean(TEXT(A16,"####")&amp; " / Paid TNR",GroupNo)</f>
        <v>#NAME?</v>
      </c>
      <c r="F16" s="52" t="e">
        <f ca="1">_xll.RiskMean(TEXT(A16, "####")&amp;" / Inc TNR",GroupNo)</f>
        <v>#NAME?</v>
      </c>
      <c r="H16" s="52" t="e">
        <f t="shared" ca="1" si="0"/>
        <v>#NAME?</v>
      </c>
      <c r="I16" s="52" t="e">
        <f t="shared" ca="1" si="1"/>
        <v>#NAME?</v>
      </c>
      <c r="K16" s="184" t="e">
        <f ca="1">_xll.RiskStdDev(TEXT(A16,"####")&amp; " / Paid TNR",GroupNo)/_xll.RiskMean(TEXT(A16,"####")&amp; " / Paid TNR",GroupNo)</f>
        <v>#NAME?</v>
      </c>
      <c r="L16" s="184" t="e">
        <f ca="1">_xll.RiskStdDev(TEXT(A16, "####")&amp;" / Inc TNR",GroupNo)/_xll.RiskMean(TEXT(A16, "####")&amp;" / Inc TNR",GroupNo)</f>
        <v>#NAME?</v>
      </c>
    </row>
    <row r="17" spans="1:12" x14ac:dyDescent="0.25">
      <c r="A17">
        <f>Inputs!B72</f>
        <v>2006</v>
      </c>
      <c r="B17" s="122">
        <f>INDEX(BEWSSummary,Inputs!$I$3*(GroupNo-1)+$A17-(Inputs!$I$2-Inputs!$I$3),1)+INDEX(BEWSSummary,Inputs!$I$3*(GroupNo-1)+$A17-(Inputs!$I$2-Inputs!$I$3),3)</f>
        <v>1168287.27</v>
      </c>
      <c r="C17" s="122">
        <f>INDEX(BEWSSummary,Inputs!$I$3*(GroupNo-1)+$A17-(Inputs!$I$2-Inputs!$I$3),1)+INDEX(BEWSSummary,Inputs!$I$3*(GroupNo-1)+$A17-(Inputs!$I$2-Inputs!$I$3),2)</f>
        <v>2991287.27</v>
      </c>
      <c r="E17" s="52" t="e">
        <f ca="1">_xll.RiskMean(TEXT(A17,"####")&amp; " / Paid TNR",GroupNo)</f>
        <v>#NAME?</v>
      </c>
      <c r="F17" s="52" t="e">
        <f ca="1">_xll.RiskMean(TEXT(A17, "####")&amp;" / Inc TNR",GroupNo)</f>
        <v>#NAME?</v>
      </c>
      <c r="H17" s="52" t="e">
        <f t="shared" ca="1" si="0"/>
        <v>#NAME?</v>
      </c>
      <c r="I17" s="52" t="e">
        <f t="shared" ca="1" si="1"/>
        <v>#NAME?</v>
      </c>
      <c r="K17" s="184" t="e">
        <f ca="1">_xll.RiskStdDev(TEXT(A17,"####")&amp; " / Paid TNR",GroupNo)/_xll.RiskMean(TEXT(A17,"####")&amp; " / Paid TNR",GroupNo)</f>
        <v>#NAME?</v>
      </c>
      <c r="L17" s="184" t="e">
        <f ca="1">_xll.RiskStdDev(TEXT(A17, "####")&amp;" / Inc TNR",GroupNo)/_xll.RiskMean(TEXT(A17, "####")&amp;" / Inc TNR",GroupNo)</f>
        <v>#NAME?</v>
      </c>
    </row>
    <row r="18" spans="1:12" x14ac:dyDescent="0.25">
      <c r="A18">
        <f>Inputs!B73</f>
        <v>2007</v>
      </c>
      <c r="B18" s="122">
        <f>INDEX(BEWSSummary,Inputs!$I$3*(GroupNo-1)+$A18-(Inputs!$I$2-Inputs!$I$3),1)+INDEX(BEWSSummary,Inputs!$I$3*(GroupNo-1)+$A18-(Inputs!$I$2-Inputs!$I$3),3)</f>
        <v>2140037.21</v>
      </c>
      <c r="C18" s="122">
        <f>INDEX(BEWSSummary,Inputs!$I$3*(GroupNo-1)+$A18-(Inputs!$I$2-Inputs!$I$3),1)+INDEX(BEWSSummary,Inputs!$I$3*(GroupNo-1)+$A18-(Inputs!$I$2-Inputs!$I$3),2)</f>
        <v>1893729.05</v>
      </c>
      <c r="E18" s="52" t="e">
        <f ca="1">_xll.RiskMean(TEXT(A18,"####")&amp; " / Paid TNR",GroupNo)</f>
        <v>#NAME?</v>
      </c>
      <c r="F18" s="52" t="e">
        <f ca="1">_xll.RiskMean(TEXT(A18, "####")&amp;" / Inc TNR",GroupNo)</f>
        <v>#NAME?</v>
      </c>
      <c r="H18" s="52" t="e">
        <f t="shared" ca="1" si="0"/>
        <v>#NAME?</v>
      </c>
      <c r="I18" s="52" t="e">
        <f t="shared" ca="1" si="1"/>
        <v>#NAME?</v>
      </c>
      <c r="K18" s="184" t="e">
        <f ca="1">_xll.RiskStdDev(TEXT(A18,"####")&amp; " / Paid TNR",GroupNo)/_xll.RiskMean(TEXT(A18,"####")&amp; " / Paid TNR",GroupNo)</f>
        <v>#NAME?</v>
      </c>
      <c r="L18" s="184" t="e">
        <f ca="1">_xll.RiskStdDev(TEXT(A18, "####")&amp;" / Inc TNR",GroupNo)/_xll.RiskMean(TEXT(A18, "####")&amp;" / Inc TNR",GroupNo)</f>
        <v>#NAME?</v>
      </c>
    </row>
    <row r="19" spans="1:12" x14ac:dyDescent="0.25">
      <c r="A19">
        <f>Inputs!B74</f>
        <v>2008</v>
      </c>
      <c r="B19" s="122">
        <f>INDEX(BEWSSummary,Inputs!$I$3*(GroupNo-1)+$A19-(Inputs!$I$2-Inputs!$I$3),1)+INDEX(BEWSSummary,Inputs!$I$3*(GroupNo-1)+$A19-(Inputs!$I$2-Inputs!$I$3),3)</f>
        <v>8196372.1400000006</v>
      </c>
      <c r="C19" s="122">
        <f>INDEX(BEWSSummary,Inputs!$I$3*(GroupNo-1)+$A19-(Inputs!$I$2-Inputs!$I$3),1)+INDEX(BEWSSummary,Inputs!$I$3*(GroupNo-1)+$A19-(Inputs!$I$2-Inputs!$I$3),2)</f>
        <v>6588248.8600000003</v>
      </c>
      <c r="E19" s="52" t="e">
        <f ca="1">_xll.RiskMean(TEXT(A19,"####")&amp; " / Paid TNR",GroupNo)</f>
        <v>#NAME?</v>
      </c>
      <c r="F19" s="52" t="e">
        <f ca="1">_xll.RiskMean(TEXT(A19, "####")&amp;" / Inc TNR",GroupNo)</f>
        <v>#NAME?</v>
      </c>
      <c r="H19" s="52" t="e">
        <f t="shared" ca="1" si="0"/>
        <v>#NAME?</v>
      </c>
      <c r="I19" s="52" t="e">
        <f t="shared" ca="1" si="1"/>
        <v>#NAME?</v>
      </c>
      <c r="K19" s="184" t="e">
        <f ca="1">_xll.RiskStdDev(TEXT(A19,"####")&amp; " / Paid TNR",GroupNo)/_xll.RiskMean(TEXT(A19,"####")&amp; " / Paid TNR",GroupNo)</f>
        <v>#NAME?</v>
      </c>
      <c r="L19" s="184" t="e">
        <f ca="1">_xll.RiskStdDev(TEXT(A19, "####")&amp;" / Inc TNR",GroupNo)/_xll.RiskMean(TEXT(A19, "####")&amp;" / Inc TNR",GroupNo)</f>
        <v>#NAME?</v>
      </c>
    </row>
    <row r="20" spans="1:12" x14ac:dyDescent="0.25">
      <c r="A20">
        <f>Inputs!B75</f>
        <v>2009</v>
      </c>
      <c r="B20" s="122">
        <f>INDEX(BEWSSummary,Inputs!$I$3*(GroupNo-1)+$A20-(Inputs!$I$2-Inputs!$I$3),1)+INDEX(BEWSSummary,Inputs!$I$3*(GroupNo-1)+$A20-(Inputs!$I$2-Inputs!$I$3),3)</f>
        <v>23507108.059999999</v>
      </c>
      <c r="C20" s="122">
        <f>INDEX(BEWSSummary,Inputs!$I$3*(GroupNo-1)+$A20-(Inputs!$I$2-Inputs!$I$3),1)+INDEX(BEWSSummary,Inputs!$I$3*(GroupNo-1)+$A20-(Inputs!$I$2-Inputs!$I$3),2)</f>
        <v>23896082.82</v>
      </c>
      <c r="E20" s="52" t="e">
        <f ca="1">_xll.RiskMean(TEXT(A20,"####")&amp; " / Paid TNR",GroupNo)</f>
        <v>#NAME?</v>
      </c>
      <c r="F20" s="52" t="e">
        <f ca="1">_xll.RiskMean(TEXT(A20, "####")&amp;" / Inc TNR",GroupNo)</f>
        <v>#NAME?</v>
      </c>
      <c r="H20" s="52" t="e">
        <f t="shared" ca="1" si="0"/>
        <v>#NAME?</v>
      </c>
      <c r="I20" s="52" t="e">
        <f t="shared" ca="1" si="1"/>
        <v>#NAME?</v>
      </c>
      <c r="K20" s="184" t="e">
        <f ca="1">_xll.RiskStdDev(TEXT(A20,"####")&amp; " / Paid TNR",GroupNo)/_xll.RiskMean(TEXT(A20,"####")&amp; " / Paid TNR",GroupNo)</f>
        <v>#NAME?</v>
      </c>
      <c r="L20" s="184" t="e">
        <f ca="1">_xll.RiskStdDev(TEXT(A20, "####")&amp;" / Inc TNR",GroupNo)/_xll.RiskMean(TEXT(A20, "####")&amp;" / Inc TNR",GroupNo)</f>
        <v>#NAME?</v>
      </c>
    </row>
    <row r="21" spans="1:12" x14ac:dyDescent="0.25">
      <c r="A21">
        <f>Inputs!B76</f>
        <v>2010</v>
      </c>
      <c r="B21" s="122">
        <f>INDEX(BEWSSummary,Inputs!$I$3*(GroupNo-1)+$A21-(Inputs!$I$2-Inputs!$I$3),1)+INDEX(BEWSSummary,Inputs!$I$3*(GroupNo-1)+$A21-(Inputs!$I$2-Inputs!$I$3),3)</f>
        <v>13552259.789999999</v>
      </c>
      <c r="C21" s="122">
        <f>INDEX(BEWSSummary,Inputs!$I$3*(GroupNo-1)+$A21-(Inputs!$I$2-Inputs!$I$3),1)+INDEX(BEWSSummary,Inputs!$I$3*(GroupNo-1)+$A21-(Inputs!$I$2-Inputs!$I$3),2)</f>
        <v>14231512.25</v>
      </c>
      <c r="E21" s="52" t="e">
        <f ca="1">_xll.RiskMean(TEXT(A21,"####")&amp; " / Paid TNR",GroupNo)</f>
        <v>#NAME?</v>
      </c>
      <c r="F21" s="52" t="e">
        <f ca="1">_xll.RiskMean(TEXT(A21, "####")&amp;" / Inc TNR",GroupNo)</f>
        <v>#NAME?</v>
      </c>
      <c r="H21" s="52" t="e">
        <f t="shared" ca="1" si="0"/>
        <v>#NAME?</v>
      </c>
      <c r="I21" s="52" t="e">
        <f t="shared" ca="1" si="1"/>
        <v>#NAME?</v>
      </c>
      <c r="K21" s="184" t="e">
        <f ca="1">_xll.RiskStdDev(TEXT(A21,"####")&amp; " / Paid TNR",GroupNo)/_xll.RiskMean(TEXT(A21,"####")&amp; " / Paid TNR",GroupNo)</f>
        <v>#NAME?</v>
      </c>
      <c r="L21" s="184" t="e">
        <f ca="1">_xll.RiskStdDev(TEXT(A21, "####")&amp;" / Inc TNR",GroupNo)/_xll.RiskMean(TEXT(A21, "####")&amp;" / Inc TNR",GroupNo)</f>
        <v>#NAME?</v>
      </c>
    </row>
    <row r="22" spans="1:12" x14ac:dyDescent="0.25">
      <c r="A22">
        <f>Inputs!B77</f>
        <v>2011</v>
      </c>
      <c r="B22" s="122">
        <f>INDEX(BEWSSummary,Inputs!$I$3*(GroupNo-1)+$A22-(Inputs!$I$2-Inputs!$I$3),1)+INDEX(BEWSSummary,Inputs!$I$3*(GroupNo-1)+$A22-(Inputs!$I$2-Inputs!$I$3),3)</f>
        <v>12885412.91</v>
      </c>
      <c r="C22" s="122">
        <f>INDEX(BEWSSummary,Inputs!$I$3*(GroupNo-1)+$A22-(Inputs!$I$2-Inputs!$I$3),1)+INDEX(BEWSSummary,Inputs!$I$3*(GroupNo-1)+$A22-(Inputs!$I$2-Inputs!$I$3),2)</f>
        <v>20296169.640000001</v>
      </c>
      <c r="E22" s="52" t="e">
        <f ca="1">_xll.RiskMean(TEXT(A22,"####")&amp; " / Paid TNR",GroupNo)</f>
        <v>#NAME?</v>
      </c>
      <c r="F22" s="52" t="e">
        <f ca="1">_xll.RiskMean(TEXT(A22, "####")&amp;" / Inc TNR",GroupNo)</f>
        <v>#NAME?</v>
      </c>
      <c r="H22" s="52" t="e">
        <f t="shared" ca="1" si="0"/>
        <v>#NAME?</v>
      </c>
      <c r="I22" s="52" t="e">
        <f t="shared" ca="1" si="1"/>
        <v>#NAME?</v>
      </c>
      <c r="K22" s="184" t="e">
        <f ca="1">_xll.RiskStdDev(TEXT(A22,"####")&amp; " / Paid TNR",GroupNo)/_xll.RiskMean(TEXT(A22,"####")&amp; " / Paid TNR",GroupNo)</f>
        <v>#NAME?</v>
      </c>
      <c r="L22" s="184" t="e">
        <f ca="1">_xll.RiskStdDev(TEXT(A22, "####")&amp;" / Inc TNR",GroupNo)/_xll.RiskMean(TEXT(A22, "####")&amp;" / Inc TNR",GroupNo)</f>
        <v>#NAME?</v>
      </c>
    </row>
    <row r="23" spans="1:12" x14ac:dyDescent="0.25">
      <c r="A23">
        <f>Inputs!B78</f>
        <v>2012</v>
      </c>
      <c r="B23" s="122">
        <f>INDEX(BEWSSummary,Inputs!$I$3*(GroupNo-1)+$A23-(Inputs!$I$2-Inputs!$I$3),1)+INDEX(BEWSSummary,Inputs!$I$3*(GroupNo-1)+$A23-(Inputs!$I$2-Inputs!$I$3),3)</f>
        <v>35160736.170000002</v>
      </c>
      <c r="C23" s="122">
        <f>INDEX(BEWSSummary,Inputs!$I$3*(GroupNo-1)+$A23-(Inputs!$I$2-Inputs!$I$3),1)+INDEX(BEWSSummary,Inputs!$I$3*(GroupNo-1)+$A23-(Inputs!$I$2-Inputs!$I$3),2)</f>
        <v>40021736.170000002</v>
      </c>
      <c r="E23" s="52" t="e">
        <f ca="1">_xll.RiskMean(TEXT(A23,"####")&amp; " / Paid TNR",GroupNo)</f>
        <v>#NAME?</v>
      </c>
      <c r="F23" s="52" t="e">
        <f ca="1">_xll.RiskMean(TEXT(A23, "####")&amp;" / Inc TNR",GroupNo)</f>
        <v>#NAME?</v>
      </c>
      <c r="H23" s="52" t="e">
        <f t="shared" ca="1" si="0"/>
        <v>#NAME?</v>
      </c>
      <c r="I23" s="52" t="e">
        <f t="shared" ca="1" si="1"/>
        <v>#NAME?</v>
      </c>
      <c r="K23" s="184" t="e">
        <f ca="1">_xll.RiskStdDev(TEXT(A23,"####")&amp; " / Paid TNR",GroupNo)/_xll.RiskMean(TEXT(A23,"####")&amp; " / Paid TNR",GroupNo)</f>
        <v>#NAME?</v>
      </c>
      <c r="L23" s="184" t="e">
        <f ca="1">_xll.RiskStdDev(TEXT(A23, "####")&amp;" / Inc TNR",GroupNo)/_xll.RiskMean(TEXT(A23, "####")&amp;" / Inc TNR",GroupNo)</f>
        <v>#NAME?</v>
      </c>
    </row>
    <row r="24" spans="1:12" x14ac:dyDescent="0.25">
      <c r="A24">
        <f>Inputs!B79</f>
        <v>2013</v>
      </c>
      <c r="B24" s="122">
        <f>INDEX(BEWSSummary,Inputs!$I$3*(GroupNo-1)+$A24-(Inputs!$I$2-Inputs!$I$3),1)+INDEX(BEWSSummary,Inputs!$I$3*(GroupNo-1)+$A24-(Inputs!$I$2-Inputs!$I$3),3)</f>
        <v>67474483.829999998</v>
      </c>
      <c r="C24" s="122">
        <f>INDEX(BEWSSummary,Inputs!$I$3*(GroupNo-1)+$A24-(Inputs!$I$2-Inputs!$I$3),1)+INDEX(BEWSSummary,Inputs!$I$3*(GroupNo-1)+$A24-(Inputs!$I$2-Inputs!$I$3),2)</f>
        <v>66017483.829999998</v>
      </c>
      <c r="E24" s="52" t="e">
        <f ca="1">_xll.RiskMean(TEXT(A24,"####")&amp; " / Paid TNR",GroupNo)</f>
        <v>#NAME?</v>
      </c>
      <c r="F24" s="52" t="e">
        <f ca="1">_xll.RiskMean(TEXT(A24, "####")&amp;" / Inc TNR",GroupNo)</f>
        <v>#NAME?</v>
      </c>
      <c r="H24" s="52" t="e">
        <f t="shared" ca="1" si="0"/>
        <v>#NAME?</v>
      </c>
      <c r="I24" s="52" t="e">
        <f t="shared" ca="1" si="1"/>
        <v>#NAME?</v>
      </c>
      <c r="K24" s="184" t="e">
        <f ca="1">_xll.RiskStdDev(TEXT(A24,"####")&amp; " / Paid TNR",GroupNo)/_xll.RiskMean(TEXT(A24,"####")&amp; " / Paid TNR",GroupNo)</f>
        <v>#NAME?</v>
      </c>
      <c r="L24" s="184" t="e">
        <f ca="1">_xll.RiskStdDev(TEXT(A24, "####")&amp;" / Inc TNR",GroupNo)/_xll.RiskMean(TEXT(A24, "####")&amp;" / Inc TNR",GroupNo)</f>
        <v>#NAME?</v>
      </c>
    </row>
    <row r="25" spans="1:12" x14ac:dyDescent="0.25">
      <c r="A25">
        <f>Inputs!B80</f>
        <v>2014</v>
      </c>
      <c r="B25" s="122">
        <f>INDEX(BEWSSummary,Inputs!$I$3*(GroupNo-1)+$A25-(Inputs!$I$2-Inputs!$I$3),1)+INDEX(BEWSSummary,Inputs!$I$3*(GroupNo-1)+$A25-(Inputs!$I$2-Inputs!$I$3),3)</f>
        <v>104296859.39</v>
      </c>
      <c r="C25" s="122">
        <f>INDEX(BEWSSummary,Inputs!$I$3*(GroupNo-1)+$A25-(Inputs!$I$2-Inputs!$I$3),1)+INDEX(BEWSSummary,Inputs!$I$3*(GroupNo-1)+$A25-(Inputs!$I$2-Inputs!$I$3),2)</f>
        <v>102078859.39</v>
      </c>
      <c r="E25" s="52" t="e">
        <f ca="1">_xll.RiskMean(TEXT(A25,"####")&amp; " / Paid TNR",GroupNo)</f>
        <v>#NAME?</v>
      </c>
      <c r="F25" s="52" t="e">
        <f ca="1">_xll.RiskMean(TEXT(A25, "####")&amp;" / Inc TNR",GroupNo)</f>
        <v>#NAME?</v>
      </c>
      <c r="H25" s="52" t="e">
        <f t="shared" ca="1" si="0"/>
        <v>#NAME?</v>
      </c>
      <c r="I25" s="52" t="e">
        <f t="shared" ca="1" si="1"/>
        <v>#NAME?</v>
      </c>
      <c r="K25" s="184" t="e">
        <f ca="1">_xll.RiskStdDev(TEXT(A25,"####")&amp; " / Paid TNR",GroupNo)/_xll.RiskMean(TEXT(A25,"####")&amp; " / Paid TNR",GroupNo)</f>
        <v>#NAME?</v>
      </c>
      <c r="L25" s="184" t="e">
        <f ca="1">_xll.RiskStdDev(TEXT(A25, "####")&amp;" / Inc TNR",GroupNo)/_xll.RiskMean(TEXT(A25, "####")&amp;" / Inc TNR",GroupNo)</f>
        <v>#NAME?</v>
      </c>
    </row>
    <row r="26" spans="1:12" x14ac:dyDescent="0.25">
      <c r="A26">
        <f>Inputs!B81</f>
        <v>2015</v>
      </c>
      <c r="B26" s="122">
        <f>INDEX(BEWSSummary,Inputs!$I$3*(GroupNo-1)+$A26-(Inputs!$I$2-Inputs!$I$3),1)+INDEX(BEWSSummary,Inputs!$I$3*(GroupNo-1)+$A26-(Inputs!$I$2-Inputs!$I$3),3)</f>
        <v>135094407.92000002</v>
      </c>
      <c r="C26" s="122">
        <f>INDEX(BEWSSummary,Inputs!$I$3*(GroupNo-1)+$A26-(Inputs!$I$2-Inputs!$I$3),1)+INDEX(BEWSSummary,Inputs!$I$3*(GroupNo-1)+$A26-(Inputs!$I$2-Inputs!$I$3),2)</f>
        <v>132261053.49000001</v>
      </c>
      <c r="E26" s="52" t="e">
        <f ca="1">_xll.RiskMean(TEXT(A26,"####")&amp; " / Paid TNR",GroupNo)</f>
        <v>#NAME?</v>
      </c>
      <c r="F26" s="52" t="e">
        <f ca="1">_xll.RiskMean(TEXT(A26, "####")&amp;" / Inc TNR",GroupNo)</f>
        <v>#NAME?</v>
      </c>
      <c r="H26" s="52" t="e">
        <f t="shared" ca="1" si="0"/>
        <v>#NAME?</v>
      </c>
      <c r="I26" s="52" t="e">
        <f t="shared" ca="1" si="1"/>
        <v>#NAME?</v>
      </c>
      <c r="K26" s="184" t="e">
        <f ca="1">_xll.RiskStdDev(TEXT(A26,"####")&amp; " / Paid TNR",GroupNo)/_xll.RiskMean(TEXT(A26,"####")&amp; " / Paid TNR",GroupNo)</f>
        <v>#NAME?</v>
      </c>
      <c r="L26" s="184" t="e">
        <f ca="1">_xll.RiskStdDev(TEXT(A26, "####")&amp;" / Inc TNR",GroupNo)/_xll.RiskMean(TEXT(A26, "####")&amp;" / Inc TNR",GroupNo)</f>
        <v>#NAME?</v>
      </c>
    </row>
    <row r="27" spans="1:12" x14ac:dyDescent="0.25">
      <c r="B27" s="122"/>
      <c r="C27" s="122"/>
      <c r="E27" s="52"/>
      <c r="F27" s="52"/>
      <c r="H27" s="52"/>
      <c r="I27" s="52"/>
    </row>
    <row r="28" spans="1:12" x14ac:dyDescent="0.25">
      <c r="B28" s="122"/>
      <c r="C28" s="122"/>
      <c r="E28" s="52"/>
      <c r="F28" s="52"/>
      <c r="H28" s="52"/>
      <c r="I28" s="52"/>
    </row>
    <row r="29" spans="1:12" x14ac:dyDescent="0.25">
      <c r="A29" t="s">
        <v>53</v>
      </c>
      <c r="B29" s="52">
        <f>SUM(B7:B26)</f>
        <v>406869555.35000002</v>
      </c>
      <c r="C29" s="52">
        <f>SUM(C7:C26)</f>
        <v>408711753.43000001</v>
      </c>
      <c r="E29" s="52" t="e">
        <f ca="1">SUM(E7:E26)</f>
        <v>#NAME?</v>
      </c>
      <c r="F29" s="52" t="e">
        <f ca="1">SUM(F7:F26)</f>
        <v>#NAME?</v>
      </c>
      <c r="H29" s="52" t="e">
        <f ca="1">SUM(H7:H26)</f>
        <v>#NAME?</v>
      </c>
      <c r="I29" s="52" t="e">
        <f ca="1">SUM(I7:I26)</f>
        <v>#NAME?</v>
      </c>
    </row>
    <row r="30" spans="1:12" x14ac:dyDescent="0.25">
      <c r="A30" t="s">
        <v>54</v>
      </c>
      <c r="B30" s="52">
        <f>B29-B26</f>
        <v>271775147.43000001</v>
      </c>
      <c r="C30" s="52">
        <f>C29-C26</f>
        <v>276450699.94</v>
      </c>
      <c r="E30" s="52" t="e">
        <f ca="1">E29-E26</f>
        <v>#NAME?</v>
      </c>
      <c r="F30" s="52" t="e">
        <f ca="1">F29-F26</f>
        <v>#NAME?</v>
      </c>
      <c r="H30" s="52" t="e">
        <f ca="1">H29-H26</f>
        <v>#NAME?</v>
      </c>
      <c r="I30" s="52" t="e">
        <f ca="1">I29-I26</f>
        <v>#NAME?</v>
      </c>
    </row>
    <row r="31" spans="1:12" x14ac:dyDescent="0.25">
      <c r="B31" s="52"/>
      <c r="C31" s="52"/>
      <c r="D31" s="52"/>
      <c r="E31" s="52"/>
      <c r="F31" s="52"/>
      <c r="G31" s="52"/>
      <c r="H31" s="52"/>
      <c r="I31" s="52"/>
      <c r="J31" s="52"/>
    </row>
  </sheetData>
  <phoneticPr fontId="4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E81"/>
  <sheetViews>
    <sheetView workbookViewId="0">
      <selection activeCell="D3" sqref="D3"/>
    </sheetView>
  </sheetViews>
  <sheetFormatPr defaultRowHeight="13.2" x14ac:dyDescent="0.25"/>
  <cols>
    <col min="1" max="1" width="3.77734375" customWidth="1"/>
    <col min="3" max="3" width="15.6640625" customWidth="1"/>
    <col min="4" max="4" width="13.44140625" bestFit="1" customWidth="1"/>
    <col min="5" max="22" width="13.44140625" customWidth="1"/>
    <col min="23" max="23" width="12.77734375" customWidth="1"/>
    <col min="24" max="24" width="11.77734375" bestFit="1" customWidth="1"/>
    <col min="25" max="25" width="10.77734375" customWidth="1"/>
  </cols>
  <sheetData>
    <row r="1" spans="2:30" x14ac:dyDescent="0.25">
      <c r="E1" s="46"/>
      <c r="F1" s="46"/>
      <c r="G1" s="46"/>
      <c r="H1" s="46"/>
      <c r="I1" s="46"/>
      <c r="AD1" s="45"/>
    </row>
    <row r="2" spans="2:30" x14ac:dyDescent="0.25">
      <c r="C2" s="4" t="s">
        <v>95</v>
      </c>
      <c r="D2" s="155">
        <v>3</v>
      </c>
      <c r="E2" s="46" t="e">
        <f ca="1">_xll.RiskSimtable({1;2;3;4;5;6;7;8;9;10;11;12;13;14;15;16;17;18;19;20;21;22;23;24;25;26})</f>
        <v>#NAME?</v>
      </c>
      <c r="F2">
        <f>MATCH("S"&amp;TEXT(Group,"00"),Notes!B40:B73,FALSE)</f>
        <v>3</v>
      </c>
      <c r="G2" s="46"/>
      <c r="H2" s="4" t="s">
        <v>75</v>
      </c>
      <c r="I2" s="3">
        <v>2015</v>
      </c>
      <c r="AD2" s="46"/>
    </row>
    <row r="3" spans="2:30" x14ac:dyDescent="0.25">
      <c r="C3" s="4" t="s">
        <v>89</v>
      </c>
      <c r="D3" s="48" t="s">
        <v>97</v>
      </c>
      <c r="F3" s="46"/>
      <c r="G3" s="46"/>
      <c r="H3" s="4" t="s">
        <v>144</v>
      </c>
      <c r="I3" s="3">
        <v>21</v>
      </c>
      <c r="AD3" s="46"/>
    </row>
    <row r="4" spans="2:30" ht="11.25" customHeight="1" x14ac:dyDescent="0.25">
      <c r="C4" s="4" t="s">
        <v>77</v>
      </c>
      <c r="D4" s="53" t="str">
        <f>INDEX(Notes!C40:C84,$F$2)</f>
        <v>Group S03, Loss Sensitive WC</v>
      </c>
      <c r="E4" s="46"/>
      <c r="F4" s="46"/>
      <c r="G4" s="46"/>
      <c r="H4" s="110" t="s">
        <v>145</v>
      </c>
      <c r="I4" s="3">
        <v>1</v>
      </c>
      <c r="J4" t="s">
        <v>219</v>
      </c>
      <c r="AD4" s="46"/>
    </row>
    <row r="5" spans="2:30" x14ac:dyDescent="0.25">
      <c r="C5" s="4" t="s">
        <v>78</v>
      </c>
      <c r="D5" s="47">
        <v>42369</v>
      </c>
      <c r="E5" s="49"/>
      <c r="F5" s="49"/>
      <c r="G5" s="46"/>
      <c r="H5" s="110" t="s">
        <v>148</v>
      </c>
      <c r="I5" s="112">
        <v>2.5000000000000001E-2</v>
      </c>
    </row>
    <row r="6" spans="2:30" x14ac:dyDescent="0.25">
      <c r="C6" s="4" t="s">
        <v>257</v>
      </c>
      <c r="D6" s="46" t="str">
        <f ca="1">IF(VALUE(RIGHT(OFFSET(INDEX(IncTriData,$I$4*$I$3*($F$2-1)+$B12-($I$2-$I$3),C$11/12),0,-2),2))&lt;&gt;Group,"Check Data!","Okay")</f>
        <v>Okay</v>
      </c>
      <c r="E6" s="46" t="str">
        <f ca="1">IF(VALUE(RIGHT(OFFSET(INDEX(PaidTriData,$I$4*$I$3*($F$2-1)+$B12-($I$2-$I$3),C$11/12),0,-2),2))&lt;&gt;Group,"Check Data!","Okay")</f>
        <v>Okay</v>
      </c>
      <c r="F6" s="46"/>
      <c r="G6" s="46"/>
      <c r="H6" s="46"/>
      <c r="I6" s="46"/>
    </row>
    <row r="7" spans="2:30" x14ac:dyDescent="0.25">
      <c r="E7" s="46"/>
      <c r="F7" s="46"/>
      <c r="G7" s="46"/>
      <c r="H7" s="46"/>
      <c r="I7" s="46"/>
    </row>
    <row r="8" spans="2:30" x14ac:dyDescent="0.25">
      <c r="F8" s="46"/>
      <c r="G8" s="46"/>
      <c r="H8" s="46"/>
      <c r="I8" s="46"/>
    </row>
    <row r="9" spans="2:30" x14ac:dyDescent="0.25">
      <c r="B9" t="s">
        <v>74</v>
      </c>
    </row>
    <row r="10" spans="2:30" x14ac:dyDescent="0.25">
      <c r="X10" t="s">
        <v>225</v>
      </c>
    </row>
    <row r="11" spans="2:30" x14ac:dyDescent="0.25">
      <c r="C11">
        <v>12</v>
      </c>
      <c r="D11">
        <f t="shared" ref="D11:W11" si="0">+C11+12</f>
        <v>24</v>
      </c>
      <c r="E11">
        <f t="shared" si="0"/>
        <v>36</v>
      </c>
      <c r="F11">
        <f t="shared" si="0"/>
        <v>48</v>
      </c>
      <c r="G11">
        <f t="shared" si="0"/>
        <v>60</v>
      </c>
      <c r="H11">
        <f t="shared" si="0"/>
        <v>72</v>
      </c>
      <c r="I11">
        <f t="shared" si="0"/>
        <v>84</v>
      </c>
      <c r="J11">
        <f t="shared" si="0"/>
        <v>96</v>
      </c>
      <c r="K11">
        <f t="shared" si="0"/>
        <v>108</v>
      </c>
      <c r="L11">
        <f t="shared" si="0"/>
        <v>120</v>
      </c>
      <c r="M11">
        <f t="shared" si="0"/>
        <v>132</v>
      </c>
      <c r="N11">
        <f t="shared" si="0"/>
        <v>144</v>
      </c>
      <c r="O11">
        <f t="shared" si="0"/>
        <v>156</v>
      </c>
      <c r="P11">
        <f t="shared" si="0"/>
        <v>168</v>
      </c>
      <c r="Q11">
        <f t="shared" si="0"/>
        <v>180</v>
      </c>
      <c r="R11">
        <f t="shared" si="0"/>
        <v>192</v>
      </c>
      <c r="S11">
        <f t="shared" si="0"/>
        <v>204</v>
      </c>
      <c r="T11">
        <f t="shared" si="0"/>
        <v>216</v>
      </c>
      <c r="U11">
        <f t="shared" si="0"/>
        <v>228</v>
      </c>
      <c r="V11">
        <f t="shared" si="0"/>
        <v>240</v>
      </c>
      <c r="W11">
        <f t="shared" si="0"/>
        <v>252</v>
      </c>
      <c r="X11" t="s">
        <v>226</v>
      </c>
      <c r="Y11" t="s">
        <v>227</v>
      </c>
    </row>
    <row r="12" spans="2:30" x14ac:dyDescent="0.25">
      <c r="B12">
        <f t="shared" ref="B12:B30" si="1">+B13-1</f>
        <v>1996</v>
      </c>
      <c r="C12" s="2">
        <f t="shared" ref="C12:L23" si="2">INDEX(IncTriData,$I$4*$I$3*($F$2-1)+$B12-($I$2-$I$3),C$11/12)</f>
        <v>367496171.12</v>
      </c>
      <c r="D12" s="2">
        <f t="shared" si="2"/>
        <v>564402912.91000009</v>
      </c>
      <c r="E12" s="2">
        <f t="shared" si="2"/>
        <v>645300210.48000002</v>
      </c>
      <c r="F12" s="2">
        <f t="shared" si="2"/>
        <v>685184795</v>
      </c>
      <c r="G12" s="2">
        <f t="shared" si="2"/>
        <v>717666896.23000002</v>
      </c>
      <c r="H12" s="2">
        <f t="shared" si="2"/>
        <v>745474673.3499999</v>
      </c>
      <c r="I12" s="2">
        <f t="shared" si="2"/>
        <v>761548329.30999994</v>
      </c>
      <c r="J12" s="2">
        <f t="shared" si="2"/>
        <v>781776534.69000006</v>
      </c>
      <c r="K12" s="2">
        <f t="shared" si="2"/>
        <v>799727394.33999991</v>
      </c>
      <c r="L12" s="2">
        <f t="shared" si="2"/>
        <v>812591208.06000006</v>
      </c>
      <c r="M12" s="2">
        <f t="shared" ref="M12:V23" si="3">INDEX(IncTriData,$I$4*$I$3*($F$2-1)+$B12-($I$2-$I$3),M$11/12)</f>
        <v>816348863.75</v>
      </c>
      <c r="N12" s="2">
        <f t="shared" si="3"/>
        <v>824976347.88000011</v>
      </c>
      <c r="O12" s="2">
        <f t="shared" si="3"/>
        <v>835581309.10000002</v>
      </c>
      <c r="P12" s="2">
        <f t="shared" si="3"/>
        <v>837834787.13</v>
      </c>
      <c r="Q12" s="2">
        <f t="shared" si="3"/>
        <v>839360384.99000001</v>
      </c>
      <c r="R12" s="2">
        <f t="shared" si="3"/>
        <v>840559782.21000004</v>
      </c>
      <c r="S12" s="2">
        <f t="shared" si="3"/>
        <v>844026254.33000004</v>
      </c>
      <c r="T12" s="2">
        <f t="shared" si="3"/>
        <v>846903834.3599999</v>
      </c>
      <c r="U12" s="2">
        <f t="shared" si="3"/>
        <v>848646488.5999999</v>
      </c>
      <c r="V12" s="2">
        <f t="shared" si="3"/>
        <v>852402162.38</v>
      </c>
      <c r="W12" s="46"/>
      <c r="X12" s="52">
        <f>SUM(C12)</f>
        <v>367496171.12</v>
      </c>
      <c r="Y12" s="52">
        <f>X12</f>
        <v>367496171.12</v>
      </c>
    </row>
    <row r="13" spans="2:30" x14ac:dyDescent="0.25">
      <c r="B13">
        <f t="shared" si="1"/>
        <v>1997</v>
      </c>
      <c r="C13" s="2">
        <f t="shared" si="2"/>
        <v>434005770.63</v>
      </c>
      <c r="D13" s="2">
        <f t="shared" si="2"/>
        <v>634741326.88999999</v>
      </c>
      <c r="E13" s="2">
        <f t="shared" si="2"/>
        <v>725697161.93000007</v>
      </c>
      <c r="F13" s="2">
        <f t="shared" si="2"/>
        <v>785122767.92000008</v>
      </c>
      <c r="G13" s="2">
        <f t="shared" si="2"/>
        <v>830819569.04999995</v>
      </c>
      <c r="H13" s="2">
        <f t="shared" si="2"/>
        <v>865759848.75999999</v>
      </c>
      <c r="I13" s="2">
        <f t="shared" si="2"/>
        <v>891139346.86000013</v>
      </c>
      <c r="J13" s="2">
        <f t="shared" si="2"/>
        <v>913064943.14999998</v>
      </c>
      <c r="K13" s="2">
        <f t="shared" si="2"/>
        <v>928149732.64999998</v>
      </c>
      <c r="L13" s="2">
        <f t="shared" si="2"/>
        <v>933368008.90999997</v>
      </c>
      <c r="M13" s="2">
        <f t="shared" si="3"/>
        <v>955013293.96000004</v>
      </c>
      <c r="N13" s="2">
        <f t="shared" si="3"/>
        <v>964719154.97000003</v>
      </c>
      <c r="O13" s="2">
        <f t="shared" si="3"/>
        <v>969333018.33000004</v>
      </c>
      <c r="P13" s="2">
        <f t="shared" si="3"/>
        <v>977153900.69000006</v>
      </c>
      <c r="Q13" s="2">
        <f t="shared" si="3"/>
        <v>979630592.18000007</v>
      </c>
      <c r="R13" s="2">
        <f t="shared" si="3"/>
        <v>981683071.25999999</v>
      </c>
      <c r="S13" s="2">
        <f t="shared" si="3"/>
        <v>987044284.8499999</v>
      </c>
      <c r="T13" s="2">
        <f t="shared" si="3"/>
        <v>987483234.53999996</v>
      </c>
      <c r="U13" s="2">
        <f t="shared" si="3"/>
        <v>991326435.37000012</v>
      </c>
      <c r="V13" s="50">
        <f t="shared" si="3"/>
        <v>0</v>
      </c>
      <c r="W13" s="46"/>
      <c r="X13" s="52">
        <f>SUM(C13,D12)</f>
        <v>998408683.54000008</v>
      </c>
      <c r="Y13" s="52">
        <f t="shared" ref="Y13:Y31" si="4">X13-X12</f>
        <v>630912512.42000008</v>
      </c>
    </row>
    <row r="14" spans="2:30" x14ac:dyDescent="0.25">
      <c r="B14">
        <f t="shared" si="1"/>
        <v>1998</v>
      </c>
      <c r="C14" s="2">
        <f t="shared" si="2"/>
        <v>455841947.75999999</v>
      </c>
      <c r="D14" s="2">
        <f t="shared" si="2"/>
        <v>734595046.0999999</v>
      </c>
      <c r="E14" s="2">
        <f t="shared" si="2"/>
        <v>876458332.39999998</v>
      </c>
      <c r="F14" s="2">
        <f t="shared" si="2"/>
        <v>959026877.96000004</v>
      </c>
      <c r="G14" s="2">
        <f t="shared" si="2"/>
        <v>1020383425.9299999</v>
      </c>
      <c r="H14" s="2">
        <f t="shared" si="2"/>
        <v>1078784506.5100002</v>
      </c>
      <c r="I14" s="2">
        <f t="shared" si="2"/>
        <v>1116388584.9000001</v>
      </c>
      <c r="J14" s="2">
        <f t="shared" si="2"/>
        <v>1140261261.8399999</v>
      </c>
      <c r="K14" s="2">
        <f t="shared" si="2"/>
        <v>1153073177.1300001</v>
      </c>
      <c r="L14" s="2">
        <f t="shared" si="2"/>
        <v>1183436572.96</v>
      </c>
      <c r="M14" s="2">
        <f t="shared" si="3"/>
        <v>1199078104.4100001</v>
      </c>
      <c r="N14" s="2">
        <f t="shared" si="3"/>
        <v>1209128323.3699999</v>
      </c>
      <c r="O14" s="2">
        <f t="shared" si="3"/>
        <v>1216557441.71</v>
      </c>
      <c r="P14" s="2">
        <f t="shared" si="3"/>
        <v>1221702903.0699999</v>
      </c>
      <c r="Q14" s="2">
        <f t="shared" si="3"/>
        <v>1226976056.1300001</v>
      </c>
      <c r="R14" s="2">
        <f t="shared" si="3"/>
        <v>1231297867.8800001</v>
      </c>
      <c r="S14" s="2">
        <f t="shared" si="3"/>
        <v>1237840361.96</v>
      </c>
      <c r="T14" s="2">
        <f t="shared" si="3"/>
        <v>1238388712.99</v>
      </c>
      <c r="U14" s="50">
        <f t="shared" si="3"/>
        <v>0</v>
      </c>
      <c r="V14" s="50">
        <f t="shared" si="3"/>
        <v>0</v>
      </c>
      <c r="W14" s="46"/>
      <c r="X14" s="52">
        <f>SUM(C14,D13,E12)</f>
        <v>1735883485.1300001</v>
      </c>
      <c r="Y14" s="52">
        <f t="shared" si="4"/>
        <v>737474801.59000003</v>
      </c>
    </row>
    <row r="15" spans="2:30" x14ac:dyDescent="0.25">
      <c r="B15">
        <f t="shared" si="1"/>
        <v>1999</v>
      </c>
      <c r="C15" s="2">
        <f t="shared" si="2"/>
        <v>489168296.01000005</v>
      </c>
      <c r="D15" s="2">
        <f t="shared" si="2"/>
        <v>795216811.47000003</v>
      </c>
      <c r="E15" s="2">
        <f t="shared" si="2"/>
        <v>964539173.85000002</v>
      </c>
      <c r="F15" s="2">
        <f t="shared" si="2"/>
        <v>1055319944.0700002</v>
      </c>
      <c r="G15" s="2">
        <f t="shared" si="2"/>
        <v>1128584307.0599999</v>
      </c>
      <c r="H15" s="2">
        <f t="shared" si="2"/>
        <v>1199490720.4200001</v>
      </c>
      <c r="I15" s="2">
        <f t="shared" si="2"/>
        <v>1238488900.4000001</v>
      </c>
      <c r="J15" s="2">
        <f t="shared" si="2"/>
        <v>1250352829.1199999</v>
      </c>
      <c r="K15" s="2">
        <f t="shared" si="2"/>
        <v>1286580861.4099998</v>
      </c>
      <c r="L15" s="2">
        <f t="shared" si="2"/>
        <v>1292550764.96</v>
      </c>
      <c r="M15" s="2">
        <f t="shared" si="3"/>
        <v>1302013044.78</v>
      </c>
      <c r="N15" s="2">
        <f t="shared" si="3"/>
        <v>1311554740.99</v>
      </c>
      <c r="O15" s="2">
        <f t="shared" si="3"/>
        <v>1317357566.9000001</v>
      </c>
      <c r="P15" s="2">
        <f t="shared" si="3"/>
        <v>1324385853.01</v>
      </c>
      <c r="Q15" s="2">
        <f t="shared" si="3"/>
        <v>1331047550.47</v>
      </c>
      <c r="R15" s="2">
        <f t="shared" si="3"/>
        <v>1336855318.9300001</v>
      </c>
      <c r="S15" s="2">
        <f t="shared" si="3"/>
        <v>1342469212.27</v>
      </c>
      <c r="T15" s="50">
        <f t="shared" si="3"/>
        <v>0</v>
      </c>
      <c r="U15" s="50">
        <f t="shared" si="3"/>
        <v>0</v>
      </c>
      <c r="V15" s="50">
        <f t="shared" si="3"/>
        <v>0</v>
      </c>
      <c r="W15" s="46"/>
      <c r="X15" s="52">
        <f>SUM(C15,D14,E13,F12)</f>
        <v>2634645299.04</v>
      </c>
      <c r="Y15" s="52">
        <f t="shared" si="4"/>
        <v>898761813.90999985</v>
      </c>
    </row>
    <row r="16" spans="2:30" x14ac:dyDescent="0.25">
      <c r="B16">
        <f t="shared" si="1"/>
        <v>2000</v>
      </c>
      <c r="C16" s="2">
        <f t="shared" si="2"/>
        <v>462621834.06999999</v>
      </c>
      <c r="D16" s="2">
        <f t="shared" si="2"/>
        <v>777183378.90999997</v>
      </c>
      <c r="E16" s="2">
        <f t="shared" si="2"/>
        <v>925889714.35000002</v>
      </c>
      <c r="F16" s="2">
        <f t="shared" si="2"/>
        <v>1033242305.1800001</v>
      </c>
      <c r="G16" s="2">
        <f t="shared" si="2"/>
        <v>1113092099.79</v>
      </c>
      <c r="H16" s="2">
        <f t="shared" si="2"/>
        <v>1156260076</v>
      </c>
      <c r="I16" s="2">
        <f t="shared" si="2"/>
        <v>1171644267.5999999</v>
      </c>
      <c r="J16" s="2">
        <f t="shared" si="2"/>
        <v>1201797537.79</v>
      </c>
      <c r="K16" s="2">
        <f t="shared" si="2"/>
        <v>1203154348.9099998</v>
      </c>
      <c r="L16" s="2">
        <f t="shared" si="2"/>
        <v>1214573593.0599999</v>
      </c>
      <c r="M16" s="2">
        <f t="shared" si="3"/>
        <v>1222714233.8900001</v>
      </c>
      <c r="N16" s="2">
        <f t="shared" si="3"/>
        <v>1228807765.6700001</v>
      </c>
      <c r="O16" s="2">
        <f t="shared" si="3"/>
        <v>1231231110.49</v>
      </c>
      <c r="P16" s="2">
        <f t="shared" si="3"/>
        <v>1236454361.05</v>
      </c>
      <c r="Q16" s="2">
        <f t="shared" si="3"/>
        <v>1238068709.5799999</v>
      </c>
      <c r="R16" s="2">
        <f t="shared" si="3"/>
        <v>1240338196.8199999</v>
      </c>
      <c r="S16" s="50">
        <f t="shared" si="3"/>
        <v>0</v>
      </c>
      <c r="T16" s="50">
        <f t="shared" si="3"/>
        <v>0</v>
      </c>
      <c r="U16" s="50">
        <f t="shared" si="3"/>
        <v>0</v>
      </c>
      <c r="V16" s="50">
        <f t="shared" si="3"/>
        <v>0</v>
      </c>
      <c r="W16" s="46"/>
      <c r="X16" s="52">
        <f>SUM(C16,D15,E14,F13,G12)</f>
        <v>3637086642.0900002</v>
      </c>
      <c r="Y16" s="52">
        <f t="shared" si="4"/>
        <v>1002441343.0500002</v>
      </c>
    </row>
    <row r="17" spans="2:31" x14ac:dyDescent="0.25">
      <c r="B17">
        <f t="shared" si="1"/>
        <v>2001</v>
      </c>
      <c r="C17" s="2">
        <f t="shared" si="2"/>
        <v>500516979.14999998</v>
      </c>
      <c r="D17" s="2">
        <f t="shared" si="2"/>
        <v>819278411.29999995</v>
      </c>
      <c r="E17" s="2">
        <f t="shared" si="2"/>
        <v>997558190.22000003</v>
      </c>
      <c r="F17" s="2">
        <f t="shared" si="2"/>
        <v>1113482606.23</v>
      </c>
      <c r="G17" s="2">
        <f t="shared" si="2"/>
        <v>1172247315.6099999</v>
      </c>
      <c r="H17" s="2">
        <f t="shared" si="2"/>
        <v>1197608358.9400001</v>
      </c>
      <c r="I17" s="2">
        <f t="shared" si="2"/>
        <v>1234487117.1700001</v>
      </c>
      <c r="J17" s="2">
        <f t="shared" si="2"/>
        <v>1253846474.71</v>
      </c>
      <c r="K17" s="2">
        <f t="shared" si="2"/>
        <v>1265056417.8599999</v>
      </c>
      <c r="L17" s="2">
        <f t="shared" si="2"/>
        <v>1285378292.4299998</v>
      </c>
      <c r="M17" s="2">
        <f t="shared" si="3"/>
        <v>1262634221.1199999</v>
      </c>
      <c r="N17" s="2">
        <f t="shared" si="3"/>
        <v>1269209429.1500001</v>
      </c>
      <c r="O17" s="2">
        <f t="shared" si="3"/>
        <v>1277026598.9400001</v>
      </c>
      <c r="P17" s="2">
        <f t="shared" si="3"/>
        <v>1277294306.5900002</v>
      </c>
      <c r="Q17" s="2">
        <f t="shared" si="3"/>
        <v>1277665698.03</v>
      </c>
      <c r="R17" s="51">
        <f t="shared" si="3"/>
        <v>0</v>
      </c>
      <c r="S17" s="50">
        <f t="shared" si="3"/>
        <v>0</v>
      </c>
      <c r="T17" s="50">
        <f t="shared" si="3"/>
        <v>0</v>
      </c>
      <c r="U17" s="50">
        <f t="shared" si="3"/>
        <v>0</v>
      </c>
      <c r="V17" s="50">
        <f t="shared" si="3"/>
        <v>0</v>
      </c>
      <c r="W17" s="46"/>
      <c r="X17" s="52">
        <f>SUM(C17,D16,E15,F14,G13,H12)</f>
        <v>4777560652.2700005</v>
      </c>
      <c r="Y17" s="52">
        <f t="shared" si="4"/>
        <v>1140474010.1800003</v>
      </c>
    </row>
    <row r="18" spans="2:31" x14ac:dyDescent="0.25">
      <c r="B18">
        <f t="shared" si="1"/>
        <v>2002</v>
      </c>
      <c r="C18" s="2">
        <f t="shared" si="2"/>
        <v>445705141.20999998</v>
      </c>
      <c r="D18" s="2">
        <f t="shared" si="2"/>
        <v>756894580.22000003</v>
      </c>
      <c r="E18" s="2">
        <f t="shared" si="2"/>
        <v>942795299.10000002</v>
      </c>
      <c r="F18" s="2">
        <f t="shared" si="2"/>
        <v>1014584365.28</v>
      </c>
      <c r="G18" s="2">
        <f t="shared" si="2"/>
        <v>1054380942.3200001</v>
      </c>
      <c r="H18" s="2">
        <f t="shared" si="2"/>
        <v>1101781546.8299999</v>
      </c>
      <c r="I18" s="2">
        <f t="shared" si="2"/>
        <v>1133650015.9000001</v>
      </c>
      <c r="J18" s="2">
        <f t="shared" si="2"/>
        <v>1151569965.96</v>
      </c>
      <c r="K18" s="2">
        <f t="shared" si="2"/>
        <v>1165957446.5500002</v>
      </c>
      <c r="L18" s="2">
        <f t="shared" si="2"/>
        <v>1176767290.0699999</v>
      </c>
      <c r="M18" s="2">
        <f t="shared" si="3"/>
        <v>1180403533.1600001</v>
      </c>
      <c r="N18" s="2">
        <f t="shared" si="3"/>
        <v>1189702947.53</v>
      </c>
      <c r="O18" s="2">
        <f t="shared" si="3"/>
        <v>1195402725.5900002</v>
      </c>
      <c r="P18" s="2">
        <f t="shared" si="3"/>
        <v>1196444589.6399999</v>
      </c>
      <c r="Q18" s="51">
        <f t="shared" si="3"/>
        <v>0</v>
      </c>
      <c r="R18" s="51">
        <f t="shared" si="3"/>
        <v>0</v>
      </c>
      <c r="S18" s="50">
        <f t="shared" si="3"/>
        <v>0</v>
      </c>
      <c r="T18" s="50">
        <f t="shared" si="3"/>
        <v>0</v>
      </c>
      <c r="U18" s="50">
        <f t="shared" si="3"/>
        <v>0</v>
      </c>
      <c r="V18" s="50">
        <f t="shared" si="3"/>
        <v>0</v>
      </c>
      <c r="W18" s="46"/>
      <c r="X18" s="52">
        <f>SUM(C18,D17,E16,F15,G14,H13,I12)</f>
        <v>5893884814.9300003</v>
      </c>
      <c r="Y18" s="52">
        <f t="shared" si="4"/>
        <v>1116324162.6599998</v>
      </c>
    </row>
    <row r="19" spans="2:31" x14ac:dyDescent="0.25">
      <c r="B19">
        <f t="shared" si="1"/>
        <v>2003</v>
      </c>
      <c r="C19" s="2">
        <f t="shared" si="2"/>
        <v>344547971.31999999</v>
      </c>
      <c r="D19" s="2">
        <f t="shared" si="2"/>
        <v>564122717.36000001</v>
      </c>
      <c r="E19" s="2">
        <f t="shared" si="2"/>
        <v>655964101.21000004</v>
      </c>
      <c r="F19" s="2">
        <f t="shared" si="2"/>
        <v>695875556.80999994</v>
      </c>
      <c r="G19" s="2">
        <f t="shared" si="2"/>
        <v>735338891.48000002</v>
      </c>
      <c r="H19" s="2">
        <f t="shared" si="2"/>
        <v>762710704.22000003</v>
      </c>
      <c r="I19" s="2">
        <f t="shared" si="2"/>
        <v>779585190.33999991</v>
      </c>
      <c r="J19" s="2">
        <f t="shared" si="2"/>
        <v>794833799.85000002</v>
      </c>
      <c r="K19" s="2">
        <f t="shared" si="2"/>
        <v>800549973.81999993</v>
      </c>
      <c r="L19" s="2">
        <f t="shared" si="2"/>
        <v>806015963.42999995</v>
      </c>
      <c r="M19" s="2">
        <f t="shared" si="3"/>
        <v>811477218.83000004</v>
      </c>
      <c r="N19" s="2">
        <f t="shared" si="3"/>
        <v>814463610.22000003</v>
      </c>
      <c r="O19" s="2">
        <f t="shared" si="3"/>
        <v>815600380.29999995</v>
      </c>
      <c r="P19" s="51">
        <f t="shared" si="3"/>
        <v>0</v>
      </c>
      <c r="Q19" s="51">
        <f t="shared" si="3"/>
        <v>0</v>
      </c>
      <c r="R19" s="51">
        <f t="shared" si="3"/>
        <v>0</v>
      </c>
      <c r="S19" s="50">
        <f t="shared" si="3"/>
        <v>0</v>
      </c>
      <c r="T19" s="50">
        <f t="shared" si="3"/>
        <v>0</v>
      </c>
      <c r="U19" s="50">
        <f t="shared" si="3"/>
        <v>0</v>
      </c>
      <c r="V19" s="50">
        <f t="shared" si="3"/>
        <v>0</v>
      </c>
      <c r="W19" s="46"/>
      <c r="X19" s="52">
        <f>SUM(C19,D18,E17,F16,G15,H14,I13,J12)</f>
        <v>7012527742.0600014</v>
      </c>
      <c r="Y19" s="52">
        <f t="shared" si="4"/>
        <v>1118642927.1300011</v>
      </c>
    </row>
    <row r="20" spans="2:31" x14ac:dyDescent="0.25">
      <c r="B20">
        <f t="shared" si="1"/>
        <v>2004</v>
      </c>
      <c r="C20" s="2">
        <f t="shared" si="2"/>
        <v>273567571.18000001</v>
      </c>
      <c r="D20" s="2">
        <f t="shared" si="2"/>
        <v>403108381.19999999</v>
      </c>
      <c r="E20" s="2">
        <f t="shared" si="2"/>
        <v>470786866.16999996</v>
      </c>
      <c r="F20" s="2">
        <f t="shared" si="2"/>
        <v>516136387.70999998</v>
      </c>
      <c r="G20" s="2">
        <f t="shared" si="2"/>
        <v>542350485.52999997</v>
      </c>
      <c r="H20" s="2">
        <f t="shared" si="2"/>
        <v>552842559.33000004</v>
      </c>
      <c r="I20" s="2">
        <f t="shared" si="2"/>
        <v>564279201.01999998</v>
      </c>
      <c r="J20" s="2">
        <f t="shared" si="2"/>
        <v>575828730.60000002</v>
      </c>
      <c r="K20" s="2">
        <f t="shared" si="2"/>
        <v>584237290.22000003</v>
      </c>
      <c r="L20" s="2">
        <f t="shared" si="2"/>
        <v>591606511.18000007</v>
      </c>
      <c r="M20" s="2">
        <f t="shared" si="3"/>
        <v>595954519.03999996</v>
      </c>
      <c r="N20" s="2">
        <f t="shared" si="3"/>
        <v>599857885.06999993</v>
      </c>
      <c r="O20" s="51">
        <f t="shared" si="3"/>
        <v>0</v>
      </c>
      <c r="P20" s="51">
        <f t="shared" si="3"/>
        <v>0</v>
      </c>
      <c r="Q20" s="51">
        <f t="shared" si="3"/>
        <v>0</v>
      </c>
      <c r="R20" s="51">
        <f t="shared" si="3"/>
        <v>0</v>
      </c>
      <c r="S20" s="50">
        <f t="shared" si="3"/>
        <v>0</v>
      </c>
      <c r="T20" s="50">
        <f t="shared" si="3"/>
        <v>0</v>
      </c>
      <c r="U20" s="50">
        <f t="shared" si="3"/>
        <v>0</v>
      </c>
      <c r="V20" s="50">
        <f t="shared" si="3"/>
        <v>0</v>
      </c>
      <c r="W20" s="46"/>
      <c r="X20" s="52">
        <f>SUM(C20,D19,E18,F17,G16,H15,I14,J13,K12)</f>
        <v>8035731936.4699993</v>
      </c>
      <c r="Y20" s="52">
        <f t="shared" si="4"/>
        <v>1023204194.4099979</v>
      </c>
    </row>
    <row r="21" spans="2:31" x14ac:dyDescent="0.25">
      <c r="B21">
        <f t="shared" si="1"/>
        <v>2005</v>
      </c>
      <c r="C21" s="2">
        <f t="shared" si="2"/>
        <v>138890446.49000001</v>
      </c>
      <c r="D21" s="2">
        <f t="shared" si="2"/>
        <v>221594536.74000001</v>
      </c>
      <c r="E21" s="2">
        <f t="shared" si="2"/>
        <v>264711482.80000001</v>
      </c>
      <c r="F21" s="2">
        <f t="shared" si="2"/>
        <v>289506980.12</v>
      </c>
      <c r="G21" s="2">
        <f t="shared" si="2"/>
        <v>300060558.70999998</v>
      </c>
      <c r="H21" s="2">
        <f t="shared" si="2"/>
        <v>308182992.55000001</v>
      </c>
      <c r="I21" s="2">
        <f t="shared" si="2"/>
        <v>315398437.09000003</v>
      </c>
      <c r="J21" s="2">
        <f t="shared" si="2"/>
        <v>318575692.43000001</v>
      </c>
      <c r="K21" s="2">
        <f t="shared" si="2"/>
        <v>320746433.71999997</v>
      </c>
      <c r="L21" s="2">
        <f t="shared" si="2"/>
        <v>322806827.56999999</v>
      </c>
      <c r="M21" s="2">
        <f t="shared" si="3"/>
        <v>324678850.15999997</v>
      </c>
      <c r="N21" s="51">
        <f t="shared" si="3"/>
        <v>0</v>
      </c>
      <c r="O21" s="51">
        <f t="shared" si="3"/>
        <v>0</v>
      </c>
      <c r="P21" s="51">
        <f t="shared" si="3"/>
        <v>0</v>
      </c>
      <c r="Q21" s="51">
        <f t="shared" si="3"/>
        <v>0</v>
      </c>
      <c r="R21" s="51">
        <f t="shared" si="3"/>
        <v>0</v>
      </c>
      <c r="S21" s="50">
        <f t="shared" si="3"/>
        <v>0</v>
      </c>
      <c r="T21" s="50">
        <f t="shared" si="3"/>
        <v>0</v>
      </c>
      <c r="U21" s="50">
        <f t="shared" si="3"/>
        <v>0</v>
      </c>
      <c r="V21" s="50">
        <f t="shared" si="3"/>
        <v>0</v>
      </c>
      <c r="W21" s="46"/>
      <c r="X21" s="52">
        <f>SUM(C21,D20,E19,F18,G17,H16,I15,J14,K13,L12)</f>
        <v>8660545788.7399998</v>
      </c>
      <c r="Y21" s="52">
        <f t="shared" si="4"/>
        <v>624813852.27000046</v>
      </c>
    </row>
    <row r="22" spans="2:31" x14ac:dyDescent="0.25">
      <c r="B22">
        <f t="shared" si="1"/>
        <v>2006</v>
      </c>
      <c r="C22" s="2">
        <f t="shared" si="2"/>
        <v>118179405.11000001</v>
      </c>
      <c r="D22" s="2">
        <f t="shared" si="2"/>
        <v>190995344.28000003</v>
      </c>
      <c r="E22" s="2">
        <f t="shared" si="2"/>
        <v>219038142.97999999</v>
      </c>
      <c r="F22" s="2">
        <f t="shared" si="2"/>
        <v>237063856.31</v>
      </c>
      <c r="G22" s="2">
        <f t="shared" si="2"/>
        <v>249314823.98000002</v>
      </c>
      <c r="H22" s="2">
        <f t="shared" si="2"/>
        <v>259341688.64000002</v>
      </c>
      <c r="I22" s="2">
        <f t="shared" si="2"/>
        <v>264639276.5</v>
      </c>
      <c r="J22" s="2">
        <f t="shared" si="2"/>
        <v>268536449.25999999</v>
      </c>
      <c r="K22" s="2">
        <f t="shared" si="2"/>
        <v>270896998.99000001</v>
      </c>
      <c r="L22" s="2">
        <f t="shared" si="2"/>
        <v>272653223.23000002</v>
      </c>
      <c r="M22" s="51">
        <f t="shared" si="3"/>
        <v>0</v>
      </c>
      <c r="N22" s="51">
        <f t="shared" si="3"/>
        <v>0</v>
      </c>
      <c r="O22" s="51">
        <f t="shared" si="3"/>
        <v>0</v>
      </c>
      <c r="P22" s="51">
        <f t="shared" si="3"/>
        <v>0</v>
      </c>
      <c r="Q22" s="51">
        <f t="shared" si="3"/>
        <v>0</v>
      </c>
      <c r="R22" s="51"/>
      <c r="S22" s="50">
        <f t="shared" si="3"/>
        <v>0</v>
      </c>
      <c r="T22" s="50">
        <f t="shared" si="3"/>
        <v>0</v>
      </c>
      <c r="U22" s="50">
        <f t="shared" si="3"/>
        <v>0</v>
      </c>
      <c r="V22" s="50">
        <f t="shared" si="3"/>
        <v>0</v>
      </c>
      <c r="W22" s="46"/>
      <c r="X22" s="52">
        <f>SUM(C22,D21,E20,F19,G18,H17,I16,J15,K14,L13,M12)</f>
        <v>9083212812.6000004</v>
      </c>
      <c r="Y22" s="52">
        <f t="shared" si="4"/>
        <v>422667023.86000061</v>
      </c>
    </row>
    <row r="23" spans="2:31" x14ac:dyDescent="0.25">
      <c r="B23">
        <f t="shared" si="1"/>
        <v>2007</v>
      </c>
      <c r="C23" s="2">
        <f t="shared" si="2"/>
        <v>110263613.17</v>
      </c>
      <c r="D23" s="2">
        <f t="shared" si="2"/>
        <v>175952707.32999998</v>
      </c>
      <c r="E23" s="2">
        <f t="shared" si="2"/>
        <v>198854009.72</v>
      </c>
      <c r="F23" s="2">
        <f t="shared" si="2"/>
        <v>211027161.42000002</v>
      </c>
      <c r="G23" s="2">
        <f t="shared" si="2"/>
        <v>225200712.53999999</v>
      </c>
      <c r="H23" s="2">
        <f t="shared" si="2"/>
        <v>230653681.44999999</v>
      </c>
      <c r="I23" s="2">
        <f t="shared" si="2"/>
        <v>235175361.92000002</v>
      </c>
      <c r="J23" s="2">
        <f t="shared" si="2"/>
        <v>238009187.38999999</v>
      </c>
      <c r="K23" s="2">
        <f t="shared" si="2"/>
        <v>236632376.44</v>
      </c>
      <c r="L23" s="51">
        <f t="shared" si="2"/>
        <v>0</v>
      </c>
      <c r="M23" s="51">
        <f t="shared" si="3"/>
        <v>0</v>
      </c>
      <c r="N23" s="51">
        <f t="shared" si="3"/>
        <v>0</v>
      </c>
      <c r="O23" s="51">
        <f t="shared" si="3"/>
        <v>0</v>
      </c>
      <c r="P23" s="51">
        <v>233</v>
      </c>
      <c r="Q23" s="51">
        <f t="shared" si="3"/>
        <v>0</v>
      </c>
      <c r="R23" s="51">
        <f t="shared" si="3"/>
        <v>0</v>
      </c>
      <c r="S23" s="50">
        <f t="shared" si="3"/>
        <v>0</v>
      </c>
      <c r="T23" s="50">
        <f t="shared" si="3"/>
        <v>0</v>
      </c>
      <c r="U23" s="50">
        <f t="shared" si="3"/>
        <v>0</v>
      </c>
      <c r="V23" s="50">
        <f t="shared" si="3"/>
        <v>0</v>
      </c>
      <c r="W23" s="46"/>
      <c r="X23" s="52">
        <f>SUM(C23,D22,E21,F20,G19,H18,I17,J16,K15,L14,M13,N12)</f>
        <v>9605518997.4399986</v>
      </c>
      <c r="Y23" s="52">
        <f t="shared" si="4"/>
        <v>522306184.83999825</v>
      </c>
    </row>
    <row r="24" spans="2:31" x14ac:dyDescent="0.25">
      <c r="B24">
        <f t="shared" si="1"/>
        <v>2008</v>
      </c>
      <c r="C24" s="2">
        <f t="shared" ref="C24:J24" si="5">INDEX(IncTriData,$I$4*$I$3*($F$2-1)+$B24-($I$2-$I$3),C$11/12)</f>
        <v>88945534.329999998</v>
      </c>
      <c r="D24" s="2">
        <f t="shared" si="5"/>
        <v>141598636.90000001</v>
      </c>
      <c r="E24" s="2">
        <f t="shared" si="5"/>
        <v>171596656.44999999</v>
      </c>
      <c r="F24" s="2">
        <f t="shared" si="5"/>
        <v>189778236.57999998</v>
      </c>
      <c r="G24" s="2">
        <f t="shared" si="5"/>
        <v>197011566.09999999</v>
      </c>
      <c r="H24" s="2">
        <f t="shared" si="5"/>
        <v>204445843.31</v>
      </c>
      <c r="I24" s="2">
        <f t="shared" si="5"/>
        <v>207885679.04000002</v>
      </c>
      <c r="J24" s="2">
        <f t="shared" si="5"/>
        <v>209805789.06999999</v>
      </c>
      <c r="K24" s="51"/>
      <c r="L24" s="51"/>
      <c r="M24" s="51"/>
      <c r="N24" s="51"/>
      <c r="O24" s="51"/>
      <c r="P24" s="51"/>
      <c r="Q24" s="51"/>
      <c r="R24" s="51"/>
      <c r="S24" s="50"/>
      <c r="T24" s="50"/>
      <c r="U24" s="50"/>
      <c r="V24" s="50"/>
      <c r="W24" s="46"/>
      <c r="X24" s="52">
        <f>SUM(C24,D23,E22,F21,G20,H19,I18,J17,K16,L15,M14,N13,O12)</f>
        <v>9961084727.4699993</v>
      </c>
      <c r="Y24" s="52">
        <f t="shared" si="4"/>
        <v>355565730.03000069</v>
      </c>
    </row>
    <row r="25" spans="2:31" x14ac:dyDescent="0.25">
      <c r="B25">
        <f t="shared" si="1"/>
        <v>2009</v>
      </c>
      <c r="C25" s="2">
        <f t="shared" ref="C25:I25" si="6">INDEX(IncTriData,$I$4*$I$3*($F$2-1)+$B25-($I$2-$I$3),C$11/12)</f>
        <v>73556321.900000006</v>
      </c>
      <c r="D25" s="2">
        <f t="shared" si="6"/>
        <v>122238769.03</v>
      </c>
      <c r="E25" s="2">
        <f t="shared" si="6"/>
        <v>145272447.74000001</v>
      </c>
      <c r="F25" s="2">
        <f t="shared" si="6"/>
        <v>162509089.94999999</v>
      </c>
      <c r="G25" s="2">
        <f t="shared" si="6"/>
        <v>173541723.49000001</v>
      </c>
      <c r="H25" s="2">
        <f t="shared" si="6"/>
        <v>178701699.35000002</v>
      </c>
      <c r="I25" s="2">
        <f t="shared" si="6"/>
        <v>180723353.93000001</v>
      </c>
      <c r="J25" s="51"/>
      <c r="K25" s="51"/>
      <c r="L25" s="51"/>
      <c r="M25" s="51"/>
      <c r="N25" s="51"/>
      <c r="O25" s="51"/>
      <c r="P25" s="51"/>
      <c r="Q25" s="51"/>
      <c r="R25" s="51"/>
      <c r="S25" s="50"/>
      <c r="T25" s="50"/>
      <c r="U25" s="50"/>
      <c r="V25" s="50"/>
      <c r="W25" s="46"/>
      <c r="X25" s="52">
        <f>SUM(C25,D24,E23,F22,G21,H20,I19,J18,K17,L16,M15,N14,O13,P12)</f>
        <v>10233070283.699999</v>
      </c>
      <c r="Y25" s="52">
        <f t="shared" si="4"/>
        <v>271985556.22999954</v>
      </c>
    </row>
    <row r="26" spans="2:31" x14ac:dyDescent="0.25">
      <c r="B26">
        <f t="shared" si="1"/>
        <v>2010</v>
      </c>
      <c r="C26" s="2">
        <f t="shared" ref="C26:H26" si="7">INDEX(IncTriData,$I$4*$I$3*($F$2-1)+$B26-($I$2-$I$3),C$11/12)</f>
        <v>72041761.659999996</v>
      </c>
      <c r="D26" s="2">
        <f t="shared" si="7"/>
        <v>114185639.25999999</v>
      </c>
      <c r="E26" s="2">
        <f t="shared" si="7"/>
        <v>135725965.41</v>
      </c>
      <c r="F26" s="2">
        <f t="shared" si="7"/>
        <v>146787285.40000001</v>
      </c>
      <c r="G26" s="2">
        <f t="shared" si="7"/>
        <v>155939964.65000001</v>
      </c>
      <c r="H26" s="2">
        <f t="shared" si="7"/>
        <v>160451386.60000002</v>
      </c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0"/>
      <c r="T26" s="50"/>
      <c r="U26" s="50"/>
      <c r="V26" s="50"/>
      <c r="W26" s="46"/>
      <c r="X26" s="52">
        <f>SUM(C26,D25,E24,F23,G22,H21,I20,J19,K18,L17,M16,N15,O14,P13,Q12)</f>
        <v>10512191607.210001</v>
      </c>
      <c r="Y26" s="52">
        <f t="shared" si="4"/>
        <v>279121323.51000214</v>
      </c>
    </row>
    <row r="27" spans="2:31" x14ac:dyDescent="0.25">
      <c r="B27">
        <f t="shared" si="1"/>
        <v>2011</v>
      </c>
      <c r="C27" s="2">
        <f>INDEX(IncTriData,$I$4*$I$3*($F$2-1)+$B27-($I$2-$I$3),C$11/12)</f>
        <v>65095411.739999995</v>
      </c>
      <c r="D27" s="2">
        <f>INDEX(IncTriData,$I$4*$I$3*($F$2-1)+$B27-($I$2-$I$3),D$11/12)</f>
        <v>111637002.90000001</v>
      </c>
      <c r="E27" s="2">
        <f>INDEX(IncTriData,$I$4*$I$3*($F$2-1)+$B27-($I$2-$I$3),E$11/12)</f>
        <v>131947494.72</v>
      </c>
      <c r="F27" s="2">
        <f>INDEX(IncTriData,$I$4*$I$3*($F$2-1)+$B27-($I$2-$I$3),F$11/12)</f>
        <v>142039932.88</v>
      </c>
      <c r="G27" s="2">
        <f>INDEX(IncTriData,$I$4*$I$3*($F$2-1)+$B27-($I$2-$I$3),G$11/12)</f>
        <v>150437071.94</v>
      </c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0"/>
      <c r="T27" s="50"/>
      <c r="U27" s="50"/>
      <c r="V27" s="50"/>
      <c r="W27" s="46"/>
      <c r="X27" s="52">
        <f>SUM(C27,D26,E25,F24,G23,H22,I21,J20,K19,L18,M17,N16,O15,P14,Q13,R12)</f>
        <v>10718111399.23</v>
      </c>
      <c r="Y27" s="52">
        <f t="shared" si="4"/>
        <v>205919792.01999855</v>
      </c>
    </row>
    <row r="28" spans="2:31" x14ac:dyDescent="0.25">
      <c r="B28">
        <f t="shared" si="1"/>
        <v>2012</v>
      </c>
      <c r="C28" s="2">
        <f>INDEX(IncTriData,$I$4*$I$3*($F$2-1)+$B28-($I$2-$I$3),C$11/12)</f>
        <v>70087458.149999991</v>
      </c>
      <c r="D28" s="2">
        <f>INDEX(IncTriData,$I$4*$I$3*($F$2-1)+$B28-($I$2-$I$3),D$11/12)</f>
        <v>118431444.93000001</v>
      </c>
      <c r="E28" s="2">
        <f>INDEX(IncTriData,$I$4*$I$3*($F$2-1)+$B28-($I$2-$I$3),E$11/12)</f>
        <v>139267905.24000001</v>
      </c>
      <c r="F28" s="2">
        <f>INDEX(IncTriData,$I$4*$I$3*($F$2-1)+$B28-($I$2-$I$3),F$11/12)</f>
        <v>149966321.76999998</v>
      </c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0"/>
      <c r="T28" s="50"/>
      <c r="U28" s="50"/>
      <c r="V28" s="50"/>
      <c r="W28" s="46"/>
      <c r="X28" s="52">
        <f>SUM(C28,D27,E26,F25,G24,H23,I22,J21,K20,L19,M18,N17,O16,P15,Q14,R13,S12)</f>
        <v>10939008294.07</v>
      </c>
      <c r="Y28" s="52">
        <f t="shared" si="4"/>
        <v>220896894.84000015</v>
      </c>
    </row>
    <row r="29" spans="2:31" x14ac:dyDescent="0.25">
      <c r="B29">
        <f t="shared" si="1"/>
        <v>2013</v>
      </c>
      <c r="C29" s="2">
        <f>INDEX(IncTriData,$I$4*$I$3*($F$2-1)+$B29-($I$2-$I$3),C$11/12)</f>
        <v>71955745.420000002</v>
      </c>
      <c r="D29" s="2">
        <f>INDEX(IncTriData,$I$4*$I$3*($F$2-1)+$B29-($I$2-$I$3),D$11/12)</f>
        <v>117211606.53</v>
      </c>
      <c r="E29" s="2">
        <f>INDEX(IncTriData,$I$4*$I$3*($F$2-1)+$B29-($I$2-$I$3),E$11/12)</f>
        <v>131225914.50999999</v>
      </c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0"/>
      <c r="T29" s="50"/>
      <c r="U29" s="50"/>
      <c r="V29" s="50"/>
      <c r="W29" s="46"/>
      <c r="X29" s="52">
        <f>SUM(C29,D28,E27,F26,G25,H24,I23,J22,K21,L20,M19,N18,O17,P16,Q15,R14,S13,T12)</f>
        <v>11174128957.26</v>
      </c>
      <c r="Y29" s="52">
        <f t="shared" si="4"/>
        <v>235120663.19000053</v>
      </c>
    </row>
    <row r="30" spans="2:31" x14ac:dyDescent="0.25">
      <c r="B30">
        <f t="shared" si="1"/>
        <v>2014</v>
      </c>
      <c r="C30" s="2">
        <f>INDEX(IncTriData,$I$4*$I$3*($F$2-1)+$B30-($I$2-$I$3),C$11/12)</f>
        <v>66701557.719999999</v>
      </c>
      <c r="D30" s="2">
        <f>INDEX(IncTriData,$I$4*$I$3*($F$2-1)+$B30-($I$2-$I$3),D$11/12)</f>
        <v>112728166.76000001</v>
      </c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0"/>
      <c r="T30" s="50"/>
      <c r="U30" s="50"/>
      <c r="V30" s="50"/>
      <c r="W30" s="46"/>
      <c r="X30" s="52">
        <f>SUM(C30,D29,E28,F27,G26,H25,I24,J23,K22,L21,M20,N19,O18,P17,Q16,R15,S14,T13,U12)</f>
        <v>11371470634.410002</v>
      </c>
      <c r="Y30" s="52">
        <f t="shared" si="4"/>
        <v>197341677.15000153</v>
      </c>
      <c r="AE30" s="107"/>
    </row>
    <row r="31" spans="2:31" x14ac:dyDescent="0.25">
      <c r="B31">
        <f>+I2</f>
        <v>2015</v>
      </c>
      <c r="C31" s="2">
        <f>INDEX(IncTriData,$I$4*$I$3*($F$2-1)+$B31-($I$2-$I$3),C$11/12)</f>
        <v>58675317.569999993</v>
      </c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0"/>
      <c r="T31" s="50"/>
      <c r="U31" s="50"/>
      <c r="V31" s="50"/>
      <c r="W31" s="46"/>
      <c r="X31" s="52">
        <f>SUM(C31,D30,E29,F28,G27,H26,I25,J24,K23,L22,M21,N20,O19,P18,Q17,R16,S15,T14,U13,V12)</f>
        <v>11542471044.849998</v>
      </c>
      <c r="Y31" s="52">
        <f t="shared" si="4"/>
        <v>171000410.43999672</v>
      </c>
      <c r="AE31" s="107"/>
    </row>
    <row r="32" spans="2:31" x14ac:dyDescent="0.25">
      <c r="AE32" s="107"/>
    </row>
    <row r="33" spans="2:31" x14ac:dyDescent="0.25">
      <c r="AE33" s="107"/>
    </row>
    <row r="34" spans="2:31" x14ac:dyDescent="0.25">
      <c r="B34" t="s">
        <v>76</v>
      </c>
    </row>
    <row r="36" spans="2:31" x14ac:dyDescent="0.25">
      <c r="C36">
        <v>12</v>
      </c>
      <c r="D36">
        <f t="shared" ref="D36:W36" si="8">+C36+12</f>
        <v>24</v>
      </c>
      <c r="E36">
        <f t="shared" si="8"/>
        <v>36</v>
      </c>
      <c r="F36">
        <f t="shared" si="8"/>
        <v>48</v>
      </c>
      <c r="G36">
        <f t="shared" si="8"/>
        <v>60</v>
      </c>
      <c r="H36">
        <f t="shared" si="8"/>
        <v>72</v>
      </c>
      <c r="I36">
        <f t="shared" si="8"/>
        <v>84</v>
      </c>
      <c r="J36">
        <f t="shared" si="8"/>
        <v>96</v>
      </c>
      <c r="K36">
        <f t="shared" si="8"/>
        <v>108</v>
      </c>
      <c r="L36">
        <f t="shared" si="8"/>
        <v>120</v>
      </c>
      <c r="M36">
        <f t="shared" si="8"/>
        <v>132</v>
      </c>
      <c r="N36">
        <f t="shared" si="8"/>
        <v>144</v>
      </c>
      <c r="O36">
        <f t="shared" si="8"/>
        <v>156</v>
      </c>
      <c r="P36">
        <f t="shared" si="8"/>
        <v>168</v>
      </c>
      <c r="Q36">
        <f t="shared" si="8"/>
        <v>180</v>
      </c>
      <c r="R36">
        <f t="shared" si="8"/>
        <v>192</v>
      </c>
      <c r="S36">
        <f t="shared" si="8"/>
        <v>204</v>
      </c>
      <c r="T36">
        <f t="shared" si="8"/>
        <v>216</v>
      </c>
      <c r="U36">
        <f t="shared" si="8"/>
        <v>228</v>
      </c>
      <c r="V36">
        <f t="shared" si="8"/>
        <v>240</v>
      </c>
      <c r="W36">
        <f t="shared" si="8"/>
        <v>252</v>
      </c>
    </row>
    <row r="37" spans="2:31" x14ac:dyDescent="0.25">
      <c r="B37">
        <f t="shared" ref="B37:B55" si="9">+B38-1</f>
        <v>1996</v>
      </c>
      <c r="C37" s="2">
        <f t="shared" ref="C37:L46" si="10">INDEX(PaidTriData,$I$4*$I$3*($F$2-1)+$B37-($I$2-$I$3),C$11/12)</f>
        <v>170878252.12</v>
      </c>
      <c r="D37" s="2">
        <f t="shared" si="10"/>
        <v>382805146.90999997</v>
      </c>
      <c r="E37" s="2">
        <f t="shared" si="10"/>
        <v>504029745.48000002</v>
      </c>
      <c r="F37" s="2">
        <f t="shared" si="10"/>
        <v>579955422</v>
      </c>
      <c r="G37" s="2">
        <f t="shared" si="10"/>
        <v>631583269.23000002</v>
      </c>
      <c r="H37" s="2">
        <f t="shared" si="10"/>
        <v>669156646.3499999</v>
      </c>
      <c r="I37" s="2">
        <f t="shared" si="10"/>
        <v>692973350.31000006</v>
      </c>
      <c r="J37" s="2">
        <f t="shared" si="10"/>
        <v>712527025.69000006</v>
      </c>
      <c r="K37" s="2">
        <f t="shared" si="10"/>
        <v>726453277.33999991</v>
      </c>
      <c r="L37" s="2">
        <f t="shared" si="10"/>
        <v>738412164.06000006</v>
      </c>
      <c r="M37" s="2">
        <f t="shared" ref="M37:V46" si="11">INDEX(PaidTriData,$I$4*$I$3*($F$2-1)+$B37-($I$2-$I$3),M$11/12)</f>
        <v>748359496.75</v>
      </c>
      <c r="N37" s="2">
        <f t="shared" si="11"/>
        <v>758610719.88000011</v>
      </c>
      <c r="O37" s="2">
        <f t="shared" si="11"/>
        <v>765969567.10000002</v>
      </c>
      <c r="P37" s="2">
        <f t="shared" si="11"/>
        <v>774243266.13</v>
      </c>
      <c r="Q37" s="2">
        <f t="shared" si="11"/>
        <v>781521096.99000001</v>
      </c>
      <c r="R37" s="2">
        <f t="shared" si="11"/>
        <v>788235141.21000004</v>
      </c>
      <c r="S37" s="2">
        <f t="shared" si="11"/>
        <v>793874514.32999992</v>
      </c>
      <c r="T37" s="2">
        <f t="shared" si="11"/>
        <v>800110177.36000001</v>
      </c>
      <c r="U37" s="2">
        <f t="shared" si="11"/>
        <v>805772059.5999999</v>
      </c>
      <c r="V37" s="2">
        <f t="shared" si="11"/>
        <v>812978537.38</v>
      </c>
      <c r="W37" s="46"/>
    </row>
    <row r="38" spans="2:31" x14ac:dyDescent="0.25">
      <c r="B38">
        <f t="shared" si="9"/>
        <v>1997</v>
      </c>
      <c r="C38" s="2">
        <f t="shared" si="10"/>
        <v>202964473.63</v>
      </c>
      <c r="D38" s="2">
        <f t="shared" si="10"/>
        <v>455702385.88999999</v>
      </c>
      <c r="E38" s="2">
        <f t="shared" si="10"/>
        <v>593403105.93000007</v>
      </c>
      <c r="F38" s="2">
        <f t="shared" si="10"/>
        <v>685259002.92000008</v>
      </c>
      <c r="G38" s="2">
        <f t="shared" si="10"/>
        <v>741290142.04999995</v>
      </c>
      <c r="H38" s="2">
        <f t="shared" si="10"/>
        <v>782510808.75999999</v>
      </c>
      <c r="I38" s="2">
        <f t="shared" si="10"/>
        <v>816158251.86000001</v>
      </c>
      <c r="J38" s="2">
        <f t="shared" si="10"/>
        <v>838071096.14999998</v>
      </c>
      <c r="K38" s="2">
        <f t="shared" si="10"/>
        <v>853367294.64999998</v>
      </c>
      <c r="L38" s="2">
        <f t="shared" si="10"/>
        <v>866576787.90999997</v>
      </c>
      <c r="M38" s="2">
        <f t="shared" si="11"/>
        <v>879323043.96000004</v>
      </c>
      <c r="N38" s="2">
        <f t="shared" si="11"/>
        <v>889402048.97000003</v>
      </c>
      <c r="O38" s="2">
        <f t="shared" si="11"/>
        <v>898238395.33000004</v>
      </c>
      <c r="P38" s="2">
        <f t="shared" si="11"/>
        <v>906029100.69000006</v>
      </c>
      <c r="Q38" s="2">
        <f t="shared" si="11"/>
        <v>913064444.18000007</v>
      </c>
      <c r="R38" s="2">
        <f t="shared" si="11"/>
        <v>919813447.25999999</v>
      </c>
      <c r="S38" s="2">
        <f t="shared" si="11"/>
        <v>926525371.8499999</v>
      </c>
      <c r="T38" s="2">
        <f t="shared" si="11"/>
        <v>933411699.53999996</v>
      </c>
      <c r="U38" s="2">
        <f t="shared" si="11"/>
        <v>940465581.37000012</v>
      </c>
      <c r="V38" s="50">
        <f t="shared" si="11"/>
        <v>0</v>
      </c>
      <c r="W38" s="46"/>
    </row>
    <row r="39" spans="2:31" x14ac:dyDescent="0.25">
      <c r="B39">
        <f t="shared" si="9"/>
        <v>1998</v>
      </c>
      <c r="C39" s="2">
        <f t="shared" si="10"/>
        <v>219019293.75999999</v>
      </c>
      <c r="D39" s="2">
        <f t="shared" si="10"/>
        <v>513301436.09999996</v>
      </c>
      <c r="E39" s="2">
        <f t="shared" si="10"/>
        <v>696026715.39999998</v>
      </c>
      <c r="F39" s="2">
        <f t="shared" si="10"/>
        <v>812924713.96000004</v>
      </c>
      <c r="G39" s="2">
        <f t="shared" si="10"/>
        <v>890039002.93000007</v>
      </c>
      <c r="H39" s="2">
        <f t="shared" si="10"/>
        <v>947909295.50999999</v>
      </c>
      <c r="I39" s="2">
        <f t="shared" si="10"/>
        <v>986734013.9000001</v>
      </c>
      <c r="J39" s="2">
        <f t="shared" si="10"/>
        <v>1015026601.8399999</v>
      </c>
      <c r="K39" s="2">
        <f t="shared" si="10"/>
        <v>1041725317.1300001</v>
      </c>
      <c r="L39" s="2">
        <f t="shared" si="10"/>
        <v>1063404595.96</v>
      </c>
      <c r="M39" s="2">
        <f t="shared" si="11"/>
        <v>1082521248.4100001</v>
      </c>
      <c r="N39" s="2">
        <f t="shared" si="11"/>
        <v>1097202766.3699999</v>
      </c>
      <c r="O39" s="2">
        <f t="shared" si="11"/>
        <v>1108220427.71</v>
      </c>
      <c r="P39" s="2">
        <f t="shared" si="11"/>
        <v>1120535127.0699999</v>
      </c>
      <c r="Q39" s="2">
        <f t="shared" si="11"/>
        <v>1130946080.1300001</v>
      </c>
      <c r="R39" s="2">
        <f t="shared" si="11"/>
        <v>1142879244.8800001</v>
      </c>
      <c r="S39" s="2">
        <f t="shared" si="11"/>
        <v>1152614249.96</v>
      </c>
      <c r="T39" s="2">
        <f t="shared" si="11"/>
        <v>1161889799.99</v>
      </c>
      <c r="U39" s="50">
        <f t="shared" si="11"/>
        <v>0</v>
      </c>
      <c r="V39" s="50">
        <f t="shared" si="11"/>
        <v>0</v>
      </c>
      <c r="W39" s="46"/>
    </row>
    <row r="40" spans="2:31" x14ac:dyDescent="0.25">
      <c r="B40">
        <f t="shared" si="9"/>
        <v>1999</v>
      </c>
      <c r="C40" s="2">
        <f t="shared" si="10"/>
        <v>233185376.00999999</v>
      </c>
      <c r="D40" s="2">
        <f t="shared" si="10"/>
        <v>568164167.47000003</v>
      </c>
      <c r="E40" s="2">
        <f t="shared" si="10"/>
        <v>778144493.8499999</v>
      </c>
      <c r="F40" s="2">
        <f t="shared" si="10"/>
        <v>897865518.07000017</v>
      </c>
      <c r="G40" s="2">
        <f t="shared" si="10"/>
        <v>985085309.06000006</v>
      </c>
      <c r="H40" s="2">
        <f t="shared" si="10"/>
        <v>1047061459.4200001</v>
      </c>
      <c r="I40" s="2">
        <f t="shared" si="10"/>
        <v>1092450098.4000001</v>
      </c>
      <c r="J40" s="2">
        <f t="shared" si="10"/>
        <v>1126350233.1199999</v>
      </c>
      <c r="K40" s="2">
        <f t="shared" si="10"/>
        <v>1146219867.4099998</v>
      </c>
      <c r="L40" s="2">
        <f t="shared" si="10"/>
        <v>1168090730.96</v>
      </c>
      <c r="M40" s="2">
        <f t="shared" si="11"/>
        <v>1185453245.78</v>
      </c>
      <c r="N40" s="2">
        <f t="shared" si="11"/>
        <v>1199289147.99</v>
      </c>
      <c r="O40" s="2">
        <f t="shared" si="11"/>
        <v>1213863144.9000001</v>
      </c>
      <c r="P40" s="2">
        <f t="shared" si="11"/>
        <v>1228355115.01</v>
      </c>
      <c r="Q40" s="2">
        <f t="shared" si="11"/>
        <v>1241167066.47</v>
      </c>
      <c r="R40" s="2">
        <f t="shared" si="11"/>
        <v>1256456247.9300001</v>
      </c>
      <c r="S40" s="2">
        <f t="shared" si="11"/>
        <v>1267271317.27</v>
      </c>
      <c r="T40" s="50">
        <f t="shared" si="11"/>
        <v>0</v>
      </c>
      <c r="U40" s="50">
        <f t="shared" si="11"/>
        <v>0</v>
      </c>
      <c r="V40" s="50">
        <f t="shared" si="11"/>
        <v>0</v>
      </c>
      <c r="W40" s="46"/>
    </row>
    <row r="41" spans="2:31" x14ac:dyDescent="0.25">
      <c r="B41">
        <f t="shared" si="9"/>
        <v>2000</v>
      </c>
      <c r="C41" s="2">
        <f t="shared" si="10"/>
        <v>221565337.06999999</v>
      </c>
      <c r="D41" s="2">
        <f t="shared" si="10"/>
        <v>550640287.90999997</v>
      </c>
      <c r="E41" s="2">
        <f t="shared" si="10"/>
        <v>745887705.35000002</v>
      </c>
      <c r="F41" s="2">
        <f t="shared" si="10"/>
        <v>874494546.18000007</v>
      </c>
      <c r="G41" s="2">
        <f t="shared" si="10"/>
        <v>958303218.79000008</v>
      </c>
      <c r="H41" s="2">
        <f t="shared" si="10"/>
        <v>1010871556</v>
      </c>
      <c r="I41" s="2">
        <f t="shared" si="10"/>
        <v>1052410804.5999999</v>
      </c>
      <c r="J41" s="2">
        <f t="shared" si="10"/>
        <v>1085556274.79</v>
      </c>
      <c r="K41" s="2">
        <f t="shared" si="10"/>
        <v>1101859860.9099998</v>
      </c>
      <c r="L41" s="2">
        <f t="shared" si="10"/>
        <v>1118666333.0599999</v>
      </c>
      <c r="M41" s="2">
        <f t="shared" si="11"/>
        <v>1133061164.8900001</v>
      </c>
      <c r="N41" s="2">
        <f t="shared" si="11"/>
        <v>1139569126.6700001</v>
      </c>
      <c r="O41" s="2">
        <f t="shared" si="11"/>
        <v>1153080945.49</v>
      </c>
      <c r="P41" s="2">
        <f t="shared" si="11"/>
        <v>1169441798.05</v>
      </c>
      <c r="Q41" s="2">
        <f t="shared" si="11"/>
        <v>1180144344.5799999</v>
      </c>
      <c r="R41" s="2">
        <f t="shared" si="11"/>
        <v>1187733511.8199999</v>
      </c>
      <c r="S41" s="50">
        <f t="shared" si="11"/>
        <v>0</v>
      </c>
      <c r="T41" s="50">
        <f t="shared" si="11"/>
        <v>0</v>
      </c>
      <c r="U41" s="50">
        <f t="shared" si="11"/>
        <v>0</v>
      </c>
      <c r="V41" s="50">
        <f t="shared" si="11"/>
        <v>0</v>
      </c>
      <c r="W41" s="46"/>
    </row>
    <row r="42" spans="2:31" x14ac:dyDescent="0.25">
      <c r="B42">
        <f t="shared" si="9"/>
        <v>2001</v>
      </c>
      <c r="C42" s="2">
        <f t="shared" si="10"/>
        <v>238659302.15000001</v>
      </c>
      <c r="D42" s="2">
        <f t="shared" si="10"/>
        <v>589063255.29999995</v>
      </c>
      <c r="E42" s="2">
        <f t="shared" si="10"/>
        <v>801812223.22000003</v>
      </c>
      <c r="F42" s="2">
        <f t="shared" si="10"/>
        <v>937103098.23000002</v>
      </c>
      <c r="G42" s="2">
        <f t="shared" si="10"/>
        <v>1016695014.6099999</v>
      </c>
      <c r="H42" s="2">
        <f t="shared" si="10"/>
        <v>1075131871.9400001</v>
      </c>
      <c r="I42" s="2">
        <f t="shared" si="10"/>
        <v>1114610860.1700001</v>
      </c>
      <c r="J42" s="2">
        <f t="shared" si="10"/>
        <v>1145539033.71</v>
      </c>
      <c r="K42" s="2">
        <f t="shared" si="10"/>
        <v>1165519472.8599999</v>
      </c>
      <c r="L42" s="2">
        <f t="shared" si="10"/>
        <v>1181850088.4299998</v>
      </c>
      <c r="M42" s="2">
        <f t="shared" si="11"/>
        <v>1164330038.1199999</v>
      </c>
      <c r="N42" s="2">
        <f t="shared" si="11"/>
        <v>1176999825.1500001</v>
      </c>
      <c r="O42" s="2">
        <f t="shared" si="11"/>
        <v>1192075441.9400001</v>
      </c>
      <c r="P42" s="2">
        <f t="shared" si="11"/>
        <v>1209802711.5900002</v>
      </c>
      <c r="Q42" s="2">
        <f t="shared" si="11"/>
        <v>1221019289.03</v>
      </c>
      <c r="R42" s="51">
        <f t="shared" si="11"/>
        <v>0</v>
      </c>
      <c r="S42" s="50">
        <f t="shared" si="11"/>
        <v>0</v>
      </c>
      <c r="T42" s="50">
        <f t="shared" si="11"/>
        <v>0</v>
      </c>
      <c r="U42" s="50">
        <f t="shared" si="11"/>
        <v>0</v>
      </c>
      <c r="V42" s="50">
        <f t="shared" si="11"/>
        <v>0</v>
      </c>
      <c r="W42" s="46"/>
    </row>
    <row r="43" spans="2:31" x14ac:dyDescent="0.25">
      <c r="B43">
        <f t="shared" si="9"/>
        <v>2002</v>
      </c>
      <c r="C43" s="2">
        <f t="shared" si="10"/>
        <v>213783517.21000001</v>
      </c>
      <c r="D43" s="2">
        <f t="shared" si="10"/>
        <v>532757416.22000003</v>
      </c>
      <c r="E43" s="2">
        <f t="shared" si="10"/>
        <v>730492605.10000002</v>
      </c>
      <c r="F43" s="2">
        <f t="shared" si="10"/>
        <v>851618944.27999997</v>
      </c>
      <c r="G43" s="2">
        <f t="shared" si="10"/>
        <v>926947672.32000005</v>
      </c>
      <c r="H43" s="2">
        <f t="shared" si="10"/>
        <v>974527623.83000004</v>
      </c>
      <c r="I43" s="2">
        <f t="shared" si="10"/>
        <v>1016336506.9000001</v>
      </c>
      <c r="J43" s="2">
        <f t="shared" si="10"/>
        <v>1042892499.96</v>
      </c>
      <c r="K43" s="2">
        <f t="shared" si="10"/>
        <v>1064201054.5500001</v>
      </c>
      <c r="L43" s="2">
        <f t="shared" si="10"/>
        <v>1080119893.0700002</v>
      </c>
      <c r="M43" s="2">
        <f t="shared" si="11"/>
        <v>1095708839.1600001</v>
      </c>
      <c r="N43" s="2">
        <f t="shared" si="11"/>
        <v>1111004626.53</v>
      </c>
      <c r="O43" s="2">
        <f t="shared" si="11"/>
        <v>1125287579.5900002</v>
      </c>
      <c r="P43" s="2">
        <f t="shared" si="11"/>
        <v>1134971109.6399999</v>
      </c>
      <c r="Q43" s="51">
        <f t="shared" si="11"/>
        <v>0</v>
      </c>
      <c r="R43" s="51">
        <f t="shared" si="11"/>
        <v>0</v>
      </c>
      <c r="S43" s="50">
        <f t="shared" si="11"/>
        <v>0</v>
      </c>
      <c r="T43" s="50">
        <f t="shared" si="11"/>
        <v>0</v>
      </c>
      <c r="U43" s="50">
        <f t="shared" si="11"/>
        <v>0</v>
      </c>
      <c r="V43" s="50">
        <f t="shared" si="11"/>
        <v>0</v>
      </c>
      <c r="W43" s="46"/>
    </row>
    <row r="44" spans="2:31" x14ac:dyDescent="0.25">
      <c r="B44">
        <f t="shared" si="9"/>
        <v>2003</v>
      </c>
      <c r="C44" s="2">
        <f t="shared" si="10"/>
        <v>163246534.31999999</v>
      </c>
      <c r="D44" s="2">
        <f t="shared" si="10"/>
        <v>384810992.36000001</v>
      </c>
      <c r="E44" s="2">
        <f t="shared" si="10"/>
        <v>516911031.21000004</v>
      </c>
      <c r="F44" s="2">
        <f t="shared" si="10"/>
        <v>597226266.80999994</v>
      </c>
      <c r="G44" s="2">
        <f t="shared" si="10"/>
        <v>646086048.48000002</v>
      </c>
      <c r="H44" s="2">
        <f t="shared" si="10"/>
        <v>681265439.22000003</v>
      </c>
      <c r="I44" s="2">
        <f t="shared" si="10"/>
        <v>705615562.33999991</v>
      </c>
      <c r="J44" s="2">
        <f t="shared" si="10"/>
        <v>722627857.85000002</v>
      </c>
      <c r="K44" s="2">
        <f t="shared" si="10"/>
        <v>737488943.81999993</v>
      </c>
      <c r="L44" s="2">
        <f t="shared" si="10"/>
        <v>748627124.42999995</v>
      </c>
      <c r="M44" s="2">
        <f t="shared" si="11"/>
        <v>760551534.83000004</v>
      </c>
      <c r="N44" s="2">
        <f t="shared" si="11"/>
        <v>770121381.22000003</v>
      </c>
      <c r="O44" s="2">
        <f t="shared" si="11"/>
        <v>777683901.29999995</v>
      </c>
      <c r="P44" s="51">
        <f t="shared" si="11"/>
        <v>0</v>
      </c>
      <c r="Q44" s="51">
        <f t="shared" si="11"/>
        <v>0</v>
      </c>
      <c r="R44" s="51">
        <f t="shared" si="11"/>
        <v>0</v>
      </c>
      <c r="S44" s="50">
        <f t="shared" si="11"/>
        <v>0</v>
      </c>
      <c r="T44" s="50">
        <f t="shared" si="11"/>
        <v>0</v>
      </c>
      <c r="U44" s="50">
        <f t="shared" si="11"/>
        <v>0</v>
      </c>
      <c r="V44" s="50">
        <f t="shared" si="11"/>
        <v>0</v>
      </c>
      <c r="W44" s="46"/>
    </row>
    <row r="45" spans="2:31" x14ac:dyDescent="0.25">
      <c r="B45">
        <f t="shared" si="9"/>
        <v>2004</v>
      </c>
      <c r="C45" s="2">
        <f t="shared" si="10"/>
        <v>124815653.18000001</v>
      </c>
      <c r="D45" s="2">
        <f t="shared" si="10"/>
        <v>282882320.20000005</v>
      </c>
      <c r="E45" s="2">
        <f t="shared" si="10"/>
        <v>375810890.16999996</v>
      </c>
      <c r="F45" s="2">
        <f t="shared" si="10"/>
        <v>433748884.70999998</v>
      </c>
      <c r="G45" s="2">
        <f t="shared" si="10"/>
        <v>468402829.52999997</v>
      </c>
      <c r="H45" s="2">
        <f t="shared" si="10"/>
        <v>492299184.33000004</v>
      </c>
      <c r="I45" s="2">
        <f t="shared" si="10"/>
        <v>509884730.01999998</v>
      </c>
      <c r="J45" s="2">
        <f t="shared" si="10"/>
        <v>522438003.60000002</v>
      </c>
      <c r="K45" s="2">
        <f t="shared" si="10"/>
        <v>534536162.22000003</v>
      </c>
      <c r="L45" s="2">
        <f t="shared" si="10"/>
        <v>545278744.18000007</v>
      </c>
      <c r="M45" s="2">
        <f t="shared" si="11"/>
        <v>554006451.03999996</v>
      </c>
      <c r="N45" s="2">
        <f t="shared" si="11"/>
        <v>562482962.06999993</v>
      </c>
      <c r="O45" s="51">
        <f t="shared" si="11"/>
        <v>0</v>
      </c>
      <c r="P45" s="51">
        <f t="shared" si="11"/>
        <v>0</v>
      </c>
      <c r="Q45" s="51">
        <f t="shared" si="11"/>
        <v>0</v>
      </c>
      <c r="R45" s="51">
        <f t="shared" si="11"/>
        <v>0</v>
      </c>
      <c r="S45" s="50">
        <f t="shared" si="11"/>
        <v>0</v>
      </c>
      <c r="T45" s="50">
        <f t="shared" si="11"/>
        <v>0</v>
      </c>
      <c r="U45" s="50">
        <f t="shared" si="11"/>
        <v>0</v>
      </c>
      <c r="V45" s="50">
        <f t="shared" si="11"/>
        <v>0</v>
      </c>
      <c r="W45" s="46"/>
    </row>
    <row r="46" spans="2:31" x14ac:dyDescent="0.25">
      <c r="B46">
        <f t="shared" si="9"/>
        <v>2005</v>
      </c>
      <c r="C46" s="2">
        <f t="shared" si="10"/>
        <v>65911105.489999995</v>
      </c>
      <c r="D46" s="2">
        <f t="shared" si="10"/>
        <v>155526239.74000001</v>
      </c>
      <c r="E46" s="2">
        <f t="shared" si="10"/>
        <v>203101081.80000001</v>
      </c>
      <c r="F46" s="2">
        <f t="shared" si="10"/>
        <v>236675304.12</v>
      </c>
      <c r="G46" s="2">
        <f t="shared" si="10"/>
        <v>257513048.70999998</v>
      </c>
      <c r="H46" s="2">
        <f t="shared" si="10"/>
        <v>270717557.55000001</v>
      </c>
      <c r="I46" s="2">
        <f t="shared" si="10"/>
        <v>283200748.09000003</v>
      </c>
      <c r="J46" s="2">
        <f t="shared" si="10"/>
        <v>290626750.43000001</v>
      </c>
      <c r="K46" s="2">
        <f t="shared" si="10"/>
        <v>298900934.71999997</v>
      </c>
      <c r="L46" s="2">
        <f t="shared" si="10"/>
        <v>304071101.56999999</v>
      </c>
      <c r="M46" s="2">
        <f t="shared" si="11"/>
        <v>308569401.15999997</v>
      </c>
      <c r="N46" s="51">
        <f t="shared" si="11"/>
        <v>0</v>
      </c>
      <c r="O46" s="51">
        <f t="shared" si="11"/>
        <v>0</v>
      </c>
      <c r="P46" s="51">
        <f t="shared" si="11"/>
        <v>0</v>
      </c>
      <c r="Q46" s="51">
        <f t="shared" si="11"/>
        <v>0</v>
      </c>
      <c r="R46" s="51">
        <f t="shared" si="11"/>
        <v>0</v>
      </c>
      <c r="S46" s="50">
        <f t="shared" si="11"/>
        <v>0</v>
      </c>
      <c r="T46" s="50">
        <f t="shared" si="11"/>
        <v>0</v>
      </c>
      <c r="U46" s="50">
        <f t="shared" si="11"/>
        <v>0</v>
      </c>
      <c r="V46" s="50">
        <f t="shared" si="11"/>
        <v>0</v>
      </c>
      <c r="W46" s="46"/>
    </row>
    <row r="47" spans="2:31" x14ac:dyDescent="0.25">
      <c r="B47">
        <f t="shared" si="9"/>
        <v>2006</v>
      </c>
      <c r="C47" s="2">
        <f t="shared" ref="C47:L54" si="12">INDEX(PaidTriData,$I$4*$I$3*($F$2-1)+$B47-($I$2-$I$3),C$11/12)</f>
        <v>54426475.109999999</v>
      </c>
      <c r="D47" s="2">
        <f t="shared" si="12"/>
        <v>129480981.28</v>
      </c>
      <c r="E47" s="2">
        <f t="shared" si="12"/>
        <v>172141763.97999999</v>
      </c>
      <c r="F47" s="2">
        <f t="shared" si="12"/>
        <v>199302162.31</v>
      </c>
      <c r="G47" s="2">
        <f t="shared" si="12"/>
        <v>217266372.98000002</v>
      </c>
      <c r="H47" s="2">
        <f t="shared" si="12"/>
        <v>229125669.64000002</v>
      </c>
      <c r="I47" s="2">
        <f t="shared" si="12"/>
        <v>239607633.5</v>
      </c>
      <c r="J47" s="2">
        <f t="shared" si="12"/>
        <v>246997680.25999999</v>
      </c>
      <c r="K47" s="2">
        <f t="shared" si="12"/>
        <v>251921166.99000001</v>
      </c>
      <c r="L47" s="2">
        <f t="shared" si="12"/>
        <v>256225088.23000002</v>
      </c>
      <c r="M47" s="51">
        <f t="shared" ref="M47:V54" si="13">INDEX(PaidTriData,$I$4*$I$3*($F$2-1)+$B47-($I$2-$I$3),M$11/12)</f>
        <v>0</v>
      </c>
      <c r="N47" s="51">
        <f t="shared" si="13"/>
        <v>0</v>
      </c>
      <c r="O47" s="51">
        <f t="shared" si="13"/>
        <v>0</v>
      </c>
      <c r="P47" s="51">
        <f t="shared" si="13"/>
        <v>0</v>
      </c>
      <c r="Q47" s="51">
        <f t="shared" si="13"/>
        <v>0</v>
      </c>
      <c r="R47" s="51">
        <f t="shared" si="13"/>
        <v>0</v>
      </c>
      <c r="S47" s="50">
        <f t="shared" si="13"/>
        <v>0</v>
      </c>
      <c r="T47" s="50">
        <f t="shared" si="13"/>
        <v>0</v>
      </c>
      <c r="U47" s="50">
        <f t="shared" si="13"/>
        <v>0</v>
      </c>
      <c r="V47" s="50">
        <f t="shared" si="13"/>
        <v>0</v>
      </c>
      <c r="W47" s="46"/>
    </row>
    <row r="48" spans="2:31" x14ac:dyDescent="0.25">
      <c r="B48">
        <f t="shared" si="9"/>
        <v>2007</v>
      </c>
      <c r="C48" s="2">
        <f t="shared" si="12"/>
        <v>50082097.170000002</v>
      </c>
      <c r="D48" s="2">
        <f t="shared" si="12"/>
        <v>114295771.33</v>
      </c>
      <c r="E48" s="2">
        <f t="shared" si="12"/>
        <v>153613048.72</v>
      </c>
      <c r="F48" s="2">
        <f t="shared" si="12"/>
        <v>177063066.42000002</v>
      </c>
      <c r="G48" s="2">
        <f t="shared" si="12"/>
        <v>191974212.54000002</v>
      </c>
      <c r="H48" s="2">
        <f t="shared" si="12"/>
        <v>202789931.44999999</v>
      </c>
      <c r="I48" s="2">
        <f t="shared" si="12"/>
        <v>210560019.92000002</v>
      </c>
      <c r="J48" s="2">
        <f t="shared" si="12"/>
        <v>216847059.38999999</v>
      </c>
      <c r="K48" s="2">
        <f t="shared" si="12"/>
        <v>222748339.44</v>
      </c>
      <c r="L48" s="51">
        <f t="shared" si="12"/>
        <v>0</v>
      </c>
      <c r="M48" s="51">
        <f t="shared" si="13"/>
        <v>0</v>
      </c>
      <c r="N48" s="51">
        <f t="shared" si="13"/>
        <v>0</v>
      </c>
      <c r="O48" s="51">
        <f t="shared" si="13"/>
        <v>0</v>
      </c>
      <c r="P48" s="51">
        <f t="shared" si="13"/>
        <v>0</v>
      </c>
      <c r="Q48" s="51">
        <f t="shared" si="13"/>
        <v>0</v>
      </c>
      <c r="R48" s="51">
        <f t="shared" si="13"/>
        <v>0</v>
      </c>
      <c r="S48" s="50">
        <f t="shared" si="13"/>
        <v>0</v>
      </c>
      <c r="T48" s="50">
        <f t="shared" si="13"/>
        <v>0</v>
      </c>
      <c r="U48" s="50">
        <f t="shared" si="13"/>
        <v>0</v>
      </c>
      <c r="V48" s="50">
        <f t="shared" si="13"/>
        <v>0</v>
      </c>
      <c r="W48" s="46"/>
    </row>
    <row r="49" spans="2:23" x14ac:dyDescent="0.25">
      <c r="B49">
        <f t="shared" si="9"/>
        <v>2008</v>
      </c>
      <c r="C49" s="2">
        <f t="shared" si="12"/>
        <v>40057059.329999998</v>
      </c>
      <c r="D49" s="2">
        <f t="shared" si="12"/>
        <v>94001456.900000006</v>
      </c>
      <c r="E49" s="2">
        <f t="shared" si="12"/>
        <v>130253625.44999999</v>
      </c>
      <c r="F49" s="2">
        <f t="shared" si="12"/>
        <v>150092577.57999998</v>
      </c>
      <c r="G49" s="2">
        <f t="shared" si="12"/>
        <v>164687251.09999999</v>
      </c>
      <c r="H49" s="2">
        <f t="shared" si="12"/>
        <v>174671850.31</v>
      </c>
      <c r="I49" s="2">
        <f t="shared" si="12"/>
        <v>181010415.03999999</v>
      </c>
      <c r="J49" s="2">
        <f t="shared" si="12"/>
        <v>184287397.06999999</v>
      </c>
      <c r="K49" s="51">
        <f t="shared" si="12"/>
        <v>0</v>
      </c>
      <c r="L49" s="51">
        <f t="shared" si="12"/>
        <v>0</v>
      </c>
      <c r="M49" s="51">
        <f t="shared" si="13"/>
        <v>0</v>
      </c>
      <c r="N49" s="51">
        <f t="shared" si="13"/>
        <v>0</v>
      </c>
      <c r="O49" s="51">
        <f t="shared" si="13"/>
        <v>0</v>
      </c>
      <c r="P49" s="51">
        <f t="shared" si="13"/>
        <v>0</v>
      </c>
      <c r="Q49" s="51">
        <f t="shared" si="13"/>
        <v>0</v>
      </c>
      <c r="R49" s="51">
        <f t="shared" si="13"/>
        <v>0</v>
      </c>
      <c r="S49" s="50">
        <f t="shared" si="13"/>
        <v>0</v>
      </c>
      <c r="T49" s="50">
        <f t="shared" si="13"/>
        <v>0</v>
      </c>
      <c r="U49" s="50">
        <f t="shared" si="13"/>
        <v>0</v>
      </c>
      <c r="V49" s="50">
        <f t="shared" si="13"/>
        <v>0</v>
      </c>
      <c r="W49" s="46"/>
    </row>
    <row r="50" spans="2:23" x14ac:dyDescent="0.25">
      <c r="B50">
        <f t="shared" si="9"/>
        <v>2009</v>
      </c>
      <c r="C50" s="2">
        <f t="shared" si="12"/>
        <v>34202291.899999999</v>
      </c>
      <c r="D50" s="2">
        <f t="shared" si="12"/>
        <v>85527539.030000001</v>
      </c>
      <c r="E50" s="2">
        <f t="shared" si="12"/>
        <v>115117897.74000001</v>
      </c>
      <c r="F50" s="2">
        <f t="shared" si="12"/>
        <v>135906298.94999999</v>
      </c>
      <c r="G50" s="2">
        <f t="shared" si="12"/>
        <v>152927298.49000001</v>
      </c>
      <c r="H50" s="2">
        <f t="shared" si="12"/>
        <v>161641464.35000002</v>
      </c>
      <c r="I50" s="2">
        <f t="shared" si="12"/>
        <v>168255694.93000001</v>
      </c>
      <c r="J50" s="51">
        <f t="shared" si="12"/>
        <v>0</v>
      </c>
      <c r="K50" s="51">
        <f t="shared" si="12"/>
        <v>0</v>
      </c>
      <c r="L50" s="51">
        <f t="shared" si="12"/>
        <v>0</v>
      </c>
      <c r="M50" s="51">
        <f t="shared" si="13"/>
        <v>0</v>
      </c>
      <c r="N50" s="51">
        <f t="shared" si="13"/>
        <v>0</v>
      </c>
      <c r="O50" s="51">
        <f t="shared" si="13"/>
        <v>0</v>
      </c>
      <c r="P50" s="51">
        <f t="shared" si="13"/>
        <v>0</v>
      </c>
      <c r="Q50" s="51">
        <f t="shared" si="13"/>
        <v>0</v>
      </c>
      <c r="R50" s="51">
        <f t="shared" si="13"/>
        <v>0</v>
      </c>
      <c r="S50" s="50">
        <f t="shared" si="13"/>
        <v>0</v>
      </c>
      <c r="T50" s="50">
        <f t="shared" si="13"/>
        <v>0</v>
      </c>
      <c r="U50" s="50">
        <f t="shared" si="13"/>
        <v>0</v>
      </c>
      <c r="V50" s="50">
        <f t="shared" si="13"/>
        <v>0</v>
      </c>
      <c r="W50" s="46"/>
    </row>
    <row r="51" spans="2:23" x14ac:dyDescent="0.25">
      <c r="B51">
        <f t="shared" si="9"/>
        <v>2010</v>
      </c>
      <c r="C51" s="2">
        <f t="shared" si="12"/>
        <v>33774411.660000004</v>
      </c>
      <c r="D51" s="2">
        <f t="shared" si="12"/>
        <v>80886038.260000005</v>
      </c>
      <c r="E51" s="2">
        <f t="shared" si="12"/>
        <v>109259352.41</v>
      </c>
      <c r="F51" s="2">
        <f t="shared" si="12"/>
        <v>128097822.40000001</v>
      </c>
      <c r="G51" s="2">
        <f t="shared" si="12"/>
        <v>139599150.65000001</v>
      </c>
      <c r="H51" s="2">
        <f t="shared" si="12"/>
        <v>147615751.60000002</v>
      </c>
      <c r="I51" s="51">
        <f t="shared" si="12"/>
        <v>0</v>
      </c>
      <c r="J51" s="51">
        <f t="shared" si="12"/>
        <v>0</v>
      </c>
      <c r="K51" s="51">
        <f t="shared" si="12"/>
        <v>0</v>
      </c>
      <c r="L51" s="51">
        <f t="shared" si="12"/>
        <v>0</v>
      </c>
      <c r="M51" s="51">
        <f t="shared" si="13"/>
        <v>0</v>
      </c>
      <c r="N51" s="51">
        <f t="shared" si="13"/>
        <v>0</v>
      </c>
      <c r="O51" s="51">
        <f t="shared" si="13"/>
        <v>0</v>
      </c>
      <c r="P51" s="51">
        <f t="shared" si="13"/>
        <v>0</v>
      </c>
      <c r="Q51" s="51">
        <f t="shared" si="13"/>
        <v>0</v>
      </c>
      <c r="R51" s="51">
        <f t="shared" si="13"/>
        <v>0</v>
      </c>
      <c r="S51" s="50">
        <f t="shared" si="13"/>
        <v>0</v>
      </c>
      <c r="T51" s="50">
        <f t="shared" si="13"/>
        <v>0</v>
      </c>
      <c r="U51" s="50">
        <f t="shared" si="13"/>
        <v>0</v>
      </c>
      <c r="V51" s="50">
        <f t="shared" si="13"/>
        <v>0</v>
      </c>
      <c r="W51" s="46"/>
    </row>
    <row r="52" spans="2:23" x14ac:dyDescent="0.25">
      <c r="B52">
        <f t="shared" si="9"/>
        <v>2011</v>
      </c>
      <c r="C52" s="2">
        <f t="shared" si="12"/>
        <v>31645418.740000002</v>
      </c>
      <c r="D52" s="2">
        <f t="shared" si="12"/>
        <v>76949187.900000006</v>
      </c>
      <c r="E52" s="2">
        <f t="shared" si="12"/>
        <v>104116784.72</v>
      </c>
      <c r="F52" s="2">
        <f t="shared" si="12"/>
        <v>119493467.88</v>
      </c>
      <c r="G52" s="2">
        <f t="shared" si="12"/>
        <v>130781034.94</v>
      </c>
      <c r="H52" s="51">
        <f t="shared" si="12"/>
        <v>0</v>
      </c>
      <c r="I52" s="51">
        <f t="shared" si="12"/>
        <v>0</v>
      </c>
      <c r="J52" s="51">
        <f t="shared" si="12"/>
        <v>0</v>
      </c>
      <c r="K52" s="51">
        <f t="shared" si="12"/>
        <v>0</v>
      </c>
      <c r="L52" s="51">
        <f t="shared" si="12"/>
        <v>0</v>
      </c>
      <c r="M52" s="51">
        <f t="shared" si="13"/>
        <v>0</v>
      </c>
      <c r="N52" s="51">
        <f t="shared" si="13"/>
        <v>0</v>
      </c>
      <c r="O52" s="51">
        <f t="shared" si="13"/>
        <v>0</v>
      </c>
      <c r="P52" s="51">
        <f t="shared" si="13"/>
        <v>0</v>
      </c>
      <c r="Q52" s="51">
        <f t="shared" si="13"/>
        <v>0</v>
      </c>
      <c r="R52" s="51">
        <f t="shared" si="13"/>
        <v>0</v>
      </c>
      <c r="S52" s="50">
        <f t="shared" si="13"/>
        <v>0</v>
      </c>
      <c r="T52" s="50">
        <f t="shared" si="13"/>
        <v>0</v>
      </c>
      <c r="U52" s="50">
        <f t="shared" si="13"/>
        <v>0</v>
      </c>
      <c r="V52" s="50">
        <f t="shared" si="13"/>
        <v>0</v>
      </c>
      <c r="W52" s="46"/>
    </row>
    <row r="53" spans="2:23" x14ac:dyDescent="0.25">
      <c r="B53">
        <f t="shared" si="9"/>
        <v>2012</v>
      </c>
      <c r="C53" s="2">
        <f t="shared" si="12"/>
        <v>35222266.149999999</v>
      </c>
      <c r="D53" s="2">
        <f t="shared" si="12"/>
        <v>83325460.930000007</v>
      </c>
      <c r="E53" s="2">
        <f t="shared" si="12"/>
        <v>111327813.24000001</v>
      </c>
      <c r="F53" s="2">
        <f t="shared" si="12"/>
        <v>128272793.77</v>
      </c>
      <c r="G53" s="51">
        <f t="shared" si="12"/>
        <v>0</v>
      </c>
      <c r="H53" s="51">
        <f t="shared" si="12"/>
        <v>0</v>
      </c>
      <c r="I53" s="51">
        <f t="shared" si="12"/>
        <v>0</v>
      </c>
      <c r="J53" s="51">
        <f t="shared" si="12"/>
        <v>0</v>
      </c>
      <c r="K53" s="51">
        <f t="shared" si="12"/>
        <v>0</v>
      </c>
      <c r="L53" s="51">
        <f t="shared" si="12"/>
        <v>0</v>
      </c>
      <c r="M53" s="51">
        <f t="shared" si="13"/>
        <v>0</v>
      </c>
      <c r="N53" s="51">
        <f t="shared" si="13"/>
        <v>0</v>
      </c>
      <c r="O53" s="51">
        <f t="shared" si="13"/>
        <v>0</v>
      </c>
      <c r="P53" s="51">
        <f t="shared" si="13"/>
        <v>0</v>
      </c>
      <c r="Q53" s="51">
        <f t="shared" si="13"/>
        <v>0</v>
      </c>
      <c r="R53" s="51">
        <f t="shared" si="13"/>
        <v>0</v>
      </c>
      <c r="S53" s="50">
        <f t="shared" si="13"/>
        <v>0</v>
      </c>
      <c r="T53" s="50">
        <f t="shared" si="13"/>
        <v>0</v>
      </c>
      <c r="U53" s="50">
        <f t="shared" si="13"/>
        <v>0</v>
      </c>
      <c r="V53" s="50">
        <f t="shared" si="13"/>
        <v>0</v>
      </c>
      <c r="W53" s="46"/>
    </row>
    <row r="54" spans="2:23" x14ac:dyDescent="0.25">
      <c r="B54">
        <f t="shared" si="9"/>
        <v>2013</v>
      </c>
      <c r="C54" s="2">
        <f t="shared" si="12"/>
        <v>34926236.420000002</v>
      </c>
      <c r="D54" s="2">
        <f t="shared" si="12"/>
        <v>79919425.530000001</v>
      </c>
      <c r="E54" s="2">
        <f t="shared" si="12"/>
        <v>104724355.50999999</v>
      </c>
      <c r="F54" s="51">
        <f t="shared" si="12"/>
        <v>0</v>
      </c>
      <c r="G54" s="51">
        <f t="shared" si="12"/>
        <v>0</v>
      </c>
      <c r="H54" s="51">
        <f t="shared" si="12"/>
        <v>0</v>
      </c>
      <c r="I54" s="51">
        <f t="shared" si="12"/>
        <v>0</v>
      </c>
      <c r="J54" s="51">
        <f t="shared" si="12"/>
        <v>0</v>
      </c>
      <c r="K54" s="51">
        <f t="shared" si="12"/>
        <v>0</v>
      </c>
      <c r="L54" s="51">
        <f t="shared" si="12"/>
        <v>0</v>
      </c>
      <c r="M54" s="51">
        <f t="shared" si="13"/>
        <v>0</v>
      </c>
      <c r="N54" s="51">
        <f t="shared" si="13"/>
        <v>0</v>
      </c>
      <c r="O54" s="51">
        <f t="shared" si="13"/>
        <v>0</v>
      </c>
      <c r="P54" s="51">
        <f t="shared" si="13"/>
        <v>0</v>
      </c>
      <c r="Q54" s="51">
        <f t="shared" si="13"/>
        <v>0</v>
      </c>
      <c r="R54" s="51">
        <f t="shared" si="13"/>
        <v>0</v>
      </c>
      <c r="S54" s="50">
        <f t="shared" si="13"/>
        <v>0</v>
      </c>
      <c r="T54" s="50">
        <f t="shared" si="13"/>
        <v>0</v>
      </c>
      <c r="U54" s="50">
        <f t="shared" si="13"/>
        <v>0</v>
      </c>
      <c r="V54" s="50">
        <f t="shared" si="13"/>
        <v>0</v>
      </c>
      <c r="W54" s="46"/>
    </row>
    <row r="55" spans="2:23" x14ac:dyDescent="0.25">
      <c r="B55">
        <f t="shared" si="9"/>
        <v>2014</v>
      </c>
      <c r="C55" s="2">
        <f>INDEX(PaidTriData,$I$4*$I$3*($F$2-1)+$B55-($I$2-$I$3),C$11/12)</f>
        <v>32447175.719999999</v>
      </c>
      <c r="D55" s="2">
        <f>INDEX(PaidTriData,$I$4*$I$3*($F$2-1)+$B55-($I$2-$I$3),D$11/12)</f>
        <v>79754599.760000005</v>
      </c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0"/>
      <c r="T55" s="50"/>
      <c r="U55" s="50"/>
      <c r="V55" s="50"/>
      <c r="W55" s="46"/>
    </row>
    <row r="56" spans="2:23" x14ac:dyDescent="0.25">
      <c r="B56">
        <f>+B31</f>
        <v>2015</v>
      </c>
      <c r="C56" s="2">
        <f>INDEX(PaidTriData,$I$4*$I$3*($F$2-1)+$B56-($I$2-$I$3),C$11/12)</f>
        <v>29073337.57</v>
      </c>
      <c r="D56" s="51">
        <f>INDEX(PaidTriData,$I$4*$I$3*($F$2-1)+$B56-($I$2-$I$3),D$11/12)</f>
        <v>0</v>
      </c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0"/>
      <c r="T56" s="50"/>
      <c r="U56" s="50"/>
      <c r="V56" s="50"/>
      <c r="W56" s="46"/>
    </row>
    <row r="59" spans="2:23" x14ac:dyDescent="0.25">
      <c r="B59" t="s">
        <v>92</v>
      </c>
      <c r="F59" t="s">
        <v>208</v>
      </c>
      <c r="I59" t="s">
        <v>209</v>
      </c>
    </row>
    <row r="60" spans="2:23" x14ac:dyDescent="0.25">
      <c r="C60" t="s">
        <v>90</v>
      </c>
      <c r="D60" t="s">
        <v>91</v>
      </c>
      <c r="F60" t="s">
        <v>207</v>
      </c>
      <c r="G60" t="s">
        <v>56</v>
      </c>
      <c r="I60" t="s">
        <v>55</v>
      </c>
      <c r="J60" t="s">
        <v>56</v>
      </c>
    </row>
    <row r="61" spans="2:23" x14ac:dyDescent="0.25">
      <c r="B61">
        <f>B62-1</f>
        <v>1995</v>
      </c>
      <c r="C61" s="2">
        <f t="shared" ref="C61:C81" si="14">INDEX(BEWSSummary,$I$3*($F$2-1)+$B61-($I$2-$I$3),4)</f>
        <v>1391030152.53</v>
      </c>
      <c r="D61" s="2">
        <f t="shared" ref="D61:D81" si="15">INDEX(BEWSSummary,$I$3*($F$2-1)+$B61-($I$2-$I$3),5)</f>
        <v>1387687619.8500001</v>
      </c>
      <c r="E61" s="38"/>
      <c r="F61" s="2">
        <f t="shared" ref="F61:F81" si="16">INDEX(BEWSSummary,$I$3*($F$2-1)+$B61-($I$2-$I$3),6)</f>
        <v>892151000</v>
      </c>
      <c r="G61" s="2">
        <f t="shared" ref="G61:G81" si="17">INDEX(BEWSSummary,$I$3*($F$2-1)+$B61-($I$2-$I$3),1)</f>
        <v>327556179</v>
      </c>
      <c r="H61" s="38"/>
      <c r="O61" s="38"/>
      <c r="P61" s="38"/>
      <c r="Q61" s="38"/>
      <c r="R61" s="38"/>
      <c r="S61" s="38"/>
      <c r="T61" s="38"/>
      <c r="U61" s="38"/>
      <c r="V61" s="38"/>
    </row>
    <row r="62" spans="2:23" x14ac:dyDescent="0.25">
      <c r="B62">
        <f t="shared" ref="B62:B81" si="18">B37</f>
        <v>1996</v>
      </c>
      <c r="C62" s="2">
        <f t="shared" si="14"/>
        <v>1086724736.98</v>
      </c>
      <c r="D62" s="2">
        <f t="shared" si="15"/>
        <v>1084309010.1300001</v>
      </c>
      <c r="E62" s="38"/>
      <c r="F62" s="2">
        <f t="shared" si="16"/>
        <v>1018823906.36</v>
      </c>
      <c r="G62" s="2">
        <f t="shared" si="17"/>
        <v>46761703</v>
      </c>
      <c r="H62" s="38"/>
      <c r="I62" s="130">
        <f t="shared" ref="I62:I81" ca="1" si="19">OFFSET(B37,0,$I$2-$B61)</f>
        <v>812978537.38</v>
      </c>
      <c r="J62" s="130">
        <f t="shared" ref="J62:J81" ca="1" si="20">OFFSET(B12,0,$I$2-$B61)-I62</f>
        <v>39423625</v>
      </c>
      <c r="O62" s="38"/>
      <c r="P62" s="38"/>
      <c r="Q62" s="38"/>
      <c r="R62" s="38"/>
      <c r="S62" s="38"/>
      <c r="T62" s="38"/>
      <c r="U62" s="38"/>
      <c r="V62" s="38"/>
    </row>
    <row r="63" spans="2:23" x14ac:dyDescent="0.25">
      <c r="B63">
        <f t="shared" si="18"/>
        <v>1997</v>
      </c>
      <c r="C63" s="2">
        <f t="shared" si="14"/>
        <v>1299128700.3099999</v>
      </c>
      <c r="D63" s="2">
        <f t="shared" si="15"/>
        <v>1295402464.1400001</v>
      </c>
      <c r="F63" s="2">
        <f t="shared" si="16"/>
        <v>1201940949.8199999</v>
      </c>
      <c r="G63" s="2">
        <f t="shared" si="17"/>
        <v>66856636.600000001</v>
      </c>
      <c r="H63" s="38"/>
      <c r="I63" s="130">
        <f t="shared" ca="1" si="19"/>
        <v>940465581.37000012</v>
      </c>
      <c r="J63" s="130">
        <f t="shared" ca="1" si="20"/>
        <v>50860854</v>
      </c>
    </row>
    <row r="64" spans="2:23" x14ac:dyDescent="0.25">
      <c r="B64">
        <f t="shared" si="18"/>
        <v>1998</v>
      </c>
      <c r="C64" s="2">
        <f t="shared" si="14"/>
        <v>1634323285.5599997</v>
      </c>
      <c r="D64" s="2">
        <f t="shared" si="15"/>
        <v>1624002578.7199998</v>
      </c>
      <c r="F64" s="2">
        <f t="shared" si="16"/>
        <v>1496249110.1599996</v>
      </c>
      <c r="G64" s="2">
        <f t="shared" si="17"/>
        <v>96152109</v>
      </c>
      <c r="H64" s="38"/>
      <c r="I64" s="130">
        <f t="shared" ca="1" si="19"/>
        <v>1161889799.99</v>
      </c>
      <c r="J64" s="130">
        <f t="shared" ca="1" si="20"/>
        <v>76498913</v>
      </c>
    </row>
    <row r="65" spans="2:12" x14ac:dyDescent="0.25">
      <c r="B65">
        <f t="shared" si="18"/>
        <v>1999</v>
      </c>
      <c r="C65" s="2">
        <f t="shared" si="14"/>
        <v>1728519185.27</v>
      </c>
      <c r="D65" s="2">
        <f t="shared" si="15"/>
        <v>1706410957.7599998</v>
      </c>
      <c r="F65" s="2">
        <f t="shared" si="16"/>
        <v>1593676437.29</v>
      </c>
      <c r="G65" s="2">
        <f t="shared" si="17"/>
        <v>91044267</v>
      </c>
      <c r="H65" s="38"/>
      <c r="I65" s="130">
        <f t="shared" ca="1" si="19"/>
        <v>1267271317.27</v>
      </c>
      <c r="J65" s="130">
        <f t="shared" ca="1" si="20"/>
        <v>75197895</v>
      </c>
    </row>
    <row r="66" spans="2:12" x14ac:dyDescent="0.25">
      <c r="B66">
        <f t="shared" si="18"/>
        <v>2000</v>
      </c>
      <c r="C66" s="2">
        <f t="shared" si="14"/>
        <v>1739210318.47</v>
      </c>
      <c r="D66" s="2">
        <f t="shared" si="15"/>
        <v>1732328330.0600002</v>
      </c>
      <c r="F66" s="2">
        <f t="shared" si="16"/>
        <v>1608495868.8900001</v>
      </c>
      <c r="G66" s="2">
        <f t="shared" si="17"/>
        <v>70514102</v>
      </c>
      <c r="H66" s="38"/>
      <c r="I66" s="130">
        <f t="shared" ca="1" si="19"/>
        <v>1187733511.8199999</v>
      </c>
      <c r="J66" s="130">
        <f t="shared" ca="1" si="20"/>
        <v>52604685</v>
      </c>
    </row>
    <row r="67" spans="2:12" x14ac:dyDescent="0.25">
      <c r="B67">
        <f t="shared" si="18"/>
        <v>2001</v>
      </c>
      <c r="C67" s="2">
        <f t="shared" si="14"/>
        <v>1843382264.3099997</v>
      </c>
      <c r="D67" s="2">
        <f t="shared" si="15"/>
        <v>1835495340.5399997</v>
      </c>
      <c r="F67" s="2">
        <f t="shared" si="16"/>
        <v>1654671222.6699996</v>
      </c>
      <c r="G67" s="2">
        <f t="shared" si="17"/>
        <v>109543110</v>
      </c>
      <c r="H67" s="38"/>
      <c r="I67" s="130">
        <f t="shared" ca="1" si="19"/>
        <v>1221019289.03</v>
      </c>
      <c r="J67" s="130">
        <f t="shared" ca="1" si="20"/>
        <v>56646409</v>
      </c>
    </row>
    <row r="68" spans="2:12" x14ac:dyDescent="0.25">
      <c r="B68">
        <f t="shared" si="18"/>
        <v>2002</v>
      </c>
      <c r="C68" s="2">
        <f t="shared" si="14"/>
        <v>1667767957.8600004</v>
      </c>
      <c r="D68" s="2">
        <f t="shared" si="15"/>
        <v>1656421985.8700004</v>
      </c>
      <c r="F68" s="2">
        <f t="shared" si="16"/>
        <v>1495492888.0200005</v>
      </c>
      <c r="G68" s="2">
        <f t="shared" si="17"/>
        <v>85788345</v>
      </c>
      <c r="H68" s="38"/>
      <c r="I68" s="130">
        <f t="shared" ca="1" si="19"/>
        <v>1134971109.6399999</v>
      </c>
      <c r="J68" s="130">
        <f t="shared" ca="1" si="20"/>
        <v>61473480</v>
      </c>
    </row>
    <row r="69" spans="2:12" x14ac:dyDescent="0.25">
      <c r="B69">
        <f t="shared" si="18"/>
        <v>2003</v>
      </c>
      <c r="C69" s="2">
        <f t="shared" si="14"/>
        <v>1069082060.4800001</v>
      </c>
      <c r="D69" s="2">
        <f t="shared" si="15"/>
        <v>1070945516.0700001</v>
      </c>
      <c r="F69" s="2">
        <f t="shared" si="16"/>
        <v>949682420.76000011</v>
      </c>
      <c r="G69" s="2">
        <f t="shared" si="17"/>
        <v>49707157</v>
      </c>
      <c r="H69" s="38"/>
      <c r="I69" s="130">
        <f t="shared" ca="1" si="19"/>
        <v>777683901.29999995</v>
      </c>
      <c r="J69" s="130">
        <f t="shared" ca="1" si="20"/>
        <v>37916479</v>
      </c>
    </row>
    <row r="70" spans="2:12" x14ac:dyDescent="0.25">
      <c r="B70">
        <f t="shared" si="18"/>
        <v>2004</v>
      </c>
      <c r="C70" s="2">
        <f t="shared" si="14"/>
        <v>772622086.5999999</v>
      </c>
      <c r="D70" s="2">
        <f t="shared" si="15"/>
        <v>772997351.95999992</v>
      </c>
      <c r="F70" s="2">
        <f t="shared" si="16"/>
        <v>680018141.49999988</v>
      </c>
      <c r="G70" s="2">
        <f t="shared" si="17"/>
        <v>46096783</v>
      </c>
      <c r="H70" s="38"/>
      <c r="I70" s="130">
        <f t="shared" ca="1" si="19"/>
        <v>562482962.06999993</v>
      </c>
      <c r="J70" s="130">
        <f t="shared" ca="1" si="20"/>
        <v>37374923</v>
      </c>
    </row>
    <row r="71" spans="2:12" x14ac:dyDescent="0.25">
      <c r="B71">
        <f t="shared" si="18"/>
        <v>2005</v>
      </c>
      <c r="C71" s="2">
        <f t="shared" si="14"/>
        <v>440445208.76999998</v>
      </c>
      <c r="D71" s="2">
        <f t="shared" si="15"/>
        <v>443071037.70999998</v>
      </c>
      <c r="F71" s="2">
        <f t="shared" si="16"/>
        <v>386684598.92000002</v>
      </c>
      <c r="G71" s="2">
        <f t="shared" si="17"/>
        <v>20068172.32</v>
      </c>
      <c r="H71" s="38"/>
      <c r="I71" s="130">
        <f t="shared" ca="1" si="19"/>
        <v>308569401.15999997</v>
      </c>
      <c r="J71" s="130">
        <f t="shared" ca="1" si="20"/>
        <v>16109449</v>
      </c>
    </row>
    <row r="72" spans="2:12" x14ac:dyDescent="0.25">
      <c r="B72">
        <f t="shared" si="18"/>
        <v>2006</v>
      </c>
      <c r="C72" s="2">
        <f t="shared" si="14"/>
        <v>402114570.08999997</v>
      </c>
      <c r="D72" s="2">
        <f t="shared" si="15"/>
        <v>403985084.17000002</v>
      </c>
      <c r="F72" s="2">
        <f t="shared" si="16"/>
        <v>345070364.64999998</v>
      </c>
      <c r="G72" s="2">
        <f t="shared" si="17"/>
        <v>23642902</v>
      </c>
      <c r="H72" s="38"/>
      <c r="I72" s="130">
        <f t="shared" ca="1" si="19"/>
        <v>256225088.23000002</v>
      </c>
      <c r="J72" s="130">
        <f t="shared" ca="1" si="20"/>
        <v>16428135</v>
      </c>
    </row>
    <row r="73" spans="2:12" x14ac:dyDescent="0.25">
      <c r="B73">
        <f t="shared" si="18"/>
        <v>2007</v>
      </c>
      <c r="C73" s="2">
        <f t="shared" si="14"/>
        <v>369468328.44000006</v>
      </c>
      <c r="D73" s="2">
        <f t="shared" si="15"/>
        <v>371193952.98000002</v>
      </c>
      <c r="F73" s="2">
        <f t="shared" si="16"/>
        <v>313195887.01000005</v>
      </c>
      <c r="G73" s="2">
        <f t="shared" si="17"/>
        <v>20818992</v>
      </c>
      <c r="H73" s="38"/>
      <c r="I73" s="130">
        <f t="shared" ca="1" si="19"/>
        <v>222748339.44</v>
      </c>
      <c r="J73" s="130">
        <f t="shared" ca="1" si="20"/>
        <v>13884037</v>
      </c>
    </row>
    <row r="74" spans="2:12" x14ac:dyDescent="0.25">
      <c r="B74">
        <f t="shared" si="18"/>
        <v>2008</v>
      </c>
      <c r="C74" s="2">
        <f t="shared" si="14"/>
        <v>339979019.56999999</v>
      </c>
      <c r="D74" s="2">
        <f t="shared" si="15"/>
        <v>340093980.01999998</v>
      </c>
      <c r="F74" s="2">
        <f t="shared" si="16"/>
        <v>275685341.32999998</v>
      </c>
      <c r="G74" s="2">
        <f t="shared" si="17"/>
        <v>34150951</v>
      </c>
      <c r="H74" s="38"/>
      <c r="I74" s="130">
        <f t="shared" ca="1" si="19"/>
        <v>184287397.06999999</v>
      </c>
      <c r="J74" s="130">
        <f t="shared" ca="1" si="20"/>
        <v>25518392</v>
      </c>
    </row>
    <row r="75" spans="2:12" x14ac:dyDescent="0.25">
      <c r="B75">
        <f t="shared" si="18"/>
        <v>2009</v>
      </c>
      <c r="C75" s="2">
        <f t="shared" si="14"/>
        <v>326828045.00999999</v>
      </c>
      <c r="D75" s="2">
        <f t="shared" si="15"/>
        <v>325426662.02999997</v>
      </c>
      <c r="F75" s="2">
        <f t="shared" si="16"/>
        <v>264723794.24000001</v>
      </c>
      <c r="G75" s="2">
        <f t="shared" si="17"/>
        <v>17875664</v>
      </c>
      <c r="H75" s="38"/>
      <c r="I75" s="130">
        <f t="shared" ca="1" si="19"/>
        <v>168255694.93000001</v>
      </c>
      <c r="J75" s="130">
        <f t="shared" ca="1" si="20"/>
        <v>12467659</v>
      </c>
      <c r="K75" s="43"/>
      <c r="L75" s="43"/>
    </row>
    <row r="76" spans="2:12" x14ac:dyDescent="0.25">
      <c r="B76">
        <f t="shared" si="18"/>
        <v>2010</v>
      </c>
      <c r="C76" s="2">
        <f t="shared" si="14"/>
        <v>320346585.07999998</v>
      </c>
      <c r="D76" s="2">
        <f t="shared" si="15"/>
        <v>317188439.54999995</v>
      </c>
      <c r="F76" s="2">
        <f t="shared" si="16"/>
        <v>250233790.68000001</v>
      </c>
      <c r="G76" s="2">
        <f t="shared" si="17"/>
        <v>22369139</v>
      </c>
      <c r="H76" s="38"/>
      <c r="I76" s="130">
        <f t="shared" ca="1" si="19"/>
        <v>147615751.60000002</v>
      </c>
      <c r="J76" s="130">
        <f t="shared" ca="1" si="20"/>
        <v>12835635</v>
      </c>
      <c r="K76" s="43"/>
      <c r="L76" s="43"/>
    </row>
    <row r="77" spans="2:12" x14ac:dyDescent="0.25">
      <c r="B77">
        <f t="shared" si="18"/>
        <v>2011</v>
      </c>
      <c r="C77" s="2">
        <f t="shared" si="14"/>
        <v>293642935.74000001</v>
      </c>
      <c r="D77" s="2">
        <f t="shared" si="15"/>
        <v>292279034.13999999</v>
      </c>
      <c r="F77" s="2">
        <f t="shared" si="16"/>
        <v>216156897.45000002</v>
      </c>
      <c r="G77" s="2">
        <f t="shared" si="17"/>
        <v>26608160</v>
      </c>
      <c r="H77" s="38"/>
      <c r="I77" s="130">
        <f t="shared" ca="1" si="19"/>
        <v>130781034.94</v>
      </c>
      <c r="J77" s="130">
        <f t="shared" ca="1" si="20"/>
        <v>19656037</v>
      </c>
      <c r="K77" s="113"/>
      <c r="L77" s="43"/>
    </row>
    <row r="78" spans="2:12" x14ac:dyDescent="0.25">
      <c r="B78">
        <f t="shared" si="18"/>
        <v>2012</v>
      </c>
      <c r="C78" s="2">
        <f t="shared" si="14"/>
        <v>323799518.06999999</v>
      </c>
      <c r="D78" s="2">
        <f t="shared" si="15"/>
        <v>324606382.59999996</v>
      </c>
      <c r="F78" s="2">
        <f t="shared" si="16"/>
        <v>213310481.86000001</v>
      </c>
      <c r="G78" s="2">
        <f t="shared" si="17"/>
        <v>40700791</v>
      </c>
      <c r="H78" s="38"/>
      <c r="I78" s="130">
        <f t="shared" ca="1" si="19"/>
        <v>128272793.77</v>
      </c>
      <c r="J78" s="130">
        <f t="shared" ca="1" si="20"/>
        <v>21693527.999999985</v>
      </c>
      <c r="K78" s="43"/>
      <c r="L78" s="43"/>
    </row>
    <row r="79" spans="2:12" x14ac:dyDescent="0.25">
      <c r="B79">
        <f t="shared" si="18"/>
        <v>2013</v>
      </c>
      <c r="C79" s="2">
        <f t="shared" si="14"/>
        <v>300980296.02999997</v>
      </c>
      <c r="D79" s="2">
        <f t="shared" si="15"/>
        <v>307132892.14000005</v>
      </c>
      <c r="F79" s="2">
        <f t="shared" si="16"/>
        <v>167778087.91999996</v>
      </c>
      <c r="G79" s="2">
        <f t="shared" si="17"/>
        <v>36761355</v>
      </c>
      <c r="H79" s="38"/>
      <c r="I79" s="130">
        <f t="shared" ca="1" si="19"/>
        <v>104724355.50999999</v>
      </c>
      <c r="J79" s="130">
        <f t="shared" ca="1" si="20"/>
        <v>26501559</v>
      </c>
      <c r="K79" s="43"/>
      <c r="L79" s="43"/>
    </row>
    <row r="80" spans="2:12" x14ac:dyDescent="0.25">
      <c r="B80">
        <f t="shared" si="18"/>
        <v>2014</v>
      </c>
      <c r="C80" s="2">
        <f t="shared" si="14"/>
        <v>307486140.63999999</v>
      </c>
      <c r="D80" s="2">
        <f t="shared" si="15"/>
        <v>311996945.74000001</v>
      </c>
      <c r="F80" s="2">
        <f t="shared" si="16"/>
        <v>116607797.16999999</v>
      </c>
      <c r="G80" s="2">
        <f t="shared" si="17"/>
        <v>47639664</v>
      </c>
      <c r="H80" s="38"/>
      <c r="I80" s="130">
        <f t="shared" ca="1" si="19"/>
        <v>79754599.760000005</v>
      </c>
      <c r="J80" s="130">
        <f t="shared" ca="1" si="20"/>
        <v>32973567</v>
      </c>
      <c r="K80" s="43"/>
      <c r="L80" s="43"/>
    </row>
    <row r="81" spans="2:12" x14ac:dyDescent="0.25">
      <c r="B81">
        <f t="shared" si="18"/>
        <v>2015</v>
      </c>
      <c r="C81" s="2">
        <f t="shared" si="14"/>
        <v>247101062.34999999</v>
      </c>
      <c r="D81" s="2">
        <f t="shared" si="15"/>
        <v>253510337.62</v>
      </c>
      <c r="F81" s="2">
        <f t="shared" si="16"/>
        <v>41958338.109999985</v>
      </c>
      <c r="G81" s="2">
        <f t="shared" si="17"/>
        <v>41815900</v>
      </c>
      <c r="H81" s="38"/>
      <c r="I81" s="130">
        <f t="shared" ca="1" si="19"/>
        <v>29073337.57</v>
      </c>
      <c r="J81" s="130">
        <f t="shared" ca="1" si="20"/>
        <v>29601979.999999993</v>
      </c>
      <c r="K81" s="43"/>
      <c r="L81" s="43"/>
    </row>
  </sheetData>
  <phoneticPr fontId="4" type="noConversion"/>
  <conditionalFormatting sqref="D6:E6">
    <cfRule type="cellIs" dxfId="0" priority="1" stopIfTrue="1" operator="equal">
      <formula>"Check Data!"</formula>
    </cfRule>
  </conditionalFormatting>
  <pageMargins left="0.75" right="0.75" top="1" bottom="1" header="0.5" footer="0.5"/>
  <pageSetup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J275"/>
  <sheetViews>
    <sheetView zoomScaleNormal="100" workbookViewId="0">
      <pane xSplit="1" ySplit="8" topLeftCell="B9" activePane="bottomRight" state="frozen"/>
      <selection activeCell="AP224" sqref="AP224"/>
      <selection pane="topRight" activeCell="AP224" sqref="AP224"/>
      <selection pane="bottomLeft" activeCell="AP224" sqref="AP224"/>
      <selection pane="bottomRight" activeCell="AE3" sqref="AE3"/>
    </sheetView>
  </sheetViews>
  <sheetFormatPr defaultRowHeight="13.2" x14ac:dyDescent="0.25"/>
  <cols>
    <col min="1" max="1" width="15.33203125" customWidth="1"/>
    <col min="2" max="21" width="14.109375" customWidth="1"/>
    <col min="22" max="23" width="13.44140625" customWidth="1"/>
    <col min="24" max="24" width="15.109375" customWidth="1"/>
    <col min="25" max="25" width="17.44140625" customWidth="1"/>
    <col min="26" max="26" width="17.109375" customWidth="1"/>
    <col min="27" max="27" width="15.109375" customWidth="1"/>
    <col min="28" max="28" width="12.109375" customWidth="1"/>
    <col min="29" max="29" width="12.44140625" bestFit="1" customWidth="1"/>
    <col min="30" max="30" width="9.77734375" bestFit="1" customWidth="1"/>
    <col min="31" max="31" width="14.44140625" customWidth="1"/>
    <col min="32" max="33" width="11.44140625" customWidth="1"/>
    <col min="34" max="37" width="11.44140625" bestFit="1" customWidth="1"/>
    <col min="39" max="43" width="10.109375" bestFit="1" customWidth="1"/>
    <col min="45" max="45" width="11.44140625" bestFit="1" customWidth="1"/>
    <col min="46" max="46" width="11" bestFit="1" customWidth="1"/>
    <col min="47" max="49" width="11.44140625" bestFit="1" customWidth="1"/>
  </cols>
  <sheetData>
    <row r="1" spans="1:33" x14ac:dyDescent="0.25">
      <c r="A1" s="12" t="str">
        <f>"Incurred "&amp;Inputs!D3</f>
        <v>Incurred Bootstrap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</row>
    <row r="2" spans="1:33" x14ac:dyDescent="0.25">
      <c r="A2" s="12" t="str">
        <f>+Inputs!D4</f>
        <v>Group S03, Loss Sensitive WC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</row>
    <row r="3" spans="1:33" x14ac:dyDescent="0.25">
      <c r="A3" s="12" t="s">
        <v>73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</row>
    <row r="4" spans="1:33" x14ac:dyDescent="0.25">
      <c r="A4" s="13">
        <f>+Inputs!D5</f>
        <v>42369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</row>
    <row r="5" spans="1:33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</row>
    <row r="6" spans="1:33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</row>
    <row r="7" spans="1:33" x14ac:dyDescent="0.25">
      <c r="A7" s="7" t="s">
        <v>74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33" x14ac:dyDescent="0.25">
      <c r="A8" s="15" t="s">
        <v>72</v>
      </c>
      <c r="B8" s="16">
        <v>12</v>
      </c>
      <c r="C8" s="16">
        <f>+B8+12</f>
        <v>24</v>
      </c>
      <c r="D8" s="16">
        <f t="shared" ref="D8:P8" si="0">+C8+12</f>
        <v>36</v>
      </c>
      <c r="E8" s="16">
        <f t="shared" si="0"/>
        <v>48</v>
      </c>
      <c r="F8" s="16">
        <f t="shared" si="0"/>
        <v>60</v>
      </c>
      <c r="G8" s="16">
        <f t="shared" si="0"/>
        <v>72</v>
      </c>
      <c r="H8" s="16">
        <f t="shared" si="0"/>
        <v>84</v>
      </c>
      <c r="I8" s="16">
        <f t="shared" si="0"/>
        <v>96</v>
      </c>
      <c r="J8" s="16">
        <f t="shared" si="0"/>
        <v>108</v>
      </c>
      <c r="K8" s="16">
        <f t="shared" si="0"/>
        <v>120</v>
      </c>
      <c r="L8" s="16">
        <f t="shared" si="0"/>
        <v>132</v>
      </c>
      <c r="M8" s="16">
        <f t="shared" si="0"/>
        <v>144</v>
      </c>
      <c r="N8" s="16">
        <f t="shared" si="0"/>
        <v>156</v>
      </c>
      <c r="O8" s="16">
        <f t="shared" si="0"/>
        <v>168</v>
      </c>
      <c r="P8" s="16">
        <f t="shared" si="0"/>
        <v>180</v>
      </c>
      <c r="Q8" s="16">
        <f>+P8+12</f>
        <v>192</v>
      </c>
      <c r="R8" s="16">
        <f>+Q8+12</f>
        <v>204</v>
      </c>
      <c r="S8" s="16">
        <f>+R8+12</f>
        <v>216</v>
      </c>
      <c r="T8" s="16">
        <f>+S8+12</f>
        <v>228</v>
      </c>
      <c r="U8" s="16">
        <f>+T8+12</f>
        <v>240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</row>
    <row r="9" spans="1:33" x14ac:dyDescent="0.25">
      <c r="A9" s="17">
        <f>+Inputs!B37</f>
        <v>1996</v>
      </c>
      <c r="B9" s="54">
        <f>+Inputs!C12</f>
        <v>367496171.12</v>
      </c>
      <c r="C9" s="5">
        <f>+Inputs!D12</f>
        <v>564402912.91000009</v>
      </c>
      <c r="D9" s="5">
        <f>+Inputs!E12</f>
        <v>645300210.48000002</v>
      </c>
      <c r="E9" s="5">
        <f>+Inputs!F12</f>
        <v>685184795</v>
      </c>
      <c r="F9" s="5">
        <f>+Inputs!G12</f>
        <v>717666896.23000002</v>
      </c>
      <c r="G9" s="5">
        <f>+Inputs!H12</f>
        <v>745474673.3499999</v>
      </c>
      <c r="H9" s="5">
        <f>+Inputs!I12</f>
        <v>761548329.30999994</v>
      </c>
      <c r="I9" s="5">
        <f>+Inputs!J12</f>
        <v>781776534.69000006</v>
      </c>
      <c r="J9" s="5">
        <f>+Inputs!K12</f>
        <v>799727394.33999991</v>
      </c>
      <c r="K9" s="5">
        <f>+Inputs!L12</f>
        <v>812591208.06000006</v>
      </c>
      <c r="L9" s="5">
        <f>+Inputs!M12</f>
        <v>816348863.75</v>
      </c>
      <c r="M9" s="5">
        <f>+Inputs!N12</f>
        <v>824976347.88000011</v>
      </c>
      <c r="N9" s="5">
        <f>+Inputs!O12</f>
        <v>835581309.10000002</v>
      </c>
      <c r="O9" s="5">
        <f>+Inputs!P12</f>
        <v>837834787.13</v>
      </c>
      <c r="P9" s="5">
        <f>+Inputs!Q12</f>
        <v>839360384.99000001</v>
      </c>
      <c r="Q9" s="5">
        <f>+Inputs!R12</f>
        <v>840559782.21000004</v>
      </c>
      <c r="R9" s="5">
        <f>+Inputs!S12</f>
        <v>844026254.33000004</v>
      </c>
      <c r="S9" s="5">
        <f>+Inputs!T12</f>
        <v>846903834.3599999</v>
      </c>
      <c r="T9" s="5">
        <f>+Inputs!U12</f>
        <v>848646488.5999999</v>
      </c>
      <c r="U9" s="5">
        <f>+Inputs!V12</f>
        <v>852402162.38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</row>
    <row r="10" spans="1:33" x14ac:dyDescent="0.25">
      <c r="A10" s="17">
        <f>+Inputs!B38</f>
        <v>1997</v>
      </c>
      <c r="B10" s="5">
        <f>+Inputs!C13</f>
        <v>434005770.63</v>
      </c>
      <c r="C10" s="5">
        <f>+Inputs!D13</f>
        <v>634741326.88999999</v>
      </c>
      <c r="D10" s="5">
        <f>+Inputs!E13</f>
        <v>725697161.93000007</v>
      </c>
      <c r="E10" s="5">
        <f>+Inputs!F13</f>
        <v>785122767.92000008</v>
      </c>
      <c r="F10" s="5">
        <f>+Inputs!G13</f>
        <v>830819569.04999995</v>
      </c>
      <c r="G10" s="5">
        <f>+Inputs!H13</f>
        <v>865759848.75999999</v>
      </c>
      <c r="H10" s="5">
        <f>+Inputs!I13</f>
        <v>891139346.86000013</v>
      </c>
      <c r="I10" s="5">
        <f>+Inputs!J13</f>
        <v>913064943.14999998</v>
      </c>
      <c r="J10" s="5">
        <f>+Inputs!K13</f>
        <v>928149732.64999998</v>
      </c>
      <c r="K10" s="5">
        <f>+Inputs!L13</f>
        <v>933368008.90999997</v>
      </c>
      <c r="L10" s="5">
        <f>+Inputs!M13</f>
        <v>955013293.96000004</v>
      </c>
      <c r="M10" s="5">
        <f>+Inputs!N13</f>
        <v>964719154.97000003</v>
      </c>
      <c r="N10" s="5">
        <f>+Inputs!O13</f>
        <v>969333018.33000004</v>
      </c>
      <c r="O10" s="5">
        <f>+Inputs!P13</f>
        <v>977153900.69000006</v>
      </c>
      <c r="P10" s="5">
        <f>+Inputs!Q13</f>
        <v>979630592.18000007</v>
      </c>
      <c r="Q10" s="5">
        <f>+Inputs!R13</f>
        <v>981683071.25999999</v>
      </c>
      <c r="R10" s="5">
        <f>+Inputs!S13</f>
        <v>987044284.8499999</v>
      </c>
      <c r="S10" s="5">
        <f>+Inputs!T13</f>
        <v>987483234.53999996</v>
      </c>
      <c r="T10" s="5">
        <f>+Inputs!U13</f>
        <v>991326435.37000012</v>
      </c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</row>
    <row r="11" spans="1:33" x14ac:dyDescent="0.25">
      <c r="A11" s="17">
        <f>+Inputs!B39</f>
        <v>1998</v>
      </c>
      <c r="B11" s="5">
        <f>+Inputs!C14</f>
        <v>455841947.75999999</v>
      </c>
      <c r="C11" s="5">
        <f>+Inputs!D14</f>
        <v>734595046.0999999</v>
      </c>
      <c r="D11" s="5">
        <f>+Inputs!E14</f>
        <v>876458332.39999998</v>
      </c>
      <c r="E11" s="5">
        <f>+Inputs!F14</f>
        <v>959026877.96000004</v>
      </c>
      <c r="F11" s="5">
        <f>+Inputs!G14</f>
        <v>1020383425.9299999</v>
      </c>
      <c r="G11" s="5">
        <f>+Inputs!H14</f>
        <v>1078784506.5100002</v>
      </c>
      <c r="H11" s="5">
        <f>+Inputs!I14</f>
        <v>1116388584.9000001</v>
      </c>
      <c r="I11" s="5">
        <f>+Inputs!J14</f>
        <v>1140261261.8399999</v>
      </c>
      <c r="J11" s="5">
        <f>+Inputs!K14</f>
        <v>1153073177.1300001</v>
      </c>
      <c r="K11" s="5">
        <f>+Inputs!L14</f>
        <v>1183436572.96</v>
      </c>
      <c r="L11" s="5">
        <f>+Inputs!M14</f>
        <v>1199078104.4100001</v>
      </c>
      <c r="M11" s="5">
        <f>+Inputs!N14</f>
        <v>1209128323.3699999</v>
      </c>
      <c r="N11" s="5">
        <f>+Inputs!O14</f>
        <v>1216557441.71</v>
      </c>
      <c r="O11" s="5">
        <f>+Inputs!P14</f>
        <v>1221702903.0699999</v>
      </c>
      <c r="P11" s="5">
        <f>+Inputs!Q14</f>
        <v>1226976056.1300001</v>
      </c>
      <c r="Q11" s="5">
        <f>+Inputs!R14</f>
        <v>1231297867.8800001</v>
      </c>
      <c r="R11" s="5">
        <f>+Inputs!S14</f>
        <v>1237840361.96</v>
      </c>
      <c r="S11" s="5">
        <f>+Inputs!T14</f>
        <v>1238388712.99</v>
      </c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</row>
    <row r="12" spans="1:33" x14ac:dyDescent="0.25">
      <c r="A12" s="17">
        <f>+Inputs!B40</f>
        <v>1999</v>
      </c>
      <c r="B12" s="5">
        <f>+Inputs!C15</f>
        <v>489168296.01000005</v>
      </c>
      <c r="C12" s="5">
        <f>+Inputs!D15</f>
        <v>795216811.47000003</v>
      </c>
      <c r="D12" s="5">
        <f>+Inputs!E15</f>
        <v>964539173.85000002</v>
      </c>
      <c r="E12" s="5">
        <f>+Inputs!F15</f>
        <v>1055319944.0700002</v>
      </c>
      <c r="F12" s="5">
        <f>+Inputs!G15</f>
        <v>1128584307.0599999</v>
      </c>
      <c r="G12" s="5">
        <f>+Inputs!H15</f>
        <v>1199490720.4200001</v>
      </c>
      <c r="H12" s="5">
        <f>+Inputs!I15</f>
        <v>1238488900.4000001</v>
      </c>
      <c r="I12" s="5">
        <f>+Inputs!J15</f>
        <v>1250352829.1199999</v>
      </c>
      <c r="J12" s="5">
        <f>+Inputs!K15</f>
        <v>1286580861.4099998</v>
      </c>
      <c r="K12" s="5">
        <f>+Inputs!L15</f>
        <v>1292550764.96</v>
      </c>
      <c r="L12" s="5">
        <f>+Inputs!M15</f>
        <v>1302013044.78</v>
      </c>
      <c r="M12" s="5">
        <f>+Inputs!N15</f>
        <v>1311554740.99</v>
      </c>
      <c r="N12" s="5">
        <f>+Inputs!O15</f>
        <v>1317357566.9000001</v>
      </c>
      <c r="O12" s="5">
        <f>+Inputs!P15</f>
        <v>1324385853.01</v>
      </c>
      <c r="P12" s="5">
        <f>+Inputs!Q15</f>
        <v>1331047550.47</v>
      </c>
      <c r="Q12" s="5">
        <f>+Inputs!R15</f>
        <v>1336855318.9300001</v>
      </c>
      <c r="R12" s="5">
        <f>+Inputs!S15</f>
        <v>1342469212.27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</row>
    <row r="13" spans="1:33" x14ac:dyDescent="0.25">
      <c r="A13" s="17">
        <f>+Inputs!B41</f>
        <v>2000</v>
      </c>
      <c r="B13" s="5">
        <f>+Inputs!C16</f>
        <v>462621834.06999999</v>
      </c>
      <c r="C13" s="5">
        <f>+Inputs!D16</f>
        <v>777183378.90999997</v>
      </c>
      <c r="D13" s="5">
        <f>+Inputs!E16</f>
        <v>925889714.35000002</v>
      </c>
      <c r="E13" s="5">
        <f>+Inputs!F16</f>
        <v>1033242305.1800001</v>
      </c>
      <c r="F13" s="5">
        <f>+Inputs!G16</f>
        <v>1113092099.79</v>
      </c>
      <c r="G13" s="5">
        <f>+Inputs!H16</f>
        <v>1156260076</v>
      </c>
      <c r="H13" s="5">
        <f>+Inputs!I16</f>
        <v>1171644267.5999999</v>
      </c>
      <c r="I13" s="5">
        <f>+Inputs!J16</f>
        <v>1201797537.79</v>
      </c>
      <c r="J13" s="5">
        <f>+Inputs!K16</f>
        <v>1203154348.9099998</v>
      </c>
      <c r="K13" s="5">
        <f>+Inputs!L16</f>
        <v>1214573593.0599999</v>
      </c>
      <c r="L13" s="5">
        <f>+Inputs!M16</f>
        <v>1222714233.8900001</v>
      </c>
      <c r="M13" s="5">
        <f>+Inputs!N16</f>
        <v>1228807765.6700001</v>
      </c>
      <c r="N13" s="5">
        <f>+Inputs!O16</f>
        <v>1231231110.49</v>
      </c>
      <c r="O13" s="5">
        <f>+Inputs!P16</f>
        <v>1236454361.05</v>
      </c>
      <c r="P13" s="5">
        <f>+Inputs!Q16</f>
        <v>1238068709.5799999</v>
      </c>
      <c r="Q13" s="5">
        <f>+Inputs!R16</f>
        <v>1240338196.8199999</v>
      </c>
      <c r="R13" s="6"/>
      <c r="S13" s="120"/>
      <c r="T13" s="6"/>
      <c r="U13" s="6"/>
      <c r="V13" s="8"/>
      <c r="W13" s="8"/>
      <c r="X13" s="8"/>
      <c r="Y13" s="7"/>
      <c r="Z13" s="7"/>
      <c r="AA13" s="7"/>
      <c r="AB13" s="7"/>
      <c r="AC13" s="7"/>
      <c r="AD13" s="7"/>
      <c r="AE13" s="7"/>
      <c r="AF13" s="7"/>
      <c r="AG13" s="7"/>
    </row>
    <row r="14" spans="1:33" x14ac:dyDescent="0.25">
      <c r="A14" s="17">
        <f>+Inputs!B42</f>
        <v>2001</v>
      </c>
      <c r="B14" s="5">
        <f>+Inputs!C17</f>
        <v>500516979.14999998</v>
      </c>
      <c r="C14" s="5">
        <f>+Inputs!D17</f>
        <v>819278411.29999995</v>
      </c>
      <c r="D14" s="5">
        <f>+Inputs!E17</f>
        <v>997558190.22000003</v>
      </c>
      <c r="E14" s="5">
        <f>+Inputs!F17</f>
        <v>1113482606.23</v>
      </c>
      <c r="F14" s="5">
        <f>+Inputs!G17</f>
        <v>1172247315.6099999</v>
      </c>
      <c r="G14" s="5">
        <f>+Inputs!H17</f>
        <v>1197608358.9400001</v>
      </c>
      <c r="H14" s="5">
        <f>+Inputs!I17</f>
        <v>1234487117.1700001</v>
      </c>
      <c r="I14" s="5">
        <f>+Inputs!J17</f>
        <v>1253846474.71</v>
      </c>
      <c r="J14" s="5">
        <f>+Inputs!K17</f>
        <v>1265056417.8599999</v>
      </c>
      <c r="K14" s="5">
        <f>+Inputs!L17</f>
        <v>1285378292.4299998</v>
      </c>
      <c r="L14" s="5">
        <f>+Inputs!M17</f>
        <v>1262634221.1199999</v>
      </c>
      <c r="M14" s="5">
        <f>+Inputs!N17</f>
        <v>1269209429.1500001</v>
      </c>
      <c r="N14" s="5">
        <f>+Inputs!O17</f>
        <v>1277026598.9400001</v>
      </c>
      <c r="O14" s="5">
        <f>+Inputs!P17</f>
        <v>1277294306.5900002</v>
      </c>
      <c r="P14" s="5">
        <f>+Inputs!Q17</f>
        <v>1277665698.03</v>
      </c>
      <c r="Q14" s="9"/>
      <c r="R14" s="6"/>
      <c r="S14" s="120"/>
      <c r="T14" s="6"/>
      <c r="U14" s="6"/>
      <c r="V14" s="8"/>
      <c r="W14" s="8"/>
      <c r="X14" s="8"/>
      <c r="Y14" s="7"/>
      <c r="Z14" s="7"/>
      <c r="AA14" s="7"/>
      <c r="AB14" s="7"/>
      <c r="AC14" s="7"/>
      <c r="AD14" s="7"/>
      <c r="AE14" s="7"/>
      <c r="AF14" s="7"/>
      <c r="AG14" s="7"/>
    </row>
    <row r="15" spans="1:33" x14ac:dyDescent="0.25">
      <c r="A15" s="17">
        <f>+Inputs!B43</f>
        <v>2002</v>
      </c>
      <c r="B15" s="5">
        <f>+Inputs!C18</f>
        <v>445705141.20999998</v>
      </c>
      <c r="C15" s="5">
        <f>+Inputs!D18</f>
        <v>756894580.22000003</v>
      </c>
      <c r="D15" s="5">
        <f>+Inputs!E18</f>
        <v>942795299.10000002</v>
      </c>
      <c r="E15" s="5">
        <f>+Inputs!F18</f>
        <v>1014584365.28</v>
      </c>
      <c r="F15" s="5">
        <f>+Inputs!G18</f>
        <v>1054380942.3200001</v>
      </c>
      <c r="G15" s="5">
        <f>+Inputs!H18</f>
        <v>1101781546.8299999</v>
      </c>
      <c r="H15" s="5">
        <f>+Inputs!I18</f>
        <v>1133650015.9000001</v>
      </c>
      <c r="I15" s="5">
        <f>+Inputs!J18</f>
        <v>1151569965.96</v>
      </c>
      <c r="J15" s="5">
        <f>+Inputs!K18</f>
        <v>1165957446.5500002</v>
      </c>
      <c r="K15" s="5">
        <f>+Inputs!L18</f>
        <v>1176767290.0699999</v>
      </c>
      <c r="L15" s="5">
        <f>+Inputs!M18</f>
        <v>1180403533.1600001</v>
      </c>
      <c r="M15" s="5">
        <f>+Inputs!N18</f>
        <v>1189702947.53</v>
      </c>
      <c r="N15" s="5">
        <f>+Inputs!O18</f>
        <v>1195402725.5900002</v>
      </c>
      <c r="O15" s="5">
        <f>+Inputs!P18</f>
        <v>1196444589.6399999</v>
      </c>
      <c r="P15" s="5"/>
      <c r="Q15" s="9"/>
      <c r="R15" s="6"/>
      <c r="S15" s="120"/>
      <c r="T15" s="6"/>
      <c r="U15" s="10"/>
      <c r="V15" s="8"/>
      <c r="W15" s="8"/>
      <c r="X15" s="8"/>
      <c r="Y15" s="7"/>
      <c r="Z15" s="7"/>
      <c r="AA15" s="7"/>
      <c r="AB15" s="7"/>
      <c r="AC15" s="7"/>
      <c r="AD15" s="7"/>
      <c r="AE15" s="7"/>
      <c r="AF15" s="7"/>
      <c r="AG15" s="7"/>
    </row>
    <row r="16" spans="1:33" x14ac:dyDescent="0.25">
      <c r="A16" s="17">
        <f>+Inputs!B44</f>
        <v>2003</v>
      </c>
      <c r="B16" s="5">
        <f>+Inputs!C19</f>
        <v>344547971.31999999</v>
      </c>
      <c r="C16" s="5">
        <f>+Inputs!D19</f>
        <v>564122717.36000001</v>
      </c>
      <c r="D16" s="5">
        <f>+Inputs!E19</f>
        <v>655964101.21000004</v>
      </c>
      <c r="E16" s="5">
        <f>+Inputs!F19</f>
        <v>695875556.80999994</v>
      </c>
      <c r="F16" s="5">
        <f>+Inputs!G19</f>
        <v>735338891.48000002</v>
      </c>
      <c r="G16" s="5">
        <f>+Inputs!H19</f>
        <v>762710704.22000003</v>
      </c>
      <c r="H16" s="5">
        <f>+Inputs!I19</f>
        <v>779585190.33999991</v>
      </c>
      <c r="I16" s="5">
        <f>+Inputs!J19</f>
        <v>794833799.85000002</v>
      </c>
      <c r="J16" s="5">
        <f>+Inputs!K19</f>
        <v>800549973.81999993</v>
      </c>
      <c r="K16" s="5">
        <f>+Inputs!L19</f>
        <v>806015963.42999995</v>
      </c>
      <c r="L16" s="5">
        <f>+Inputs!M19</f>
        <v>811477218.83000004</v>
      </c>
      <c r="M16" s="5">
        <f>+Inputs!N19</f>
        <v>814463610.22000003</v>
      </c>
      <c r="N16" s="5">
        <f>+Inputs!O19</f>
        <v>815600380.29999995</v>
      </c>
      <c r="O16" s="5"/>
      <c r="P16" s="5"/>
      <c r="Q16" s="9"/>
      <c r="R16" s="6"/>
      <c r="S16" s="120"/>
      <c r="T16" s="10"/>
      <c r="U16" s="6"/>
      <c r="V16" s="8"/>
      <c r="W16" s="8"/>
      <c r="X16" s="8"/>
      <c r="Y16" s="7"/>
      <c r="Z16" s="7"/>
      <c r="AA16" s="7"/>
      <c r="AB16" s="7"/>
      <c r="AC16" s="7"/>
      <c r="AD16" s="7"/>
      <c r="AE16" s="7"/>
      <c r="AF16" s="7"/>
      <c r="AG16" s="7"/>
    </row>
    <row r="17" spans="1:33" x14ac:dyDescent="0.25">
      <c r="A17" s="17">
        <f>+Inputs!B45</f>
        <v>2004</v>
      </c>
      <c r="B17" s="5">
        <f>+Inputs!C20</f>
        <v>273567571.18000001</v>
      </c>
      <c r="C17" s="5">
        <f>+Inputs!D20</f>
        <v>403108381.19999999</v>
      </c>
      <c r="D17" s="5">
        <f>+Inputs!E20</f>
        <v>470786866.16999996</v>
      </c>
      <c r="E17" s="5">
        <f>+Inputs!F20</f>
        <v>516136387.70999998</v>
      </c>
      <c r="F17" s="5">
        <f>+Inputs!G20</f>
        <v>542350485.52999997</v>
      </c>
      <c r="G17" s="5">
        <f>+Inputs!H20</f>
        <v>552842559.33000004</v>
      </c>
      <c r="H17" s="5">
        <f>+Inputs!I20</f>
        <v>564279201.01999998</v>
      </c>
      <c r="I17" s="5">
        <f>+Inputs!J20</f>
        <v>575828730.60000002</v>
      </c>
      <c r="J17" s="5">
        <f>+Inputs!K20</f>
        <v>584237290.22000003</v>
      </c>
      <c r="K17" s="5">
        <f>+Inputs!L20</f>
        <v>591606511.18000007</v>
      </c>
      <c r="L17" s="5">
        <f>+Inputs!M20</f>
        <v>595954519.03999996</v>
      </c>
      <c r="M17" s="5">
        <f>+Inputs!N20</f>
        <v>599857885.06999993</v>
      </c>
      <c r="N17" s="5"/>
      <c r="O17" s="5"/>
      <c r="P17" s="5"/>
      <c r="Q17" s="9"/>
      <c r="R17" s="6"/>
      <c r="S17" s="121"/>
      <c r="T17" s="6"/>
      <c r="U17" s="6"/>
      <c r="V17" s="8"/>
      <c r="W17" s="8"/>
      <c r="X17" s="8"/>
      <c r="Y17" s="7"/>
      <c r="Z17" s="7"/>
      <c r="AA17" s="7"/>
      <c r="AB17" s="7"/>
      <c r="AC17" s="7"/>
      <c r="AD17" s="7"/>
      <c r="AE17" s="7"/>
      <c r="AF17" s="7"/>
      <c r="AG17" s="7"/>
    </row>
    <row r="18" spans="1:33" x14ac:dyDescent="0.25">
      <c r="A18" s="17">
        <f>+Inputs!B46</f>
        <v>2005</v>
      </c>
      <c r="B18" s="5">
        <f>+Inputs!C21</f>
        <v>138890446.49000001</v>
      </c>
      <c r="C18" s="5">
        <f>+Inputs!D21</f>
        <v>221594536.74000001</v>
      </c>
      <c r="D18" s="5">
        <f>+Inputs!E21</f>
        <v>264711482.80000001</v>
      </c>
      <c r="E18" s="5">
        <f>+Inputs!F21</f>
        <v>289506980.12</v>
      </c>
      <c r="F18" s="5">
        <f>+Inputs!G21</f>
        <v>300060558.70999998</v>
      </c>
      <c r="G18" s="5">
        <f>+Inputs!H21</f>
        <v>308182992.55000001</v>
      </c>
      <c r="H18" s="5">
        <f>+Inputs!I21</f>
        <v>315398437.09000003</v>
      </c>
      <c r="I18" s="5">
        <f>+Inputs!J21</f>
        <v>318575692.43000001</v>
      </c>
      <c r="J18" s="5">
        <f>+Inputs!K21</f>
        <v>320746433.71999997</v>
      </c>
      <c r="K18" s="5">
        <f>+Inputs!L21</f>
        <v>322806827.56999999</v>
      </c>
      <c r="L18" s="5">
        <f>+Inputs!M21</f>
        <v>324678850.15999997</v>
      </c>
      <c r="M18" s="5"/>
      <c r="N18" s="5"/>
      <c r="O18" s="5"/>
      <c r="P18" s="5"/>
      <c r="Q18" s="9"/>
      <c r="R18" s="6"/>
      <c r="S18" s="120"/>
      <c r="T18" s="6"/>
      <c r="U18" s="6"/>
      <c r="V18" s="8"/>
      <c r="W18" s="8"/>
      <c r="X18" s="8"/>
      <c r="Y18" s="7"/>
      <c r="Z18" s="7"/>
      <c r="AA18" s="7"/>
      <c r="AB18" s="7"/>
      <c r="AC18" s="7"/>
      <c r="AD18" s="7"/>
      <c r="AE18" s="7"/>
      <c r="AF18" s="7"/>
      <c r="AG18" s="7"/>
    </row>
    <row r="19" spans="1:33" x14ac:dyDescent="0.25">
      <c r="A19" s="17">
        <f>+Inputs!B47</f>
        <v>2006</v>
      </c>
      <c r="B19" s="5">
        <f>+Inputs!C22</f>
        <v>118179405.11000001</v>
      </c>
      <c r="C19" s="5">
        <f>+Inputs!D22</f>
        <v>190995344.28000003</v>
      </c>
      <c r="D19" s="5">
        <f>+Inputs!E22</f>
        <v>219038142.97999999</v>
      </c>
      <c r="E19" s="5">
        <f>+Inputs!F22</f>
        <v>237063856.31</v>
      </c>
      <c r="F19" s="5">
        <f>+Inputs!G22</f>
        <v>249314823.98000002</v>
      </c>
      <c r="G19" s="5">
        <f>+Inputs!H22</f>
        <v>259341688.64000002</v>
      </c>
      <c r="H19" s="5">
        <f>+Inputs!I22</f>
        <v>264639276.5</v>
      </c>
      <c r="I19" s="5">
        <f>+Inputs!J22</f>
        <v>268536449.25999999</v>
      </c>
      <c r="J19" s="5">
        <f>+Inputs!K22</f>
        <v>270896998.99000001</v>
      </c>
      <c r="K19" s="5">
        <f>+Inputs!L22</f>
        <v>272653223.23000002</v>
      </c>
      <c r="L19" s="5"/>
      <c r="M19" s="5"/>
      <c r="N19" s="5"/>
      <c r="O19" s="5"/>
      <c r="P19" s="5"/>
      <c r="Q19" s="9"/>
      <c r="R19" s="6"/>
      <c r="S19" s="120"/>
      <c r="T19" s="6"/>
      <c r="U19" s="6"/>
      <c r="V19" s="8"/>
      <c r="W19" s="8"/>
      <c r="X19" s="8"/>
      <c r="Y19" s="7"/>
      <c r="Z19" s="7"/>
      <c r="AA19" s="7"/>
      <c r="AB19" s="7"/>
      <c r="AC19" s="7"/>
      <c r="AD19" s="7"/>
      <c r="AE19" s="7"/>
      <c r="AF19" s="7"/>
      <c r="AG19" s="7"/>
    </row>
    <row r="20" spans="1:33" x14ac:dyDescent="0.25">
      <c r="A20" s="17">
        <f>+Inputs!B48</f>
        <v>2007</v>
      </c>
      <c r="B20" s="5">
        <f>+Inputs!C23</f>
        <v>110263613.17</v>
      </c>
      <c r="C20" s="5">
        <f>+Inputs!D23</f>
        <v>175952707.32999998</v>
      </c>
      <c r="D20" s="5">
        <f>+Inputs!E23</f>
        <v>198854009.72</v>
      </c>
      <c r="E20" s="5">
        <f>+Inputs!F23</f>
        <v>211027161.42000002</v>
      </c>
      <c r="F20" s="5">
        <f>+Inputs!G23</f>
        <v>225200712.53999999</v>
      </c>
      <c r="G20" s="5">
        <f>+Inputs!H23</f>
        <v>230653681.44999999</v>
      </c>
      <c r="H20" s="5">
        <f>+Inputs!I23</f>
        <v>235175361.92000002</v>
      </c>
      <c r="I20" s="5">
        <f>+Inputs!J23</f>
        <v>238009187.38999999</v>
      </c>
      <c r="J20" s="5">
        <f>+Inputs!K23</f>
        <v>236632376.44</v>
      </c>
      <c r="K20" s="5"/>
      <c r="L20" s="5"/>
      <c r="M20" s="5"/>
      <c r="N20" s="5"/>
      <c r="O20" s="5"/>
      <c r="P20" s="5"/>
      <c r="Q20" s="9"/>
      <c r="R20" s="6"/>
      <c r="S20" s="120"/>
      <c r="T20" s="6"/>
      <c r="U20" s="6"/>
      <c r="V20" s="8"/>
      <c r="W20" s="8"/>
      <c r="X20" s="8"/>
      <c r="Y20" s="7"/>
      <c r="Z20" s="7"/>
      <c r="AA20" s="7"/>
      <c r="AB20" s="7"/>
      <c r="AC20" s="7"/>
      <c r="AD20" s="7"/>
      <c r="AE20" s="7"/>
      <c r="AF20" s="7"/>
      <c r="AG20" s="7"/>
    </row>
    <row r="21" spans="1:33" x14ac:dyDescent="0.25">
      <c r="A21" s="17">
        <f>+Inputs!B49</f>
        <v>2008</v>
      </c>
      <c r="B21" s="5">
        <f>+Inputs!C24</f>
        <v>88945534.329999998</v>
      </c>
      <c r="C21" s="5">
        <f>+Inputs!D24</f>
        <v>141598636.90000001</v>
      </c>
      <c r="D21" s="5">
        <f>+Inputs!E24</f>
        <v>171596656.44999999</v>
      </c>
      <c r="E21" s="5">
        <f>+Inputs!F24</f>
        <v>189778236.57999998</v>
      </c>
      <c r="F21" s="5">
        <f>+Inputs!G24</f>
        <v>197011566.09999999</v>
      </c>
      <c r="G21" s="5">
        <f>+Inputs!H24</f>
        <v>204445843.31</v>
      </c>
      <c r="H21" s="5">
        <f>+Inputs!I24</f>
        <v>207885679.04000002</v>
      </c>
      <c r="I21" s="5">
        <f>+Inputs!J24</f>
        <v>209805789.06999999</v>
      </c>
      <c r="J21" s="5"/>
      <c r="K21" s="5"/>
      <c r="L21" s="5"/>
      <c r="M21" s="5"/>
      <c r="N21" s="5"/>
      <c r="O21" s="5"/>
      <c r="P21" s="5"/>
      <c r="Q21" s="9"/>
      <c r="R21" s="6"/>
      <c r="S21" s="120"/>
      <c r="T21" s="6"/>
      <c r="U21" s="6"/>
      <c r="V21" s="8"/>
      <c r="W21" s="8"/>
      <c r="X21" s="8"/>
      <c r="Y21" s="7"/>
      <c r="Z21" s="7"/>
      <c r="AA21" s="7"/>
      <c r="AB21" s="7"/>
      <c r="AC21" s="7"/>
      <c r="AD21" s="7"/>
      <c r="AE21" s="7"/>
      <c r="AF21" s="7"/>
      <c r="AG21" s="7"/>
    </row>
    <row r="22" spans="1:33" x14ac:dyDescent="0.25">
      <c r="A22" s="17">
        <f>+Inputs!B50</f>
        <v>2009</v>
      </c>
      <c r="B22" s="5">
        <f>+Inputs!C25</f>
        <v>73556321.900000006</v>
      </c>
      <c r="C22" s="5">
        <f>+Inputs!D25</f>
        <v>122238769.03</v>
      </c>
      <c r="D22" s="5">
        <f>+Inputs!E25</f>
        <v>145272447.74000001</v>
      </c>
      <c r="E22" s="5">
        <f>+Inputs!F25</f>
        <v>162509089.94999999</v>
      </c>
      <c r="F22" s="5">
        <f>+Inputs!G25</f>
        <v>173541723.49000001</v>
      </c>
      <c r="G22" s="5">
        <f>+Inputs!H25</f>
        <v>178701699.35000002</v>
      </c>
      <c r="H22" s="5">
        <f>+Inputs!I25</f>
        <v>180723353.93000001</v>
      </c>
      <c r="I22" s="5"/>
      <c r="J22" s="5"/>
      <c r="K22" s="5"/>
      <c r="L22" s="5"/>
      <c r="M22" s="5"/>
      <c r="N22" s="5"/>
      <c r="O22" s="5"/>
      <c r="P22" s="5"/>
      <c r="Q22" s="9"/>
      <c r="R22" s="6"/>
      <c r="S22" s="120"/>
      <c r="T22" s="6"/>
      <c r="U22" s="6"/>
      <c r="V22" s="8"/>
      <c r="W22" s="8"/>
      <c r="X22" s="8"/>
      <c r="Y22" s="7"/>
      <c r="Z22" s="7"/>
      <c r="AA22" s="7"/>
      <c r="AB22" s="7"/>
      <c r="AC22" s="7"/>
      <c r="AD22" s="7"/>
      <c r="AE22" s="7"/>
      <c r="AF22" s="7"/>
      <c r="AG22" s="7"/>
    </row>
    <row r="23" spans="1:33" x14ac:dyDescent="0.25">
      <c r="A23" s="17">
        <f>+Inputs!B51</f>
        <v>2010</v>
      </c>
      <c r="B23" s="5">
        <f>+Inputs!C26</f>
        <v>72041761.659999996</v>
      </c>
      <c r="C23" s="5">
        <f>+Inputs!D26</f>
        <v>114185639.25999999</v>
      </c>
      <c r="D23" s="5">
        <f>+Inputs!E26</f>
        <v>135725965.41</v>
      </c>
      <c r="E23" s="5">
        <f>+Inputs!F26</f>
        <v>146787285.40000001</v>
      </c>
      <c r="F23" s="5">
        <f>+Inputs!G26</f>
        <v>155939964.65000001</v>
      </c>
      <c r="G23" s="5">
        <f>+Inputs!H26</f>
        <v>160451386.60000002</v>
      </c>
      <c r="H23" s="5"/>
      <c r="I23" s="5"/>
      <c r="J23" s="5"/>
      <c r="K23" s="5"/>
      <c r="L23" s="5"/>
      <c r="M23" s="5"/>
      <c r="N23" s="5"/>
      <c r="O23" s="5"/>
      <c r="P23" s="5"/>
      <c r="Q23" s="9"/>
      <c r="R23" s="6"/>
      <c r="S23" s="120"/>
      <c r="T23" s="6"/>
      <c r="U23" s="6"/>
      <c r="V23" s="8"/>
      <c r="W23" s="8"/>
      <c r="X23" s="8"/>
      <c r="Y23" s="7"/>
      <c r="Z23" s="7"/>
      <c r="AA23" s="7"/>
      <c r="AB23" s="7"/>
      <c r="AC23" s="7"/>
      <c r="AD23" s="7"/>
      <c r="AE23" s="7"/>
      <c r="AF23" s="7"/>
      <c r="AG23" s="7"/>
    </row>
    <row r="24" spans="1:33" x14ac:dyDescent="0.25">
      <c r="A24" s="17">
        <f>+Inputs!B52</f>
        <v>2011</v>
      </c>
      <c r="B24" s="5">
        <f>+Inputs!C27</f>
        <v>65095411.739999995</v>
      </c>
      <c r="C24" s="5">
        <f>+Inputs!D27</f>
        <v>111637002.90000001</v>
      </c>
      <c r="D24" s="5">
        <f>+Inputs!E27</f>
        <v>131947494.72</v>
      </c>
      <c r="E24" s="5">
        <f>+Inputs!F27</f>
        <v>142039932.88</v>
      </c>
      <c r="F24" s="5">
        <f>+Inputs!G27</f>
        <v>150437071.94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9"/>
      <c r="R24" s="6"/>
      <c r="S24" s="120"/>
      <c r="T24" s="6"/>
      <c r="U24" s="6"/>
      <c r="V24" s="8"/>
      <c r="W24" s="8"/>
      <c r="X24" s="8"/>
      <c r="Y24" s="7"/>
      <c r="Z24" s="7"/>
      <c r="AA24" s="7"/>
      <c r="AB24" s="7"/>
      <c r="AC24" s="7"/>
      <c r="AD24" s="7"/>
      <c r="AE24" s="7"/>
      <c r="AF24" s="7"/>
      <c r="AG24" s="7"/>
    </row>
    <row r="25" spans="1:33" x14ac:dyDescent="0.25">
      <c r="A25" s="17">
        <f>+Inputs!B53</f>
        <v>2012</v>
      </c>
      <c r="B25" s="5">
        <f>+Inputs!C28</f>
        <v>70087458.149999991</v>
      </c>
      <c r="C25" s="5">
        <f>+Inputs!D28</f>
        <v>118431444.93000001</v>
      </c>
      <c r="D25" s="5">
        <f>+Inputs!E28</f>
        <v>139267905.24000001</v>
      </c>
      <c r="E25" s="5">
        <f>+Inputs!F28</f>
        <v>149966321.76999998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9"/>
      <c r="R25" s="6"/>
      <c r="S25" s="120"/>
      <c r="T25" s="6"/>
      <c r="U25" s="6"/>
      <c r="V25" s="8"/>
      <c r="W25" s="8"/>
      <c r="X25" s="8"/>
      <c r="Y25" s="7"/>
      <c r="Z25" s="7"/>
      <c r="AA25" s="7"/>
      <c r="AB25" s="7"/>
      <c r="AC25" s="7"/>
      <c r="AD25" s="7"/>
      <c r="AE25" s="7"/>
      <c r="AF25" s="7"/>
      <c r="AG25" s="7"/>
    </row>
    <row r="26" spans="1:33" x14ac:dyDescent="0.25">
      <c r="A26" s="17">
        <f>+Inputs!B54</f>
        <v>2013</v>
      </c>
      <c r="B26" s="5">
        <f>+Inputs!C29</f>
        <v>71955745.420000002</v>
      </c>
      <c r="C26" s="5">
        <f>+Inputs!D29</f>
        <v>117211606.53</v>
      </c>
      <c r="D26" s="5">
        <f>+Inputs!E29</f>
        <v>131225914.50999999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9"/>
      <c r="R26" s="6"/>
      <c r="S26" s="120"/>
      <c r="T26" s="6"/>
      <c r="U26" s="6"/>
      <c r="V26" s="8"/>
      <c r="W26" s="8"/>
      <c r="X26" s="8"/>
      <c r="Y26" s="7"/>
      <c r="Z26" s="7"/>
      <c r="AA26" s="7"/>
      <c r="AB26" s="7"/>
      <c r="AC26" s="7"/>
      <c r="AD26" s="7"/>
      <c r="AE26" s="7"/>
      <c r="AF26" s="7"/>
      <c r="AG26" s="7"/>
    </row>
    <row r="27" spans="1:33" ht="12.75" customHeight="1" x14ac:dyDescent="0.25">
      <c r="A27" s="17">
        <f>+Inputs!B55</f>
        <v>2014</v>
      </c>
      <c r="B27" s="5">
        <f>+Inputs!C30</f>
        <v>66701557.719999999</v>
      </c>
      <c r="C27" s="5">
        <f>+Inputs!D30</f>
        <v>112728166.76000001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9"/>
      <c r="R27" s="6"/>
      <c r="S27" s="6"/>
      <c r="T27" s="6"/>
      <c r="U27" s="6"/>
      <c r="V27" s="8"/>
      <c r="W27" s="8"/>
      <c r="X27" s="8"/>
      <c r="Y27" s="7"/>
      <c r="Z27" s="7"/>
      <c r="AA27" s="7"/>
      <c r="AB27" s="7"/>
      <c r="AC27" s="7"/>
      <c r="AD27" s="7"/>
      <c r="AE27" s="7"/>
      <c r="AF27" s="7"/>
      <c r="AG27" s="7"/>
    </row>
    <row r="28" spans="1:33" ht="12.75" customHeight="1" x14ac:dyDescent="0.25">
      <c r="A28" s="17">
        <f>+Inputs!B56</f>
        <v>2015</v>
      </c>
      <c r="B28" s="5">
        <f>+Inputs!C31</f>
        <v>58675317.569999993</v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9"/>
      <c r="R28" s="6"/>
      <c r="S28" s="6"/>
      <c r="T28" s="6"/>
      <c r="U28" s="6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</row>
    <row r="29" spans="1:33" x14ac:dyDescent="0.25">
      <c r="A29" s="17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9"/>
      <c r="R29" s="6"/>
      <c r="S29" s="6"/>
      <c r="T29" s="6"/>
      <c r="U29" s="6"/>
      <c r="V29" s="7"/>
      <c r="W29" s="7"/>
      <c r="X29" s="7"/>
    </row>
    <row r="30" spans="1:33" x14ac:dyDescent="0.25">
      <c r="A30" s="7"/>
      <c r="B30" s="7"/>
      <c r="C30" s="11"/>
      <c r="D30" s="7"/>
      <c r="E30" s="7"/>
      <c r="F30" s="7"/>
      <c r="G30" s="7"/>
      <c r="H30" s="7"/>
      <c r="I30" s="7"/>
      <c r="J30" s="7"/>
      <c r="K30" s="7"/>
      <c r="L30" s="18"/>
      <c r="M30" s="18"/>
      <c r="N30" s="7"/>
      <c r="O30" s="18"/>
      <c r="P30" s="18"/>
      <c r="Q30" s="18"/>
      <c r="R30" s="18"/>
      <c r="S30" s="18"/>
      <c r="T30" s="7"/>
      <c r="U30" s="7"/>
      <c r="V30" s="7"/>
      <c r="W30" s="7"/>
      <c r="X30" s="7"/>
    </row>
    <row r="31" spans="1:33" x14ac:dyDescent="0.25">
      <c r="A31" s="7" t="s">
        <v>71</v>
      </c>
      <c r="C31" s="7"/>
      <c r="D31" s="7"/>
      <c r="E31" s="7"/>
      <c r="F31" s="7"/>
      <c r="G31" s="7"/>
      <c r="H31" s="7"/>
      <c r="I31" s="7"/>
      <c r="J31" s="7"/>
      <c r="K31" s="7"/>
      <c r="L31" s="19"/>
      <c r="M31" s="19"/>
      <c r="N31" s="19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33" x14ac:dyDescent="0.25">
      <c r="A32" s="15" t="s">
        <v>72</v>
      </c>
      <c r="B32" s="20" t="str">
        <f>B8&amp;"-"&amp;C8</f>
        <v>12-24</v>
      </c>
      <c r="C32" s="20" t="str">
        <f t="shared" ref="C32:O32" si="1">C8&amp;"-"&amp;D8</f>
        <v>24-36</v>
      </c>
      <c r="D32" s="20" t="str">
        <f t="shared" si="1"/>
        <v>36-48</v>
      </c>
      <c r="E32" s="20" t="str">
        <f t="shared" si="1"/>
        <v>48-60</v>
      </c>
      <c r="F32" s="20" t="str">
        <f t="shared" si="1"/>
        <v>60-72</v>
      </c>
      <c r="G32" s="20" t="str">
        <f t="shared" si="1"/>
        <v>72-84</v>
      </c>
      <c r="H32" s="20" t="str">
        <f t="shared" si="1"/>
        <v>84-96</v>
      </c>
      <c r="I32" s="20" t="str">
        <f t="shared" si="1"/>
        <v>96-108</v>
      </c>
      <c r="J32" s="20" t="str">
        <f t="shared" si="1"/>
        <v>108-120</v>
      </c>
      <c r="K32" s="20" t="str">
        <f t="shared" si="1"/>
        <v>120-132</v>
      </c>
      <c r="L32" s="20" t="str">
        <f t="shared" si="1"/>
        <v>132-144</v>
      </c>
      <c r="M32" s="20" t="str">
        <f t="shared" si="1"/>
        <v>144-156</v>
      </c>
      <c r="N32" s="20" t="str">
        <f t="shared" si="1"/>
        <v>156-168</v>
      </c>
      <c r="O32" s="20" t="str">
        <f t="shared" si="1"/>
        <v>168-180</v>
      </c>
      <c r="P32" s="20" t="str">
        <f>P8&amp;"-"&amp;Q8</f>
        <v>180-192</v>
      </c>
      <c r="Q32" s="20" t="str">
        <f>Q8&amp;"-"&amp;R8</f>
        <v>192-204</v>
      </c>
      <c r="R32" s="20" t="str">
        <f>R8&amp;"-"&amp;S8</f>
        <v>204-216</v>
      </c>
      <c r="S32" s="20" t="str">
        <f>S8&amp;"-"&amp;T8</f>
        <v>216-228</v>
      </c>
      <c r="T32" s="20" t="str">
        <f>T8&amp;"-"&amp;U8</f>
        <v>228-240</v>
      </c>
      <c r="X32" s="7"/>
    </row>
    <row r="33" spans="1:31" x14ac:dyDescent="0.25">
      <c r="A33" s="17">
        <f>+A9</f>
        <v>1996</v>
      </c>
      <c r="B33" s="42">
        <f t="shared" ref="B33:T33" si="2">IF(ISERROR(C9/B9),B$53,C9/B9)</f>
        <v>1.5358062403477486</v>
      </c>
      <c r="C33" s="21">
        <f t="shared" ref="B33:S34" si="3">IF(ISERROR(D9/C9),C$53,D9/C9)</f>
        <v>1.1433325302183546</v>
      </c>
      <c r="D33" s="21">
        <f t="shared" si="2"/>
        <v>1.0618077971651865</v>
      </c>
      <c r="E33" s="21">
        <f t="shared" si="2"/>
        <v>1.0474063368992304</v>
      </c>
      <c r="F33" s="21">
        <f t="shared" si="2"/>
        <v>1.0387474708197881</v>
      </c>
      <c r="G33" s="21">
        <f t="shared" si="2"/>
        <v>1.0215616392274851</v>
      </c>
      <c r="H33" s="21">
        <f t="shared" si="2"/>
        <v>1.0265619457117421</v>
      </c>
      <c r="I33" s="21">
        <f t="shared" si="2"/>
        <v>1.0229616250340872</v>
      </c>
      <c r="J33" s="21">
        <f t="shared" si="2"/>
        <v>1.0160852483121656</v>
      </c>
      <c r="K33" s="21">
        <f t="shared" si="2"/>
        <v>1.0046242878986731</v>
      </c>
      <c r="L33" s="21">
        <f t="shared" si="2"/>
        <v>1.0105683789285487</v>
      </c>
      <c r="M33" s="21">
        <f t="shared" si="2"/>
        <v>1.0128548669877049</v>
      </c>
      <c r="N33" s="21">
        <f t="shared" si="2"/>
        <v>1.002696898560868</v>
      </c>
      <c r="O33" s="21">
        <f t="shared" si="2"/>
        <v>1.0018208814952956</v>
      </c>
      <c r="P33" s="21">
        <f t="shared" si="2"/>
        <v>1.0014289418960538</v>
      </c>
      <c r="Q33" s="21">
        <f t="shared" si="2"/>
        <v>1.0041240042568846</v>
      </c>
      <c r="R33" s="21">
        <f t="shared" si="2"/>
        <v>1.0034093489571412</v>
      </c>
      <c r="S33" s="21">
        <f t="shared" si="2"/>
        <v>1.0020576766443818</v>
      </c>
      <c r="T33" s="21">
        <f t="shared" si="2"/>
        <v>1.0044254867373525</v>
      </c>
      <c r="X33" s="7"/>
    </row>
    <row r="34" spans="1:31" x14ac:dyDescent="0.25">
      <c r="A34" s="17">
        <f>+A10</f>
        <v>1997</v>
      </c>
      <c r="B34" s="21">
        <f t="shared" si="3"/>
        <v>1.4625181733611825</v>
      </c>
      <c r="C34" s="21">
        <f t="shared" si="3"/>
        <v>1.1432959084067369</v>
      </c>
      <c r="D34" s="21">
        <f t="shared" si="3"/>
        <v>1.0818876097461327</v>
      </c>
      <c r="E34" s="21">
        <f t="shared" si="3"/>
        <v>1.0582033829576269</v>
      </c>
      <c r="F34" s="21">
        <f t="shared" si="3"/>
        <v>1.0420551958711715</v>
      </c>
      <c r="G34" s="21">
        <f t="shared" si="3"/>
        <v>1.0293147090805266</v>
      </c>
      <c r="H34" s="21">
        <f t="shared" si="3"/>
        <v>1.024604004264043</v>
      </c>
      <c r="I34" s="21">
        <f t="shared" si="3"/>
        <v>1.0165210477230224</v>
      </c>
      <c r="J34" s="21">
        <f t="shared" si="3"/>
        <v>1.0056222353747828</v>
      </c>
      <c r="K34" s="21">
        <f t="shared" si="3"/>
        <v>1.023190515255904</v>
      </c>
      <c r="L34" s="21">
        <f t="shared" si="3"/>
        <v>1.0101630637723944</v>
      </c>
      <c r="M34" s="21">
        <f t="shared" si="3"/>
        <v>1.0047825974390894</v>
      </c>
      <c r="N34" s="21">
        <f t="shared" si="3"/>
        <v>1.0080683131721584</v>
      </c>
      <c r="O34" s="21">
        <f t="shared" si="3"/>
        <v>1.0025345971481576</v>
      </c>
      <c r="P34" s="21">
        <f t="shared" si="3"/>
        <v>1.0020951561704832</v>
      </c>
      <c r="Q34" s="21">
        <f t="shared" si="3"/>
        <v>1.0054612468595581</v>
      </c>
      <c r="R34" s="21">
        <f t="shared" si="3"/>
        <v>1.0004447112421777</v>
      </c>
      <c r="S34" s="21">
        <f t="shared" si="3"/>
        <v>1.0038919150174641</v>
      </c>
      <c r="T34" s="22"/>
      <c r="X34" s="7"/>
    </row>
    <row r="35" spans="1:31" x14ac:dyDescent="0.25">
      <c r="A35" s="17">
        <f>+A11</f>
        <v>1998</v>
      </c>
      <c r="B35" s="21">
        <f t="shared" ref="B35:R35" si="4">IF(ISERROR(C11/B11),B$53,C11/B11)</f>
        <v>1.6115126080646771</v>
      </c>
      <c r="C35" s="21">
        <f t="shared" si="4"/>
        <v>1.1931176735443003</v>
      </c>
      <c r="D35" s="21">
        <f t="shared" si="4"/>
        <v>1.0942070404350006</v>
      </c>
      <c r="E35" s="21">
        <f t="shared" si="4"/>
        <v>1.0639779232262132</v>
      </c>
      <c r="F35" s="21">
        <f t="shared" si="4"/>
        <v>1.05723444647954</v>
      </c>
      <c r="G35" s="21">
        <f t="shared" si="4"/>
        <v>1.0348578220794564</v>
      </c>
      <c r="H35" s="21">
        <f t="shared" si="4"/>
        <v>1.0213838418476289</v>
      </c>
      <c r="I35" s="21">
        <f t="shared" si="4"/>
        <v>1.0112359471629564</v>
      </c>
      <c r="J35" s="21">
        <f t="shared" si="4"/>
        <v>1.0263325835967969</v>
      </c>
      <c r="K35" s="21">
        <f t="shared" si="4"/>
        <v>1.0132170424739178</v>
      </c>
      <c r="L35" s="21">
        <f t="shared" si="4"/>
        <v>1.008381621616671</v>
      </c>
      <c r="M35" s="21">
        <f t="shared" si="4"/>
        <v>1.0061441934626874</v>
      </c>
      <c r="N35" s="21">
        <f t="shared" si="4"/>
        <v>1.0042295260244904</v>
      </c>
      <c r="O35" s="21">
        <f t="shared" si="4"/>
        <v>1.0043162319142807</v>
      </c>
      <c r="P35" s="21">
        <f t="shared" si="4"/>
        <v>1.003522327700209</v>
      </c>
      <c r="Q35" s="21">
        <f t="shared" si="4"/>
        <v>1.0053134942004445</v>
      </c>
      <c r="R35" s="21">
        <f t="shared" si="4"/>
        <v>1.0004429901034506</v>
      </c>
      <c r="S35" s="22"/>
      <c r="T35" s="22"/>
      <c r="X35" s="19"/>
    </row>
    <row r="36" spans="1:31" x14ac:dyDescent="0.25">
      <c r="A36" s="17">
        <f>+A12</f>
        <v>1999</v>
      </c>
      <c r="B36" s="21">
        <f t="shared" ref="B36:Q36" si="5">IF(ISERROR(C12/B12),B$53,C12/B12)</f>
        <v>1.6256507585555859</v>
      </c>
      <c r="C36" s="21">
        <f t="shared" si="5"/>
        <v>1.212926034683546</v>
      </c>
      <c r="D36" s="21">
        <f t="shared" si="5"/>
        <v>1.0941182822649336</v>
      </c>
      <c r="E36" s="21">
        <f t="shared" si="5"/>
        <v>1.0694238400417646</v>
      </c>
      <c r="F36" s="21">
        <f t="shared" si="5"/>
        <v>1.0628277505866741</v>
      </c>
      <c r="G36" s="21">
        <f t="shared" si="5"/>
        <v>1.0325122815175634</v>
      </c>
      <c r="H36" s="21">
        <f t="shared" si="5"/>
        <v>1.0095793581324533</v>
      </c>
      <c r="I36" s="21">
        <f t="shared" si="5"/>
        <v>1.0289742474654113</v>
      </c>
      <c r="J36" s="21">
        <f t="shared" si="5"/>
        <v>1.0046401308530717</v>
      </c>
      <c r="K36" s="21">
        <f t="shared" si="5"/>
        <v>1.0073206252911024</v>
      </c>
      <c r="L36" s="21">
        <f t="shared" si="5"/>
        <v>1.0073284182890905</v>
      </c>
      <c r="M36" s="21">
        <f>IF(ISERROR(N12/M12),M$53,N12/M12)</f>
        <v>1.0044243871251763</v>
      </c>
      <c r="N36" s="21">
        <f t="shared" si="5"/>
        <v>1.0053351392868519</v>
      </c>
      <c r="O36" s="21">
        <f t="shared" si="5"/>
        <v>1.0050300276500685</v>
      </c>
      <c r="P36" s="21">
        <f t="shared" si="5"/>
        <v>1.0043633065234592</v>
      </c>
      <c r="Q36" s="21">
        <f t="shared" si="5"/>
        <v>1.0041993275267014</v>
      </c>
      <c r="R36" s="22"/>
      <c r="S36" s="22"/>
      <c r="T36" s="22"/>
      <c r="X36" s="19"/>
    </row>
    <row r="37" spans="1:31" x14ac:dyDescent="0.25">
      <c r="A37" s="17">
        <f>+A13</f>
        <v>2000</v>
      </c>
      <c r="B37" s="21">
        <f t="shared" ref="B37:P37" si="6">IF(ISERROR(C13/B13),B$53,C13/B13)</f>
        <v>1.6799539530432175</v>
      </c>
      <c r="C37" s="21">
        <f t="shared" si="6"/>
        <v>1.1913400871343398</v>
      </c>
      <c r="D37" s="21">
        <f t="shared" si="6"/>
        <v>1.1159453325446698</v>
      </c>
      <c r="E37" s="21">
        <f t="shared" si="6"/>
        <v>1.0772808025858847</v>
      </c>
      <c r="F37" s="21">
        <f t="shared" si="6"/>
        <v>1.0387820344948493</v>
      </c>
      <c r="G37" s="21">
        <f t="shared" si="6"/>
        <v>1.0133051308432446</v>
      </c>
      <c r="H37" s="21">
        <f t="shared" si="6"/>
        <v>1.0257358577375761</v>
      </c>
      <c r="I37" s="21">
        <f t="shared" si="6"/>
        <v>1.0011289847726723</v>
      </c>
      <c r="J37" s="21">
        <f t="shared" si="6"/>
        <v>1.0094910882883359</v>
      </c>
      <c r="K37" s="21">
        <f t="shared" si="6"/>
        <v>1.0067024681555035</v>
      </c>
      <c r="L37" s="21">
        <f t="shared" si="6"/>
        <v>1.0049836107334857</v>
      </c>
      <c r="M37" s="21">
        <f t="shared" si="6"/>
        <v>1.0019721105999673</v>
      </c>
      <c r="N37" s="21">
        <f t="shared" si="6"/>
        <v>1.0042422990415838</v>
      </c>
      <c r="O37" s="21">
        <f t="shared" si="6"/>
        <v>1.0013056272684655</v>
      </c>
      <c r="P37" s="21">
        <f t="shared" si="6"/>
        <v>1.0018330866634777</v>
      </c>
      <c r="Q37" s="22"/>
      <c r="R37" s="22"/>
      <c r="T37" s="22"/>
      <c r="X37" s="19"/>
    </row>
    <row r="38" spans="1:31" x14ac:dyDescent="0.25">
      <c r="A38" s="17">
        <f t="shared" ref="A38:A51" si="7">+A14</f>
        <v>2001</v>
      </c>
      <c r="B38" s="21">
        <f t="shared" ref="B38:O38" si="8">IF(ISERROR(C14/B14),B$53,C14/B14)</f>
        <v>1.6368643730954637</v>
      </c>
      <c r="C38" s="21">
        <f t="shared" si="8"/>
        <v>1.2176058546899979</v>
      </c>
      <c r="D38" s="21">
        <f t="shared" si="8"/>
        <v>1.1162081742664398</v>
      </c>
      <c r="E38" s="21">
        <f t="shared" si="8"/>
        <v>1.0527755970782191</v>
      </c>
      <c r="F38" s="21">
        <f t="shared" si="8"/>
        <v>1.0216345501433741</v>
      </c>
      <c r="G38" s="21">
        <f t="shared" si="8"/>
        <v>1.0307936713656887</v>
      </c>
      <c r="H38" s="21">
        <f t="shared" si="8"/>
        <v>1.0156821057674383</v>
      </c>
      <c r="I38" s="21">
        <f t="shared" si="8"/>
        <v>1.0089404431691629</v>
      </c>
      <c r="J38" s="21">
        <f t="shared" si="8"/>
        <v>1.0160640065400222</v>
      </c>
      <c r="K38" s="21">
        <f t="shared" si="8"/>
        <v>0.98230554269980519</v>
      </c>
      <c r="L38" s="21">
        <f t="shared" si="8"/>
        <v>1.0052075319360247</v>
      </c>
      <c r="M38" s="21">
        <f t="shared" si="8"/>
        <v>1.0061590858139426</v>
      </c>
      <c r="N38" s="21">
        <f t="shared" si="8"/>
        <v>1.0002096335739774</v>
      </c>
      <c r="O38" s="21">
        <f t="shared" si="8"/>
        <v>1.0002907641865182</v>
      </c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AB38" s="59" t="e">
        <f>#REF!</f>
        <v>#REF!</v>
      </c>
      <c r="AC38" s="43" t="e">
        <f ca="1">_xll.RiskOutput(CONCATENATE(A256," / Inc TNR"))+X256-'Paid Bootstrap'!AS256</f>
        <v>#NAME?</v>
      </c>
      <c r="AD38" s="43">
        <f>INDEX($B$9:$U$28,A256-(Inputs!$I$2-Inputs!$I$3)-1,Inputs!$I$2+1-A256)</f>
        <v>236632376.44</v>
      </c>
      <c r="AE38" s="43" t="e">
        <f>#REF!</f>
        <v>#REF!</v>
      </c>
    </row>
    <row r="39" spans="1:31" x14ac:dyDescent="0.25">
      <c r="A39" s="17">
        <f t="shared" si="7"/>
        <v>2002</v>
      </c>
      <c r="B39" s="21">
        <f t="shared" ref="B39:N39" si="9">IF(ISERROR(C15/B15),B$53,C15/B15)</f>
        <v>1.6981957582207448</v>
      </c>
      <c r="C39" s="21">
        <f t="shared" si="9"/>
        <v>1.2456097899736127</v>
      </c>
      <c r="D39" s="21">
        <f t="shared" si="9"/>
        <v>1.0761449131625183</v>
      </c>
      <c r="E39" s="21">
        <f t="shared" si="9"/>
        <v>1.0392245124228947</v>
      </c>
      <c r="F39" s="21">
        <f t="shared" si="9"/>
        <v>1.0449558623524646</v>
      </c>
      <c r="G39" s="21">
        <f t="shared" si="9"/>
        <v>1.0289244897608703</v>
      </c>
      <c r="H39" s="21">
        <f t="shared" si="9"/>
        <v>1.0158073036727948</v>
      </c>
      <c r="I39" s="21">
        <f t="shared" si="9"/>
        <v>1.0124937963087688</v>
      </c>
      <c r="J39" s="21">
        <f t="shared" si="9"/>
        <v>1.0092712161597195</v>
      </c>
      <c r="K39" s="21">
        <f t="shared" si="9"/>
        <v>1.0030900273322383</v>
      </c>
      <c r="L39" s="21">
        <f t="shared" si="9"/>
        <v>1.0078781654821931</v>
      </c>
      <c r="M39" s="21">
        <f t="shared" si="9"/>
        <v>1.0047909253917826</v>
      </c>
      <c r="N39" s="21">
        <f t="shared" si="9"/>
        <v>1.0008715590383863</v>
      </c>
      <c r="O39" s="22"/>
      <c r="P39" s="22"/>
      <c r="Q39" s="22"/>
      <c r="R39" s="5"/>
      <c r="S39" s="5"/>
      <c r="T39" s="19"/>
      <c r="U39" s="19"/>
      <c r="V39" s="19"/>
      <c r="W39" s="19"/>
      <c r="X39" s="19"/>
    </row>
    <row r="40" spans="1:31" x14ac:dyDescent="0.25">
      <c r="A40" s="17">
        <f t="shared" si="7"/>
        <v>2003</v>
      </c>
      <c r="B40" s="21">
        <f t="shared" ref="B40:M40" si="10">IF(ISERROR(C16/B16),B$53,C16/B16)</f>
        <v>1.6372835260030287</v>
      </c>
      <c r="C40" s="21">
        <f t="shared" si="10"/>
        <v>1.1628039095461398</v>
      </c>
      <c r="D40" s="21">
        <f>IF(ISERROR(E16/D16),D$53,E16/D16)</f>
        <v>1.060843963147341</v>
      </c>
      <c r="E40" s="21">
        <f t="shared" si="10"/>
        <v>1.0567103331677665</v>
      </c>
      <c r="F40" s="21">
        <f t="shared" si="10"/>
        <v>1.0372233987038404</v>
      </c>
      <c r="G40" s="21">
        <f t="shared" si="10"/>
        <v>1.0221243599003331</v>
      </c>
      <c r="H40" s="21">
        <f t="shared" si="10"/>
        <v>1.0195599014693311</v>
      </c>
      <c r="I40" s="21">
        <f t="shared" si="10"/>
        <v>1.0071916594023538</v>
      </c>
      <c r="J40" s="21">
        <f t="shared" si="10"/>
        <v>1.006827793128164</v>
      </c>
      <c r="K40" s="21">
        <f t="shared" si="10"/>
        <v>1.0067756169204884</v>
      </c>
      <c r="L40" s="21">
        <f t="shared" si="10"/>
        <v>1.0036801912865845</v>
      </c>
      <c r="M40" s="21">
        <f t="shared" si="10"/>
        <v>1.0013957285085984</v>
      </c>
      <c r="N40" s="22"/>
      <c r="O40" s="22"/>
      <c r="P40" s="22"/>
      <c r="R40" s="19"/>
      <c r="S40" s="19"/>
      <c r="T40" s="19"/>
      <c r="U40" s="19"/>
      <c r="V40" s="19"/>
      <c r="W40" s="19"/>
      <c r="X40" s="19"/>
    </row>
    <row r="41" spans="1:31" x14ac:dyDescent="0.25">
      <c r="A41" s="17">
        <f t="shared" si="7"/>
        <v>2004</v>
      </c>
      <c r="B41" s="21">
        <f t="shared" ref="B41:L41" si="11">IF(ISERROR(C17/B17),B$53,C17/B17)</f>
        <v>1.4735239979696484</v>
      </c>
      <c r="C41" s="21">
        <f t="shared" si="11"/>
        <v>1.1678915351958947</v>
      </c>
      <c r="D41" s="21">
        <f t="shared" si="11"/>
        <v>1.0963270745187366</v>
      </c>
      <c r="E41" s="21">
        <f t="shared" si="11"/>
        <v>1.0507890907213635</v>
      </c>
      <c r="F41" s="21">
        <f t="shared" si="11"/>
        <v>1.0193455598914913</v>
      </c>
      <c r="G41" s="21">
        <f t="shared" si="11"/>
        <v>1.0206869776882956</v>
      </c>
      <c r="H41" s="21">
        <f t="shared" si="11"/>
        <v>1.0204677570236913</v>
      </c>
      <c r="I41" s="21">
        <f t="shared" si="11"/>
        <v>1.0146025357422483</v>
      </c>
      <c r="J41" s="21">
        <f t="shared" si="11"/>
        <v>1.0126134039770469</v>
      </c>
      <c r="K41" s="21">
        <f t="shared" si="11"/>
        <v>1.0073494929109679</v>
      </c>
      <c r="L41" s="21">
        <f t="shared" si="11"/>
        <v>1.0065497716776908</v>
      </c>
      <c r="M41" s="22"/>
      <c r="N41" s="22"/>
      <c r="O41" s="22"/>
      <c r="R41" s="19"/>
      <c r="S41" s="19"/>
      <c r="T41" s="19"/>
      <c r="U41" s="19"/>
      <c r="V41" s="19"/>
      <c r="W41" s="19"/>
      <c r="X41" s="19"/>
    </row>
    <row r="42" spans="1:31" x14ac:dyDescent="0.25">
      <c r="A42" s="17">
        <f t="shared" si="7"/>
        <v>2005</v>
      </c>
      <c r="B42" s="21">
        <f t="shared" ref="B42:K42" si="12">IF(ISERROR(C18/B18),B$53,C18/B18)</f>
        <v>1.5954627718469796</v>
      </c>
      <c r="C42" s="21">
        <f t="shared" si="12"/>
        <v>1.1945758532422202</v>
      </c>
      <c r="D42" s="21">
        <f t="shared" si="12"/>
        <v>1.0936698969675371</v>
      </c>
      <c r="E42" s="21">
        <f t="shared" si="12"/>
        <v>1.0364536239700526</v>
      </c>
      <c r="F42" s="21">
        <f t="shared" si="12"/>
        <v>1.0270693151906383</v>
      </c>
      <c r="G42" s="21">
        <f t="shared" si="12"/>
        <v>1.0234128576671193</v>
      </c>
      <c r="H42" s="21">
        <f t="shared" si="12"/>
        <v>1.0100737827660615</v>
      </c>
      <c r="I42" s="21">
        <f t="shared" si="12"/>
        <v>1.0068138949128296</v>
      </c>
      <c r="J42" s="21">
        <f t="shared" si="12"/>
        <v>1.0064237467151347</v>
      </c>
      <c r="K42" s="21">
        <f t="shared" si="12"/>
        <v>1.0057992038275398</v>
      </c>
      <c r="L42" s="19"/>
      <c r="M42" s="19"/>
      <c r="N42" s="19"/>
      <c r="O42" s="22"/>
      <c r="P42" s="22"/>
      <c r="R42" s="19"/>
      <c r="S42" s="19"/>
      <c r="T42" s="19"/>
      <c r="U42" s="23"/>
      <c r="V42" s="19"/>
      <c r="W42" s="19"/>
      <c r="X42" s="19"/>
    </row>
    <row r="43" spans="1:31" x14ac:dyDescent="0.25">
      <c r="A43" s="17">
        <f t="shared" si="7"/>
        <v>2006</v>
      </c>
      <c r="B43" s="21">
        <f t="shared" ref="B43:J43" si="13">IF(ISERROR(C19/B19),B$53,C19/B19)</f>
        <v>1.6161474505834903</v>
      </c>
      <c r="C43" s="21">
        <f t="shared" si="13"/>
        <v>1.1468245145226634</v>
      </c>
      <c r="D43" s="21">
        <f t="shared" si="13"/>
        <v>1.082294860085834</v>
      </c>
      <c r="E43" s="21">
        <f t="shared" si="13"/>
        <v>1.0516779228208448</v>
      </c>
      <c r="F43" s="21">
        <f t="shared" si="13"/>
        <v>1.0402176834090071</v>
      </c>
      <c r="G43" s="21">
        <f t="shared" si="13"/>
        <v>1.0204270585565351</v>
      </c>
      <c r="H43" s="21">
        <f t="shared" si="13"/>
        <v>1.0147263581262096</v>
      </c>
      <c r="I43" s="21">
        <f t="shared" si="13"/>
        <v>1.0087904257932394</v>
      </c>
      <c r="J43" s="21">
        <f t="shared" si="13"/>
        <v>1.0064829962921251</v>
      </c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</row>
    <row r="44" spans="1:31" x14ac:dyDescent="0.25">
      <c r="A44" s="17">
        <f t="shared" si="7"/>
        <v>2007</v>
      </c>
      <c r="B44" s="21">
        <f t="shared" ref="B44:I44" si="14">IF(ISERROR(C20/B20),B$53,C20/B20)</f>
        <v>1.5957458881627902</v>
      </c>
      <c r="C44" s="21">
        <f t="shared" si="14"/>
        <v>1.1301560103138881</v>
      </c>
      <c r="D44" s="21">
        <f t="shared" si="14"/>
        <v>1.0612165262201181</v>
      </c>
      <c r="E44" s="21">
        <f t="shared" si="14"/>
        <v>1.0671645821543836</v>
      </c>
      <c r="F44" s="21">
        <f t="shared" si="14"/>
        <v>1.0242138173032265</v>
      </c>
      <c r="G44" s="21">
        <f t="shared" si="14"/>
        <v>1.0196037645771556</v>
      </c>
      <c r="H44" s="21">
        <f t="shared" si="14"/>
        <v>1.0120498399443898</v>
      </c>
      <c r="I44" s="21">
        <f t="shared" si="14"/>
        <v>0.99421530334564789</v>
      </c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</row>
    <row r="45" spans="1:31" x14ac:dyDescent="0.25">
      <c r="A45" s="17">
        <f t="shared" si="7"/>
        <v>2008</v>
      </c>
      <c r="B45" s="21">
        <f t="shared" ref="B45:H45" si="15">IF(ISERROR(C21/B21),B$53,C21/B21)</f>
        <v>1.5919701642878421</v>
      </c>
      <c r="C45" s="21">
        <f t="shared" si="15"/>
        <v>1.2118524599300007</v>
      </c>
      <c r="D45" s="21">
        <f t="shared" si="15"/>
        <v>1.1059553286534913</v>
      </c>
      <c r="E45" s="21">
        <f t="shared" si="15"/>
        <v>1.0381146418596363</v>
      </c>
      <c r="F45" s="21">
        <f t="shared" si="15"/>
        <v>1.0377352322869535</v>
      </c>
      <c r="G45" s="21">
        <f t="shared" si="15"/>
        <v>1.0168251683394913</v>
      </c>
      <c r="H45" s="21">
        <f t="shared" si="15"/>
        <v>1.009236374717426</v>
      </c>
      <c r="I45" s="19"/>
      <c r="R45" s="55"/>
      <c r="T45" s="19"/>
      <c r="U45" s="19"/>
      <c r="V45" s="19"/>
      <c r="W45" s="19"/>
      <c r="X45" s="19"/>
    </row>
    <row r="46" spans="1:31" x14ac:dyDescent="0.25">
      <c r="A46" s="17">
        <f t="shared" si="7"/>
        <v>2009</v>
      </c>
      <c r="B46" s="21">
        <f t="shared" ref="B46:G46" si="16">IF(ISERROR(C22/B22),B$53,C22/B22)</f>
        <v>1.6618390625374648</v>
      </c>
      <c r="C46" s="21">
        <f t="shared" si="16"/>
        <v>1.188431860798165</v>
      </c>
      <c r="D46" s="21">
        <f t="shared" si="16"/>
        <v>1.1186504562850699</v>
      </c>
      <c r="E46" s="21">
        <f t="shared" si="16"/>
        <v>1.0678893318730325</v>
      </c>
      <c r="F46" s="21">
        <f t="shared" si="16"/>
        <v>1.0297333445596288</v>
      </c>
      <c r="G46" s="21">
        <f t="shared" si="16"/>
        <v>1.0113130126202126</v>
      </c>
      <c r="H46" s="21"/>
      <c r="I46" s="19"/>
      <c r="L46" s="19"/>
      <c r="M46" s="19"/>
      <c r="N46" s="19"/>
      <c r="O46" s="19"/>
      <c r="P46" s="19"/>
      <c r="Q46" s="19"/>
      <c r="R46" s="56"/>
      <c r="S46" s="19"/>
      <c r="T46" s="19"/>
      <c r="U46" s="19"/>
      <c r="V46" s="19"/>
      <c r="W46" s="19"/>
      <c r="X46" s="19"/>
    </row>
    <row r="47" spans="1:31" x14ac:dyDescent="0.25">
      <c r="A47" s="17">
        <f t="shared" si="7"/>
        <v>2010</v>
      </c>
      <c r="B47" s="21">
        <f>IF(ISERROR(C23/B23),B$53,C23/B23)</f>
        <v>1.5849923242979174</v>
      </c>
      <c r="C47" s="21">
        <f>IF(ISERROR(D23/C23),C$53,D23/C23)</f>
        <v>1.1886430403122132</v>
      </c>
      <c r="D47" s="21">
        <f>IF(ISERROR(E23/D23),D$53,E23/D23)</f>
        <v>1.0814974493390859</v>
      </c>
      <c r="E47" s="21">
        <f>IF(ISERROR(F23/E23),E$53,F23/E23)</f>
        <v>1.0623533518251167</v>
      </c>
      <c r="F47" s="21">
        <f>IF(ISERROR(G23/F23),F$53,G23/F23)</f>
        <v>1.0289305051474502</v>
      </c>
      <c r="G47" s="21"/>
      <c r="H47" s="21"/>
      <c r="L47" s="19"/>
      <c r="M47" s="19"/>
      <c r="N47" s="19"/>
      <c r="O47" s="19"/>
      <c r="P47" s="19"/>
      <c r="Q47" s="19"/>
      <c r="R47" s="56"/>
      <c r="S47" s="19"/>
      <c r="T47" s="19"/>
      <c r="U47" s="19"/>
      <c r="V47" s="19"/>
      <c r="W47" s="19"/>
      <c r="X47" s="19"/>
    </row>
    <row r="48" spans="1:31" x14ac:dyDescent="0.25">
      <c r="A48" s="17">
        <f t="shared" si="7"/>
        <v>2011</v>
      </c>
      <c r="B48" s="21">
        <f>IF(ISERROR(C24/B24),B$53,C24/B24)</f>
        <v>1.7149749869605788</v>
      </c>
      <c r="C48" s="21">
        <f>IF(ISERROR(D24/C24),C$53,D24/C24)</f>
        <v>1.1819333311750884</v>
      </c>
      <c r="D48" s="21">
        <f>IF(ISERROR(E24/D24),D$53,E24/D24)</f>
        <v>1.0764882893867498</v>
      </c>
      <c r="E48" s="21">
        <f>IF(ISERROR(F24/E24),E$53,F24/E24)</f>
        <v>1.0591181570544264</v>
      </c>
      <c r="F48" s="21"/>
      <c r="G48" s="21"/>
      <c r="L48" s="19"/>
      <c r="M48" s="19"/>
      <c r="N48" s="19"/>
      <c r="O48" s="19"/>
      <c r="P48" s="19"/>
      <c r="Q48" s="19"/>
      <c r="R48" s="56"/>
      <c r="S48" s="19"/>
      <c r="T48" s="19"/>
      <c r="U48" s="19"/>
      <c r="V48" s="19"/>
      <c r="W48" s="19"/>
      <c r="X48" s="19"/>
    </row>
    <row r="49" spans="1:33" x14ac:dyDescent="0.25">
      <c r="A49" s="17">
        <f t="shared" si="7"/>
        <v>2012</v>
      </c>
      <c r="B49" s="21">
        <f>IF(ISERROR(C25/B25),B$53,C25/B25)</f>
        <v>1.6897665867199099</v>
      </c>
      <c r="C49" s="21">
        <f>IF(ISERROR(D25/C25),C$53,D25/C25)</f>
        <v>1.1759368917800133</v>
      </c>
      <c r="D49" s="21">
        <f>IF(ISERROR(E25/D25),D$53,E25/D25)</f>
        <v>1.0768189663768075</v>
      </c>
      <c r="E49" s="21"/>
      <c r="L49" s="19"/>
      <c r="M49" s="19"/>
      <c r="N49" s="19"/>
      <c r="O49" s="19"/>
      <c r="U49" s="19"/>
      <c r="V49" s="19"/>
      <c r="W49" s="19"/>
      <c r="X49" s="19"/>
    </row>
    <row r="50" spans="1:33" x14ac:dyDescent="0.25">
      <c r="A50" s="17">
        <f t="shared" si="7"/>
        <v>2013</v>
      </c>
      <c r="B50" s="21">
        <f>IF(ISERROR(C26/B26),B$53,C26/B26)</f>
        <v>1.6289402027016067</v>
      </c>
      <c r="C50" s="21">
        <f>IF(ISERROR(D26/C26),C$53,D26/C26)</f>
        <v>1.1195641659976145</v>
      </c>
      <c r="D50" s="21"/>
      <c r="L50" s="19"/>
      <c r="M50" s="19"/>
      <c r="N50" s="19"/>
      <c r="O50" s="19"/>
      <c r="P50" s="19"/>
      <c r="Q50" s="19"/>
      <c r="R50" s="19"/>
      <c r="S50" s="19"/>
      <c r="U50" s="19"/>
      <c r="V50" s="31"/>
      <c r="W50" s="31"/>
      <c r="X50" s="19"/>
    </row>
    <row r="51" spans="1:33" x14ac:dyDescent="0.25">
      <c r="A51" s="17">
        <f t="shared" si="7"/>
        <v>2014</v>
      </c>
      <c r="B51" s="21">
        <f>IF(ISERROR(C27/B27),B$53,C27/B27)</f>
        <v>1.6900379933135992</v>
      </c>
      <c r="C51" s="21"/>
      <c r="L51" s="19"/>
      <c r="M51" s="19"/>
      <c r="N51" s="19"/>
      <c r="O51" s="19"/>
      <c r="P51" s="19"/>
      <c r="Q51" s="19"/>
      <c r="R51" s="19"/>
      <c r="U51" s="19"/>
      <c r="V51" s="31"/>
      <c r="W51" s="31"/>
      <c r="X51" s="19"/>
    </row>
    <row r="52" spans="1:33" x14ac:dyDescent="0.25">
      <c r="A52" s="17"/>
      <c r="B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31"/>
      <c r="W52" s="31"/>
      <c r="X52" s="7"/>
    </row>
    <row r="53" spans="1:33" x14ac:dyDescent="0.25">
      <c r="A53" s="17" t="s">
        <v>87</v>
      </c>
      <c r="B53" s="19">
        <f>MAX(1,SUM(C10:C27)/SUM(B10:B27))</f>
        <v>1.6142481219922884</v>
      </c>
      <c r="C53" s="19">
        <f>MAX(1,SUM(D$9:D26)/SUM(C$9:C26))</f>
        <v>1.1873104581863658</v>
      </c>
      <c r="D53" s="19">
        <f>MAX(1,SUM(E$9:E25)/SUM(D$9:D25))</f>
        <v>1.0900261318494391</v>
      </c>
      <c r="E53" s="19">
        <f>MAX(1,SUM(F$9:F24)/SUM(E$9:E24))</f>
        <v>1.0573454681002377</v>
      </c>
      <c r="F53" s="19">
        <f>MAX(1,SUM(G$9:G23)/SUM(F$9:F23))</f>
        <v>1.0401996345476627</v>
      </c>
      <c r="G53" s="19">
        <f>MAX(1,SUM(H$9:H22)/SUM(G$9:G22))</f>
        <v>1.0257054625468653</v>
      </c>
      <c r="H53" s="19">
        <f>MAX(1,SUM(I$9:I21)/SUM(H$9:H21))</f>
        <v>1.0185539380175546</v>
      </c>
      <c r="I53" s="19">
        <f>MAX(1,SUM(J$9:J20)/SUM(I$9:I20))</f>
        <v>1.0127733873088047</v>
      </c>
      <c r="J53" s="19">
        <f>MAX(1,SUM(K$9:K19)/SUM(J$9:J19))</f>
        <v>1.0116196225026215</v>
      </c>
      <c r="K53" s="19">
        <f>MAX(1,SUM(L$9:L18)/SUM(K$9:K18))</f>
        <v>1.005324913653129</v>
      </c>
      <c r="L53" s="19">
        <f>MAX(1,SUM(M$9:M17)/SUM(L$9:L17))</f>
        <v>1.0071459197136177</v>
      </c>
      <c r="M53" s="19">
        <f>IF(ISERROR(SUM(N$9:N16)/SUM(M$9:M16)),1,MAX(1,SUM(N$9:N16)/SUM(M$9:M16)))</f>
        <v>1.0051662422264875</v>
      </c>
      <c r="N53" s="19">
        <f>IF(ISERROR(SUM(O$9:O15)/SUM(N$9:N15)),1,MAX(1,SUM(O$9:O15)/SUM(N$9:N15)))</f>
        <v>1.0035786094778216</v>
      </c>
      <c r="O53" s="19">
        <f>IF(ISERROR(SUM(P$9:P14)/SUM(O$9:O14)),1,MAX(1,SUM(P$9:P14)/SUM(O$9:O14)))</f>
        <v>1.0026070302796335</v>
      </c>
      <c r="P53" s="19">
        <f>IF(ISERROR(SUM(Q$9:Q13)/SUM(P$9:P13)),1,MAX(1,SUM(Q$9:Q13)/SUM(P$9:P13)))</f>
        <v>1.0027873039334136</v>
      </c>
      <c r="Q53" s="19">
        <f>IF(ISERROR(SUM(R$9:R12)/SUM(Q$9:Q12)),1,MAX(1,SUM(R$9:R12)/SUM(Q$9:Q12)))</f>
        <v>1.0047795399179207</v>
      </c>
      <c r="R53" s="19">
        <f>IF(ISERROR(SUM(S$9:S11)/SUM(R$9:R11)),1,MAX(1,SUM(S$9:S11)/SUM(R$9:R11)))</f>
        <v>1.0012593655777247</v>
      </c>
      <c r="S53" s="19">
        <f>IF(ISERROR(SUM(T$9:T10)/SUM(S$9:S10)),1,MAX(1,SUM(T$9:T10)/SUM(S$9:S10)))</f>
        <v>1.0030450798333144</v>
      </c>
      <c r="T53" s="19">
        <f>IF(ISERROR(SUM(U$9:U9)/SUM(T$9:T9)),1,MAX(1,SUM(U$9:U9)/SUM(T$9:T9)))</f>
        <v>1.0044254867373525</v>
      </c>
      <c r="U53" s="19"/>
      <c r="V53" s="31"/>
      <c r="W53" s="31"/>
      <c r="X53" s="7"/>
    </row>
    <row r="54" spans="1:33" s="83" customFormat="1" x14ac:dyDescent="0.25">
      <c r="A54" s="17"/>
      <c r="B54" s="7">
        <f t="shared" ref="B54:S54" si="17">B53*C54</f>
        <v>2.5599093148064549</v>
      </c>
      <c r="C54" s="7">
        <f t="shared" si="17"/>
        <v>1.5858214607349466</v>
      </c>
      <c r="D54">
        <f t="shared" si="17"/>
        <v>1.335641785853813</v>
      </c>
      <c r="E54">
        <f t="shared" si="17"/>
        <v>1.2253300602873067</v>
      </c>
      <c r="F54">
        <f t="shared" si="17"/>
        <v>1.1588738943468417</v>
      </c>
      <c r="G54">
        <f t="shared" si="17"/>
        <v>1.1140879652883029</v>
      </c>
      <c r="H54">
        <f t="shared" si="17"/>
        <v>1.0861675266133228</v>
      </c>
      <c r="I54">
        <f t="shared" si="17"/>
        <v>1.0663819421555296</v>
      </c>
      <c r="J54">
        <f t="shared" si="17"/>
        <v>1.0529324284371022</v>
      </c>
      <c r="K54">
        <f t="shared" si="17"/>
        <v>1.0408382805310537</v>
      </c>
      <c r="L54">
        <f t="shared" si="17"/>
        <v>1.035325262903191</v>
      </c>
      <c r="M54">
        <f t="shared" si="17"/>
        <v>1.0279794046105912</v>
      </c>
      <c r="N54">
        <f t="shared" si="17"/>
        <v>1.0226959098164414</v>
      </c>
      <c r="O54">
        <f t="shared" si="17"/>
        <v>1.0190491309381005</v>
      </c>
      <c r="P54">
        <f t="shared" si="17"/>
        <v>1.0163993470641046</v>
      </c>
      <c r="Q54">
        <f t="shared" si="17"/>
        <v>1.0135742076882086</v>
      </c>
      <c r="R54">
        <f t="shared" si="17"/>
        <v>1.0087528332543538</v>
      </c>
      <c r="S54">
        <f t="shared" si="17"/>
        <v>1.0074840425310834</v>
      </c>
      <c r="T54" s="119">
        <f>T53</f>
        <v>1.0044254867373525</v>
      </c>
      <c r="U54" s="7"/>
      <c r="V54" s="31"/>
      <c r="W54" s="31"/>
      <c r="X54" s="7"/>
      <c r="Y54"/>
      <c r="Z54"/>
      <c r="AA54"/>
      <c r="AB54"/>
      <c r="AC54"/>
      <c r="AD54"/>
      <c r="AE54"/>
      <c r="AF54"/>
      <c r="AG54"/>
    </row>
    <row r="55" spans="1:33" x14ac:dyDescent="0.25">
      <c r="A55" s="57" t="s">
        <v>110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S55" s="7"/>
      <c r="T55" s="7"/>
      <c r="U55" s="7"/>
      <c r="V55" s="31"/>
      <c r="W55" s="31"/>
      <c r="X55" s="7"/>
    </row>
    <row r="56" spans="1:33" x14ac:dyDescent="0.25">
      <c r="A56" s="1">
        <f t="shared" ref="A56:A75" si="18">A9</f>
        <v>1996</v>
      </c>
      <c r="B56" s="111">
        <f t="shared" ref="B56:B74" si="19">C56/B$53</f>
        <v>332981390.18039662</v>
      </c>
      <c r="C56" s="111">
        <f t="shared" ref="C56:C73" si="20">D56/C$53</f>
        <v>537514583.75708663</v>
      </c>
      <c r="D56" s="63">
        <f t="shared" ref="D56:D72" si="21">E56/D$53</f>
        <v>638196686.7224803</v>
      </c>
      <c r="E56" s="63">
        <f t="shared" ref="E56:E71" si="22">F56/E$53</f>
        <v>695651065.78723347</v>
      </c>
      <c r="F56" s="63">
        <f t="shared" ref="F56:F70" si="23">G56/F$53</f>
        <v>735543501.78923154</v>
      </c>
      <c r="G56" s="63">
        <f t="shared" ref="G56:G69" si="24">H56/G$53</f>
        <v>765112081.75506675</v>
      </c>
      <c r="H56" s="63">
        <f t="shared" ref="H56:H68" si="25">I56/H$53</f>
        <v>784779641.71677577</v>
      </c>
      <c r="I56" s="63">
        <f t="shared" ref="I56:I67" si="26">J56/I$53</f>
        <v>799340394.54662752</v>
      </c>
      <c r="J56" s="63">
        <f t="shared" ref="J56:J66" si="27">K56/J$53</f>
        <v>809550678.99774432</v>
      </c>
      <c r="K56" s="63">
        <f t="shared" ref="K56:K65" si="28">L56/K$53</f>
        <v>818957352.28443897</v>
      </c>
      <c r="L56" s="63">
        <f t="shared" ref="L56:L64" si="29">M56/L$53</f>
        <v>823318229.47094882</v>
      </c>
      <c r="M56" s="63">
        <f t="shared" ref="M56:M63" si="30">N56/M$53</f>
        <v>829201595.43750608</v>
      </c>
      <c r="N56" s="63">
        <f t="shared" ref="N56:N62" si="31">O56/N$53</f>
        <v>833485451.73412621</v>
      </c>
      <c r="O56" s="63">
        <f t="shared" ref="O56:O61" si="32">P56/O$53</f>
        <v>836468170.67132843</v>
      </c>
      <c r="P56" s="63">
        <f>Q56/P$53</f>
        <v>838648868.52021825</v>
      </c>
      <c r="Q56" s="63">
        <f>R56/Q$53</f>
        <v>840986437.81019759</v>
      </c>
      <c r="R56" s="63">
        <f>S56/R$53</f>
        <v>845005966.06014132</v>
      </c>
      <c r="S56" s="63">
        <f>T56/S$53</f>
        <v>846070137.48676944</v>
      </c>
      <c r="T56" s="63">
        <f>U56/T$53</f>
        <v>848646488.5999999</v>
      </c>
      <c r="U56" s="11">
        <f>U9</f>
        <v>852402162.38</v>
      </c>
      <c r="V56" s="31"/>
      <c r="W56" s="31"/>
      <c r="X56" s="7"/>
    </row>
    <row r="57" spans="1:33" x14ac:dyDescent="0.25">
      <c r="A57" s="17">
        <f t="shared" si="18"/>
        <v>1997</v>
      </c>
      <c r="B57" s="111">
        <f t="shared" si="19"/>
        <v>388964379.16879845</v>
      </c>
      <c r="C57" s="111">
        <f t="shared" si="20"/>
        <v>627885018.59512925</v>
      </c>
      <c r="D57" s="63">
        <f t="shared" si="21"/>
        <v>745494449.11653769</v>
      </c>
      <c r="E57" s="63">
        <f t="shared" si="22"/>
        <v>812608430.68572807</v>
      </c>
      <c r="F57" s="63">
        <f t="shared" si="23"/>
        <v>859207841.52560067</v>
      </c>
      <c r="G57" s="63">
        <f t="shared" si="24"/>
        <v>893747682.75541592</v>
      </c>
      <c r="H57" s="63">
        <f t="shared" si="25"/>
        <v>916721880.34083295</v>
      </c>
      <c r="I57" s="63">
        <f t="shared" si="26"/>
        <v>933730681.28801286</v>
      </c>
      <c r="J57" s="63">
        <f t="shared" si="27"/>
        <v>945657584.9222188</v>
      </c>
      <c r="K57" s="63">
        <f t="shared" si="28"/>
        <v>956645769.07575572</v>
      </c>
      <c r="L57" s="63">
        <f t="shared" si="29"/>
        <v>961739825.19271529</v>
      </c>
      <c r="M57" s="63">
        <f t="shared" si="30"/>
        <v>968612340.76893115</v>
      </c>
      <c r="N57" s="63">
        <f t="shared" si="31"/>
        <v>973616426.74490857</v>
      </c>
      <c r="O57" s="63">
        <f t="shared" si="32"/>
        <v>977100619.7174207</v>
      </c>
      <c r="P57" s="63">
        <f>Q57/P$53</f>
        <v>979647950.61927271</v>
      </c>
      <c r="Q57" s="63">
        <f>R57/Q$53</f>
        <v>982378527.20539439</v>
      </c>
      <c r="R57" s="63">
        <f>S57/R$53</f>
        <v>987073844.59068072</v>
      </c>
      <c r="S57" s="63">
        <f>T57/S$53</f>
        <v>988316931.41323054</v>
      </c>
      <c r="T57" s="11">
        <f>T10</f>
        <v>991326435.37000012</v>
      </c>
      <c r="U57" s="7"/>
      <c r="V57" s="31"/>
      <c r="W57" s="31"/>
      <c r="X57" s="7"/>
    </row>
    <row r="58" spans="1:33" x14ac:dyDescent="0.25">
      <c r="A58" s="17">
        <f t="shared" si="18"/>
        <v>1998</v>
      </c>
      <c r="B58" s="63">
        <f t="shared" si="19"/>
        <v>487383228.60564363</v>
      </c>
      <c r="C58" s="63">
        <f t="shared" si="20"/>
        <v>786757461.46719837</v>
      </c>
      <c r="D58" s="63">
        <f t="shared" si="21"/>
        <v>934125362.05616128</v>
      </c>
      <c r="E58" s="63">
        <f t="shared" si="22"/>
        <v>1018221055.0645343</v>
      </c>
      <c r="F58" s="63">
        <f t="shared" si="23"/>
        <v>1076611418.0967278</v>
      </c>
      <c r="G58" s="63">
        <f t="shared" si="24"/>
        <v>1119890803.6540573</v>
      </c>
      <c r="H58" s="63">
        <f t="shared" si="25"/>
        <v>1148678114.7639656</v>
      </c>
      <c r="I58" s="63">
        <f t="shared" si="26"/>
        <v>1169990617.3074176</v>
      </c>
      <c r="J58" s="63">
        <f t="shared" si="27"/>
        <v>1184935360.6099529</v>
      </c>
      <c r="K58" s="63">
        <f t="shared" si="28"/>
        <v>1198703862.1902483</v>
      </c>
      <c r="L58" s="63">
        <f t="shared" si="29"/>
        <v>1205086856.7520835</v>
      </c>
      <c r="M58" s="63">
        <f t="shared" si="30"/>
        <v>1213698310.6783698</v>
      </c>
      <c r="N58" s="63">
        <f t="shared" si="31"/>
        <v>1219968570.1412129</v>
      </c>
      <c r="O58" s="63">
        <f t="shared" si="32"/>
        <v>1224334361.2289648</v>
      </c>
      <c r="P58" s="63">
        <f>Q58/P$53</f>
        <v>1227526237.9810843</v>
      </c>
      <c r="Q58" s="63">
        <f>R58/Q$53</f>
        <v>1230947726.6925774</v>
      </c>
      <c r="R58" s="63">
        <f>S58/R$53</f>
        <v>1236831090.4891782</v>
      </c>
      <c r="S58" s="11">
        <f>S11</f>
        <v>1238388712.99</v>
      </c>
      <c r="T58" s="7"/>
      <c r="U58" s="7"/>
      <c r="V58" s="31"/>
      <c r="W58" s="31"/>
      <c r="X58" s="7"/>
    </row>
    <row r="59" spans="1:33" x14ac:dyDescent="0.25">
      <c r="A59" s="17">
        <f t="shared" si="18"/>
        <v>1999</v>
      </c>
      <c r="B59" s="63">
        <f t="shared" si="19"/>
        <v>529010779.24961197</v>
      </c>
      <c r="C59" s="63">
        <f t="shared" si="20"/>
        <v>853954656.91736317</v>
      </c>
      <c r="D59" s="63">
        <f t="shared" si="21"/>
        <v>1013909294.9749353</v>
      </c>
      <c r="E59" s="63">
        <f t="shared" si="22"/>
        <v>1105187626.8477206</v>
      </c>
      <c r="F59" s="63">
        <f t="shared" si="23"/>
        <v>1168565128.6478939</v>
      </c>
      <c r="G59" s="63">
        <f t="shared" si="24"/>
        <v>1215541019.7646818</v>
      </c>
      <c r="H59" s="63">
        <f t="shared" si="25"/>
        <v>1246787063.9224215</v>
      </c>
      <c r="I59" s="63">
        <f t="shared" si="26"/>
        <v>1269919873.8275268</v>
      </c>
      <c r="J59" s="63">
        <f t="shared" si="27"/>
        <v>1286141052.2270741</v>
      </c>
      <c r="K59" s="63">
        <f t="shared" si="28"/>
        <v>1301085525.7390771</v>
      </c>
      <c r="L59" s="63">
        <f t="shared" si="29"/>
        <v>1308013693.8189738</v>
      </c>
      <c r="M59" s="63">
        <f t="shared" si="30"/>
        <v>1317360654.6593165</v>
      </c>
      <c r="N59" s="63">
        <f t="shared" si="31"/>
        <v>1324166458.9009309</v>
      </c>
      <c r="O59" s="63">
        <f t="shared" si="32"/>
        <v>1328905133.5409672</v>
      </c>
      <c r="P59" s="63">
        <f>Q59/P$53</f>
        <v>1332369629.4628689</v>
      </c>
      <c r="Q59" s="63">
        <f>R59/Q$53</f>
        <v>1336083348.5718317</v>
      </c>
      <c r="R59" s="62">
        <f>R12</f>
        <v>1342469212.27</v>
      </c>
      <c r="S59" s="7"/>
      <c r="T59" s="7"/>
      <c r="U59" s="7"/>
      <c r="V59" s="31"/>
      <c r="W59" s="31"/>
      <c r="X59" s="7"/>
    </row>
    <row r="60" spans="1:33" x14ac:dyDescent="0.25">
      <c r="A60" s="17">
        <f t="shared" si="18"/>
        <v>2000</v>
      </c>
      <c r="B60" s="63">
        <f t="shared" si="19"/>
        <v>491101304.97036898</v>
      </c>
      <c r="C60" s="63">
        <f t="shared" si="20"/>
        <v>792759359.2563802</v>
      </c>
      <c r="D60" s="63">
        <f t="shared" si="21"/>
        <v>941251478.0702225</v>
      </c>
      <c r="E60" s="63">
        <f t="shared" si="22"/>
        <v>1025988707.7384517</v>
      </c>
      <c r="F60" s="63">
        <f t="shared" si="23"/>
        <v>1084824510.4492712</v>
      </c>
      <c r="G60" s="63">
        <f t="shared" si="24"/>
        <v>1128434059.3176789</v>
      </c>
      <c r="H60" s="63">
        <f t="shared" si="25"/>
        <v>1157440978.7660768</v>
      </c>
      <c r="I60" s="63">
        <f t="shared" si="26"/>
        <v>1178916066.9450803</v>
      </c>
      <c r="J60" s="63">
        <f t="shared" si="27"/>
        <v>1193974818.4727426</v>
      </c>
      <c r="K60" s="63">
        <f t="shared" si="28"/>
        <v>1207848355.1410317</v>
      </c>
      <c r="L60" s="63">
        <f t="shared" si="29"/>
        <v>1214280043.3382316</v>
      </c>
      <c r="M60" s="63">
        <f t="shared" si="30"/>
        <v>1222957191.0377748</v>
      </c>
      <c r="N60" s="63">
        <f t="shared" si="31"/>
        <v>1229275284.1193008</v>
      </c>
      <c r="O60" s="63">
        <f t="shared" si="32"/>
        <v>1233674380.3019021</v>
      </c>
      <c r="P60" s="63">
        <f>Q60/P$53</f>
        <v>1236890606.7665572</v>
      </c>
      <c r="Q60" s="11">
        <f>Q13</f>
        <v>1240338196.8199999</v>
      </c>
      <c r="S60" s="7"/>
      <c r="T60" s="7"/>
      <c r="U60" s="7"/>
      <c r="V60" s="31"/>
      <c r="W60" s="31"/>
      <c r="X60" s="7"/>
    </row>
    <row r="61" spans="1:33" x14ac:dyDescent="0.25">
      <c r="A61" s="17">
        <f t="shared" si="18"/>
        <v>2001</v>
      </c>
      <c r="B61" s="63">
        <f t="shared" si="19"/>
        <v>507290853.5207541</v>
      </c>
      <c r="C61" s="63">
        <f t="shared" si="20"/>
        <v>818893307.59974241</v>
      </c>
      <c r="D61" s="63">
        <f t="shared" si="21"/>
        <v>972280588.25199878</v>
      </c>
      <c r="E61" s="63">
        <f t="shared" si="22"/>
        <v>1059811248.6846234</v>
      </c>
      <c r="F61" s="63">
        <f t="shared" si="23"/>
        <v>1120586620.8383405</v>
      </c>
      <c r="G61" s="63">
        <f t="shared" si="24"/>
        <v>1165633793.4750421</v>
      </c>
      <c r="H61" s="63">
        <f t="shared" si="25"/>
        <v>1195596949.2965753</v>
      </c>
      <c r="I61" s="63">
        <f t="shared" si="26"/>
        <v>1217779980.9878013</v>
      </c>
      <c r="J61" s="63">
        <f t="shared" si="27"/>
        <v>1233335156.3418674</v>
      </c>
      <c r="K61" s="63">
        <f t="shared" si="28"/>
        <v>1247666045.2777717</v>
      </c>
      <c r="L61" s="63">
        <f t="shared" si="29"/>
        <v>1254309759.2368169</v>
      </c>
      <c r="M61" s="63">
        <f t="shared" si="30"/>
        <v>1263272956.0723302</v>
      </c>
      <c r="N61" s="63">
        <f t="shared" si="31"/>
        <v>1269799330.1615708</v>
      </c>
      <c r="O61" s="63">
        <f t="shared" si="32"/>
        <v>1274343446.0794184</v>
      </c>
      <c r="P61" s="11">
        <f>P14</f>
        <v>1277665698.03</v>
      </c>
      <c r="Q61" s="7"/>
      <c r="S61" s="7"/>
      <c r="T61" s="7"/>
      <c r="U61" s="7"/>
      <c r="V61" s="31"/>
      <c r="W61" s="31"/>
      <c r="X61" s="7"/>
    </row>
    <row r="62" spans="1:33" x14ac:dyDescent="0.25">
      <c r="A62" s="17">
        <f t="shared" si="18"/>
        <v>2002</v>
      </c>
      <c r="B62" s="63">
        <f t="shared" si="19"/>
        <v>476280863.63692755</v>
      </c>
      <c r="C62" s="63">
        <f t="shared" si="20"/>
        <v>768835489.66677547</v>
      </c>
      <c r="D62" s="63">
        <f t="shared" si="21"/>
        <v>912846417.50619805</v>
      </c>
      <c r="E62" s="63">
        <f t="shared" si="22"/>
        <v>995026449.44689918</v>
      </c>
      <c r="F62" s="63">
        <f t="shared" si="23"/>
        <v>1052086706.9625491</v>
      </c>
      <c r="G62" s="63">
        <f t="shared" si="24"/>
        <v>1094380208.0948975</v>
      </c>
      <c r="H62" s="63">
        <f t="shared" si="25"/>
        <v>1122511757.5461116</v>
      </c>
      <c r="I62" s="63">
        <f t="shared" si="26"/>
        <v>1143338771.1195984</v>
      </c>
      <c r="J62" s="63">
        <f t="shared" si="27"/>
        <v>1157943080.0682819</v>
      </c>
      <c r="K62" s="63">
        <f t="shared" si="28"/>
        <v>1171397941.5381982</v>
      </c>
      <c r="L62" s="63">
        <f t="shared" si="29"/>
        <v>1177635534.4303422</v>
      </c>
      <c r="M62" s="63">
        <f t="shared" si="30"/>
        <v>1186050823.4112847</v>
      </c>
      <c r="N62" s="63">
        <f t="shared" si="31"/>
        <v>1192178249.2579525</v>
      </c>
      <c r="O62" s="11">
        <f>O15</f>
        <v>1196444589.6399999</v>
      </c>
      <c r="P62" s="7"/>
      <c r="Q62" s="7"/>
      <c r="S62" s="7"/>
      <c r="T62" s="7"/>
      <c r="U62" s="7"/>
      <c r="V62" s="31"/>
      <c r="W62" s="31"/>
      <c r="X62" s="7"/>
    </row>
    <row r="63" spans="1:33" x14ac:dyDescent="0.25">
      <c r="A63" s="17">
        <f t="shared" si="18"/>
        <v>2003</v>
      </c>
      <c r="B63" s="63">
        <f t="shared" si="19"/>
        <v>325836219.33521819</v>
      </c>
      <c r="C63" s="63">
        <f t="shared" si="20"/>
        <v>525980505.13894337</v>
      </c>
      <c r="D63" s="63">
        <f t="shared" si="21"/>
        <v>624502154.55361497</v>
      </c>
      <c r="E63" s="63">
        <f t="shared" si="22"/>
        <v>680723667.85971749</v>
      </c>
      <c r="F63" s="63">
        <f t="shared" si="23"/>
        <v>719760085.24004364</v>
      </c>
      <c r="G63" s="63">
        <f t="shared" si="24"/>
        <v>748694177.62868798</v>
      </c>
      <c r="H63" s="63">
        <f t="shared" si="25"/>
        <v>767939707.77077842</v>
      </c>
      <c r="I63" s="63">
        <f t="shared" si="26"/>
        <v>782188013.50997639</v>
      </c>
      <c r="J63" s="63">
        <f t="shared" si="27"/>
        <v>792179203.95484388</v>
      </c>
      <c r="K63" s="63">
        <f t="shared" si="28"/>
        <v>801384027.25922632</v>
      </c>
      <c r="L63" s="63">
        <f t="shared" si="29"/>
        <v>805651328.00737846</v>
      </c>
      <c r="M63" s="63">
        <f t="shared" si="30"/>
        <v>811408447.71448863</v>
      </c>
      <c r="N63" s="11">
        <f>N16</f>
        <v>815600380.29999995</v>
      </c>
      <c r="O63" s="7"/>
      <c r="P63" s="7"/>
      <c r="Q63" s="7"/>
      <c r="S63" s="7"/>
      <c r="T63" s="7"/>
      <c r="U63" s="7"/>
      <c r="V63" s="31"/>
      <c r="W63" s="31"/>
      <c r="X63" s="7"/>
    </row>
    <row r="64" spans="1:33" x14ac:dyDescent="0.25">
      <c r="A64" s="17">
        <f t="shared" si="18"/>
        <v>2004</v>
      </c>
      <c r="B64" s="63">
        <f t="shared" si="19"/>
        <v>240884139.12890854</v>
      </c>
      <c r="C64" s="63">
        <f t="shared" si="20"/>
        <v>388846769.20656973</v>
      </c>
      <c r="D64" s="63">
        <f t="shared" si="21"/>
        <v>461681835.71094036</v>
      </c>
      <c r="E64" s="63">
        <f t="shared" si="22"/>
        <v>503245265.52514458</v>
      </c>
      <c r="F64" s="63">
        <f t="shared" si="23"/>
        <v>532104100.8459124</v>
      </c>
      <c r="G64" s="63">
        <f t="shared" si="24"/>
        <v>553494491.24123073</v>
      </c>
      <c r="H64" s="63">
        <f t="shared" si="25"/>
        <v>567722323.15572846</v>
      </c>
      <c r="I64" s="63">
        <f t="shared" si="26"/>
        <v>578255807.95074189</v>
      </c>
      <c r="J64" s="63">
        <f t="shared" si="27"/>
        <v>585642093.34926248</v>
      </c>
      <c r="K64" s="63">
        <f t="shared" si="28"/>
        <v>592447033.39562595</v>
      </c>
      <c r="L64" s="63">
        <f t="shared" si="29"/>
        <v>595601762.69251013</v>
      </c>
      <c r="M64" s="11">
        <f>M17</f>
        <v>599857885.06999993</v>
      </c>
      <c r="N64" s="7"/>
      <c r="O64" s="7"/>
      <c r="P64" s="7"/>
      <c r="Q64" s="7"/>
      <c r="S64" s="7"/>
      <c r="T64" s="7"/>
      <c r="U64" s="7"/>
      <c r="V64" s="31"/>
      <c r="W64" s="31"/>
      <c r="X64" s="7"/>
    </row>
    <row r="65" spans="1:24" x14ac:dyDescent="0.25">
      <c r="A65" s="17">
        <f t="shared" si="18"/>
        <v>2005</v>
      </c>
      <c r="B65" s="63">
        <f t="shared" si="19"/>
        <v>131312548.43940541</v>
      </c>
      <c r="C65" s="63">
        <f t="shared" si="20"/>
        <v>211971034.71233159</v>
      </c>
      <c r="D65" s="63">
        <f t="shared" si="21"/>
        <v>251675426.34653649</v>
      </c>
      <c r="E65" s="63">
        <f t="shared" si="22"/>
        <v>274332791.46207356</v>
      </c>
      <c r="F65" s="63">
        <f t="shared" si="23"/>
        <v>290064533.80371106</v>
      </c>
      <c r="G65" s="63">
        <f t="shared" si="24"/>
        <v>301725022.05785841</v>
      </c>
      <c r="H65" s="63">
        <f t="shared" si="25"/>
        <v>309481003.31181878</v>
      </c>
      <c r="I65" s="63">
        <f t="shared" si="26"/>
        <v>315223094.66487688</v>
      </c>
      <c r="J65" s="63">
        <f t="shared" si="27"/>
        <v>319249561.34171134</v>
      </c>
      <c r="K65" s="63">
        <f t="shared" si="28"/>
        <v>322959120.72862953</v>
      </c>
      <c r="L65" s="11">
        <f>L18</f>
        <v>324678850.15999997</v>
      </c>
      <c r="M65" s="7"/>
      <c r="N65" s="7"/>
      <c r="O65" s="7"/>
      <c r="P65" s="7"/>
      <c r="Q65" s="7"/>
      <c r="S65" s="7"/>
      <c r="T65" s="7"/>
      <c r="U65" s="7"/>
      <c r="V65" s="31"/>
      <c r="W65" s="31"/>
      <c r="X65" s="7"/>
    </row>
    <row r="66" spans="1:24" x14ac:dyDescent="0.25">
      <c r="A66" s="17">
        <f t="shared" si="18"/>
        <v>2006</v>
      </c>
      <c r="B66" s="63">
        <f t="shared" si="19"/>
        <v>110858580.18740746</v>
      </c>
      <c r="C66" s="63">
        <f t="shared" si="20"/>
        <v>178953254.87425402</v>
      </c>
      <c r="D66" s="63">
        <f t="shared" si="21"/>
        <v>212473071.03869206</v>
      </c>
      <c r="E66" s="63">
        <f t="shared" si="22"/>
        <v>231601199.74647659</v>
      </c>
      <c r="F66" s="63">
        <f t="shared" si="23"/>
        <v>244882478.95851493</v>
      </c>
      <c r="G66" s="63">
        <f t="shared" si="24"/>
        <v>254726665.11977294</v>
      </c>
      <c r="H66" s="63">
        <f t="shared" si="25"/>
        <v>261274531.86969718</v>
      </c>
      <c r="I66" s="63">
        <f t="shared" si="26"/>
        <v>266122203.33957312</v>
      </c>
      <c r="J66" s="63">
        <f t="shared" si="27"/>
        <v>269521485.31430197</v>
      </c>
      <c r="K66" s="11">
        <f>K19</f>
        <v>272653223.23000002</v>
      </c>
      <c r="L66" s="7"/>
      <c r="M66" s="7"/>
      <c r="N66" s="7"/>
      <c r="O66" s="7"/>
      <c r="P66" s="7"/>
      <c r="Q66" s="7"/>
      <c r="S66" s="7"/>
      <c r="T66" s="7"/>
      <c r="U66" s="7"/>
      <c r="V66" s="31"/>
      <c r="W66" s="31"/>
      <c r="X66" s="7"/>
    </row>
    <row r="67" spans="1:24" x14ac:dyDescent="0.25">
      <c r="A67" s="17">
        <f t="shared" si="18"/>
        <v>2007</v>
      </c>
      <c r="B67" s="63">
        <f t="shared" si="19"/>
        <v>97330753.605484471</v>
      </c>
      <c r="C67" s="63">
        <f t="shared" si="20"/>
        <v>157115986.21974745</v>
      </c>
      <c r="D67" s="63">
        <f t="shared" si="21"/>
        <v>186545453.5869711</v>
      </c>
      <c r="E67" s="63">
        <f t="shared" si="22"/>
        <v>203339419.18750519</v>
      </c>
      <c r="F67" s="63">
        <f t="shared" si="23"/>
        <v>215000013.36404312</v>
      </c>
      <c r="G67" s="63">
        <f t="shared" si="24"/>
        <v>223642935.32902026</v>
      </c>
      <c r="H67" s="63">
        <f t="shared" si="25"/>
        <v>229391780.42699143</v>
      </c>
      <c r="I67" s="63">
        <f t="shared" si="26"/>
        <v>233647901.30277032</v>
      </c>
      <c r="J67" s="11">
        <f>J20</f>
        <v>236632376.44</v>
      </c>
      <c r="K67" s="7"/>
      <c r="L67" s="7"/>
      <c r="M67" s="7"/>
      <c r="N67" s="7"/>
      <c r="O67" s="7"/>
      <c r="P67" s="7"/>
      <c r="Q67" s="7"/>
      <c r="S67" s="7"/>
      <c r="T67" s="7"/>
      <c r="U67" s="7"/>
      <c r="V67" s="31"/>
      <c r="W67" s="31"/>
      <c r="X67" s="7"/>
    </row>
    <row r="68" spans="1:24" x14ac:dyDescent="0.25">
      <c r="A68" s="17">
        <f t="shared" si="18"/>
        <v>2008</v>
      </c>
      <c r="B68" s="63">
        <f t="shared" si="19"/>
        <v>87398840.079948515</v>
      </c>
      <c r="C68" s="63">
        <f t="shared" si="20"/>
        <v>141083413.46336123</v>
      </c>
      <c r="D68" s="63">
        <f t="shared" si="21"/>
        <v>167509812.28167993</v>
      </c>
      <c r="E68" s="63">
        <f t="shared" si="22"/>
        <v>182590072.72822523</v>
      </c>
      <c r="F68" s="63">
        <f t="shared" si="23"/>
        <v>193060785.91928175</v>
      </c>
      <c r="G68" s="63">
        <f t="shared" si="24"/>
        <v>200821758.95872143</v>
      </c>
      <c r="H68" s="63">
        <f t="shared" si="25"/>
        <v>205983975.16223046</v>
      </c>
      <c r="I68" s="11">
        <f>I21</f>
        <v>209805789.06999999</v>
      </c>
      <c r="J68" s="7"/>
      <c r="K68" s="7"/>
      <c r="L68" s="7"/>
      <c r="M68" s="7"/>
      <c r="N68" s="7"/>
      <c r="O68" s="7"/>
      <c r="P68" s="7"/>
      <c r="Q68" s="7"/>
      <c r="S68" s="7"/>
      <c r="T68" s="7"/>
      <c r="U68" s="7"/>
      <c r="V68" s="31"/>
      <c r="W68" s="31"/>
      <c r="X68" s="7"/>
    </row>
    <row r="69" spans="1:24" x14ac:dyDescent="0.25">
      <c r="A69" s="17">
        <f t="shared" si="18"/>
        <v>2009</v>
      </c>
      <c r="B69" s="63">
        <f t="shared" si="19"/>
        <v>76680778.183837116</v>
      </c>
      <c r="C69" s="63">
        <f t="shared" si="20"/>
        <v>123781802.1761663</v>
      </c>
      <c r="D69" s="63">
        <f t="shared" si="21"/>
        <v>146967428.2569181</v>
      </c>
      <c r="E69" s="63">
        <f t="shared" si="22"/>
        <v>160198337.33074838</v>
      </c>
      <c r="F69" s="63">
        <f t="shared" si="23"/>
        <v>169384985.97385994</v>
      </c>
      <c r="G69" s="63">
        <f t="shared" si="24"/>
        <v>176194200.50787008</v>
      </c>
      <c r="H69" s="11">
        <f>H22</f>
        <v>180723353.93000001</v>
      </c>
      <c r="I69" s="7"/>
      <c r="J69" s="7"/>
      <c r="K69" s="7"/>
      <c r="L69" s="7"/>
      <c r="M69" s="7"/>
      <c r="N69" s="7"/>
      <c r="O69" s="7"/>
      <c r="P69" s="7"/>
      <c r="Q69" s="7"/>
      <c r="S69" s="7"/>
      <c r="T69" s="7"/>
      <c r="U69" s="7"/>
      <c r="V69" s="31"/>
      <c r="W69" s="31"/>
      <c r="X69" s="7"/>
    </row>
    <row r="70" spans="1:24" x14ac:dyDescent="0.25">
      <c r="A70" s="17">
        <f t="shared" si="18"/>
        <v>2010</v>
      </c>
      <c r="B70" s="63">
        <f t="shared" si="19"/>
        <v>69829410.671290129</v>
      </c>
      <c r="C70" s="63">
        <f t="shared" si="20"/>
        <v>112721995.03595836</v>
      </c>
      <c r="D70" s="63">
        <f t="shared" si="21"/>
        <v>133836003.57382497</v>
      </c>
      <c r="E70" s="63">
        <f t="shared" si="22"/>
        <v>145884741.27776414</v>
      </c>
      <c r="F70" s="63">
        <f t="shared" si="23"/>
        <v>154250570.05501959</v>
      </c>
      <c r="G70" s="11">
        <f>G23</f>
        <v>160451386.60000002</v>
      </c>
      <c r="H70" s="7"/>
      <c r="I70" s="7"/>
      <c r="J70" s="7"/>
      <c r="K70" s="7"/>
      <c r="L70" s="7"/>
      <c r="M70" s="7"/>
      <c r="N70" s="7"/>
      <c r="O70" s="7"/>
      <c r="P70" s="7"/>
      <c r="Q70" s="7"/>
      <c r="S70" s="7"/>
      <c r="T70" s="7"/>
      <c r="U70" s="7"/>
      <c r="V70" s="31"/>
      <c r="W70" s="31"/>
      <c r="X70" s="7"/>
    </row>
    <row r="71" spans="1:24" x14ac:dyDescent="0.25">
      <c r="A71" s="17">
        <f t="shared" si="18"/>
        <v>2011</v>
      </c>
      <c r="B71" s="63">
        <f t="shared" si="19"/>
        <v>68103035.683678031</v>
      </c>
      <c r="C71" s="63">
        <f t="shared" si="20"/>
        <v>109935197.45435107</v>
      </c>
      <c r="D71" s="63">
        <f t="shared" si="21"/>
        <v>130527209.66033417</v>
      </c>
      <c r="E71" s="63">
        <f t="shared" si="22"/>
        <v>142278069.44715479</v>
      </c>
      <c r="F71" s="11">
        <f>F24</f>
        <v>150437071.94</v>
      </c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S71" s="7"/>
      <c r="T71" s="7"/>
      <c r="U71" s="7"/>
      <c r="V71" s="31"/>
      <c r="W71" s="31"/>
      <c r="X71" s="7"/>
    </row>
    <row r="72" spans="1:24" x14ac:dyDescent="0.25">
      <c r="A72" s="17">
        <f t="shared" si="18"/>
        <v>2012</v>
      </c>
      <c r="B72" s="63">
        <f t="shared" si="19"/>
        <v>71783106.156396389</v>
      </c>
      <c r="C72" s="63">
        <f t="shared" si="20"/>
        <v>115875744.30373596</v>
      </c>
      <c r="D72" s="63">
        <f t="shared" si="21"/>
        <v>137580483.06195492</v>
      </c>
      <c r="E72" s="11">
        <f>E25</f>
        <v>149966321.76999998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S72" s="7"/>
      <c r="T72" s="7"/>
      <c r="U72" s="7"/>
      <c r="V72" s="31"/>
      <c r="W72" s="31"/>
      <c r="X72" s="7"/>
    </row>
    <row r="73" spans="1:24" x14ac:dyDescent="0.25">
      <c r="A73" s="17">
        <f t="shared" si="18"/>
        <v>2013</v>
      </c>
      <c r="B73" s="63">
        <f t="shared" si="19"/>
        <v>68467587.422989532</v>
      </c>
      <c r="C73" s="63">
        <f t="shared" si="20"/>
        <v>110523674.41490367</v>
      </c>
      <c r="D73" s="11">
        <f>D26</f>
        <v>131225914.50999999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S73" s="7"/>
      <c r="T73" s="7"/>
      <c r="U73" s="7"/>
      <c r="V73" s="31"/>
      <c r="W73" s="31"/>
      <c r="X73" s="7"/>
    </row>
    <row r="74" spans="1:24" x14ac:dyDescent="0.25">
      <c r="A74" s="17">
        <f t="shared" si="18"/>
        <v>2014</v>
      </c>
      <c r="B74" s="63">
        <f t="shared" si="19"/>
        <v>69833233.952208087</v>
      </c>
      <c r="C74" s="11">
        <f>C27</f>
        <v>112728166.76000001</v>
      </c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S74" s="7"/>
      <c r="T74" s="7"/>
      <c r="U74" s="7"/>
      <c r="V74" s="31"/>
      <c r="W74" s="31"/>
      <c r="X74" s="7"/>
    </row>
    <row r="75" spans="1:24" x14ac:dyDescent="0.25">
      <c r="A75" s="17">
        <f t="shared" si="18"/>
        <v>2015</v>
      </c>
      <c r="B75" s="11">
        <f>B28</f>
        <v>58675317.569999993</v>
      </c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S75" s="7"/>
      <c r="T75" s="7"/>
      <c r="U75" s="7"/>
      <c r="V75" s="31"/>
      <c r="W75" s="31"/>
      <c r="X75" s="7"/>
    </row>
    <row r="76" spans="1:24" x14ac:dyDescent="0.25">
      <c r="A76" s="1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S76" s="7"/>
      <c r="T76" s="7"/>
      <c r="U76" s="7"/>
      <c r="V76" s="31"/>
      <c r="W76" s="31"/>
      <c r="X76" s="7"/>
    </row>
    <row r="77" spans="1:24" x14ac:dyDescent="0.25">
      <c r="A77" s="57" t="s">
        <v>111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S77" s="7"/>
      <c r="T77" s="7"/>
      <c r="U77" s="7"/>
      <c r="V77" s="31"/>
      <c r="W77" s="31"/>
      <c r="X77" s="7"/>
    </row>
    <row r="78" spans="1:24" x14ac:dyDescent="0.25">
      <c r="A78" s="17">
        <f t="shared" ref="A78:A97" si="33">A9</f>
        <v>1996</v>
      </c>
      <c r="B78" s="64"/>
      <c r="C78" s="55">
        <f t="shared" ref="C78:C96" si="34">IF(ABS(C56-B56)&lt;0.001,0,((C9-B9)-(C56-B56))/SQRT(C56-B56))</f>
        <v>-533.26199037323101</v>
      </c>
      <c r="D78" s="55">
        <f t="shared" ref="D78:D95" si="35">IF(ABS(D56-C56)&lt;0.001,0,((D9-C9)-(D56-C56))/SQRT(D56-C56))</f>
        <v>-1971.7672266487677</v>
      </c>
      <c r="E78" s="55">
        <f t="shared" ref="E78:E94" si="36">IF(ABS(E56-D56)&lt;0.001,0,((E9-D9)-(E56-D56))/SQRT(E56-D56))</f>
        <v>-2317.9556131070699</v>
      </c>
      <c r="F78" s="55">
        <f t="shared" ref="F78:F93" si="37">IF(ABS(F56-E56)&lt;0.001,0,((F9-E9)-(F56-E56))/SQRT(F56-E56))</f>
        <v>-1173.2553676105638</v>
      </c>
      <c r="G78" s="55">
        <f t="shared" ref="G78:G92" si="38">IF(ABS(G56-F56)&lt;0.001,0,((G9-F9)-(G56-F56))/SQRT(G56-F56))</f>
        <v>-323.813907582654</v>
      </c>
      <c r="H78" s="55">
        <f t="shared" ref="H78:H91" si="39">IF(ABS(H56-G56)&lt;0.001,0,((H9-G9)-(H56-G56))/SQRT(H56-G56))</f>
        <v>-810.38469602297175</v>
      </c>
      <c r="I78" s="55">
        <f t="shared" ref="I78:I90" si="40">IF(ABS(I56-H56)&lt;0.001,0,((I9-H9)-(I56-H56))/SQRT(I56-H56))</f>
        <v>1485.2377459202139</v>
      </c>
      <c r="J78" s="55">
        <f t="shared" ref="J78:J89" si="41">IF(ABS(J56-I56)&lt;0.001,0,((J9-I9)-(J56-I56))/SQRT(J56-I56))</f>
        <v>2422.447164008252</v>
      </c>
      <c r="K78" s="55">
        <f t="shared" ref="K78:K88" si="42">IF(ABS(K56-J56)&lt;0.001,0,((K9-J9)-(K56-J56))/SQRT(K56-J56))</f>
        <v>1127.194838153875</v>
      </c>
      <c r="L78" s="55">
        <f t="shared" ref="L78:L87" si="43">IF(ABS(L56-K56)&lt;0.001,0,((L9-K9)-(L56-K56))/SQRT(L56-K56))</f>
        <v>-288.86164607053593</v>
      </c>
      <c r="M78" s="55">
        <f t="shared" ref="M78:M86" si="44">IF(ABS(M56-L56)&lt;0.001,0,((M9-L9)-(M56-L56))/SQRT(M56-L56))</f>
        <v>1131.3314921599867</v>
      </c>
      <c r="N78" s="55">
        <f t="shared" ref="N78:N85" si="45">IF(ABS(N56-M56)&lt;0.001,0,((N9-M9)-(N56-M56))/SQRT(N56-M56))</f>
        <v>3054.0458464479584</v>
      </c>
      <c r="O78" s="55">
        <f t="shared" ref="O78:O84" si="46">IF(ABS(O56-N56)&lt;0.001,0,((O9-N9)-(O56-N56))/SQRT(O56-N56))</f>
        <v>-422.24533184025745</v>
      </c>
      <c r="P78" s="55">
        <f t="shared" ref="P78:P83" si="47">IF(ABS(P56-O56)&lt;0.001,0,((P9-O9)-(P56-O56))/SQRT(P56-O56))</f>
        <v>-443.61869965548345</v>
      </c>
      <c r="Q78" s="55">
        <f>IF(ABS(Q56-P56)&lt;0.001,0,((Q9-P9)-(Q56-P56))/SQRT(Q56-P56))</f>
        <v>-744.4331042633562</v>
      </c>
      <c r="R78" s="55">
        <f>IF(ABS(R56-Q56)&lt;0.001,0,((R9-Q9)-(R56-Q56))/SQRT(R56-Q56))</f>
        <v>-275.85551290717973</v>
      </c>
      <c r="S78" s="55">
        <f>IF(ABS(S56-R56)&lt;0.001,0,((S9-R9)-(S56-R56))/SQRT(S56-R56))</f>
        <v>1757.8826305044772</v>
      </c>
      <c r="T78" s="55">
        <f>IF(ABS(T56-S56)&lt;0.001,0,((T9-S9)-(T56-S56))/SQRT(T56-S56))</f>
        <v>-519.40442809644674</v>
      </c>
      <c r="U78" s="55">
        <f>IF(ABS(U56-T56)&lt;0.001,0,((U9-T9)-(U56-T56))/SQRT(U56-T56))</f>
        <v>0</v>
      </c>
      <c r="V78" s="31"/>
      <c r="W78" s="31"/>
      <c r="X78" s="7"/>
    </row>
    <row r="79" spans="1:24" x14ac:dyDescent="0.25">
      <c r="A79" s="17">
        <f t="shared" si="33"/>
        <v>1997</v>
      </c>
      <c r="B79" s="55">
        <f>IF(B57=0,0,((B10)-(B57))/SQRT(B57))</f>
        <v>2283.7937661134761</v>
      </c>
      <c r="C79" s="55">
        <f t="shared" si="34"/>
        <v>-2470.3978838162293</v>
      </c>
      <c r="D79" s="55">
        <f t="shared" si="35"/>
        <v>-2457.7331576927327</v>
      </c>
      <c r="E79" s="55">
        <f t="shared" si="36"/>
        <v>-938.48662682448798</v>
      </c>
      <c r="F79" s="55">
        <f t="shared" si="37"/>
        <v>-132.22384686915126</v>
      </c>
      <c r="G79" s="55">
        <f t="shared" si="38"/>
        <v>68.13584337872409</v>
      </c>
      <c r="H79" s="55">
        <f t="shared" si="39"/>
        <v>501.82138910411118</v>
      </c>
      <c r="I79" s="55">
        <f t="shared" si="40"/>
        <v>1192.1894716779041</v>
      </c>
      <c r="J79" s="55">
        <f t="shared" si="41"/>
        <v>914.3923295174219</v>
      </c>
      <c r="K79" s="55">
        <f t="shared" si="42"/>
        <v>-1740.6278014756299</v>
      </c>
      <c r="L79" s="55">
        <f t="shared" si="43"/>
        <v>7333.28195440325</v>
      </c>
      <c r="M79" s="55">
        <f t="shared" si="44"/>
        <v>1080.7908501452393</v>
      </c>
      <c r="N79" s="55">
        <f t="shared" si="45"/>
        <v>-174.44159727480218</v>
      </c>
      <c r="O79" s="55">
        <f t="shared" si="46"/>
        <v>2323.3102956063863</v>
      </c>
      <c r="P79" s="55">
        <f t="shared" si="47"/>
        <v>-44.259284884975884</v>
      </c>
      <c r="Q79" s="55">
        <f>IF(ABS(Q57-P57)&lt;0.001,0,((Q10-P10)-(Q57-P57))/SQRT(Q57-P57))</f>
        <v>-410.35994805557749</v>
      </c>
      <c r="R79" s="55">
        <f>IF(ABS(R57-Q57)&lt;0.001,0,((R10-Q10)-(R57-Q57))/SQRT(R57-Q57))</f>
        <v>307.30813893051112</v>
      </c>
      <c r="S79" s="55">
        <f>IF(ABS(S57-R57)&lt;0.001,0,((S10-R10)-(S57-R57))/SQRT(S57-R57))</f>
        <v>-721.23930397283334</v>
      </c>
      <c r="T79" s="55">
        <f>IF(ABS(T57-S57)&lt;0.001,0,((T10-S10)-(T57-S57))/SQRT(T57-S57))</f>
        <v>480.57448958887016</v>
      </c>
      <c r="U79" s="55"/>
      <c r="V79" s="31"/>
      <c r="W79" s="31"/>
      <c r="X79" s="7"/>
    </row>
    <row r="80" spans="1:24" x14ac:dyDescent="0.25">
      <c r="A80" s="17">
        <f t="shared" si="33"/>
        <v>1998</v>
      </c>
      <c r="B80" s="55">
        <f t="shared" ref="B80:B97" si="48">IF(B58=0,0,((B11)-(B58))/SQRT(B58))</f>
        <v>-1428.7098376036001</v>
      </c>
      <c r="C80" s="55">
        <f t="shared" si="34"/>
        <v>-1191.805393313422</v>
      </c>
      <c r="D80" s="55">
        <f t="shared" si="35"/>
        <v>-453.44586391484791</v>
      </c>
      <c r="E80" s="55">
        <f t="shared" si="36"/>
        <v>-166.53061808468573</v>
      </c>
      <c r="F80" s="55">
        <f t="shared" si="37"/>
        <v>388.17506779955477</v>
      </c>
      <c r="G80" s="55">
        <f t="shared" si="38"/>
        <v>2298.5816306519055</v>
      </c>
      <c r="H80" s="55">
        <f t="shared" si="39"/>
        <v>1643.2696227295692</v>
      </c>
      <c r="I80" s="55">
        <f t="shared" si="40"/>
        <v>554.56483305873394</v>
      </c>
      <c r="J80" s="55">
        <f t="shared" si="41"/>
        <v>-551.71095328287663</v>
      </c>
      <c r="K80" s="55">
        <f t="shared" si="42"/>
        <v>4472.3022830668278</v>
      </c>
      <c r="L80" s="55">
        <f t="shared" si="43"/>
        <v>3664.6299278979932</v>
      </c>
      <c r="M80" s="55">
        <f t="shared" si="44"/>
        <v>490.28841727051304</v>
      </c>
      <c r="N80" s="55">
        <f t="shared" si="45"/>
        <v>462.79408096670778</v>
      </c>
      <c r="O80" s="55">
        <f t="shared" si="46"/>
        <v>373.146610042975</v>
      </c>
      <c r="P80" s="55">
        <f t="shared" si="47"/>
        <v>1164.9483851157181</v>
      </c>
      <c r="Q80" s="55">
        <f>IF(ABS(Q58-P58)&lt;0.001,0,((Q11-P11)-(Q58-P58))/SQRT(Q58-P58))</f>
        <v>486.73301772814551</v>
      </c>
      <c r="R80" s="55">
        <f>IF(ABS(R58-Q58)&lt;0.001,0,((R11-Q11)-(R58-Q58))/SQRT(R58-Q58))</f>
        <v>271.74303005493886</v>
      </c>
      <c r="S80" s="55">
        <f>IF(ABS(S58-R58)&lt;0.001,0,((S11-R11)-(S58-R58))/SQRT(S58-R58))</f>
        <v>-808.68035128892973</v>
      </c>
      <c r="T80" s="55"/>
      <c r="U80" s="55"/>
      <c r="V80" s="31"/>
      <c r="W80" s="31"/>
      <c r="X80" s="7"/>
    </row>
    <row r="81" spans="1:24" x14ac:dyDescent="0.25">
      <c r="A81" s="17">
        <f t="shared" si="33"/>
        <v>1999</v>
      </c>
      <c r="B81" s="55">
        <f t="shared" si="48"/>
        <v>-1732.2642311991742</v>
      </c>
      <c r="C81" s="55">
        <f t="shared" si="34"/>
        <v>-1048.2166215177169</v>
      </c>
      <c r="D81" s="55">
        <f t="shared" si="35"/>
        <v>740.68863833931368</v>
      </c>
      <c r="E81" s="55">
        <f t="shared" si="36"/>
        <v>-52.079050118531285</v>
      </c>
      <c r="F81" s="55">
        <f t="shared" si="37"/>
        <v>1241.9121576948189</v>
      </c>
      <c r="G81" s="55">
        <f t="shared" si="38"/>
        <v>3491.5210349329627</v>
      </c>
      <c r="H81" s="55">
        <f t="shared" si="39"/>
        <v>1386.8319937466217</v>
      </c>
      <c r="I81" s="55">
        <f t="shared" si="40"/>
        <v>-2342.9693393927469</v>
      </c>
      <c r="J81" s="55">
        <f t="shared" si="41"/>
        <v>4967.4968475866845</v>
      </c>
      <c r="K81" s="55">
        <f t="shared" si="42"/>
        <v>-2321.5248547595547</v>
      </c>
      <c r="L81" s="55">
        <f t="shared" si="43"/>
        <v>962.7567080654353</v>
      </c>
      <c r="M81" s="55">
        <f t="shared" si="44"/>
        <v>63.695628566492758</v>
      </c>
      <c r="N81" s="55">
        <f t="shared" si="45"/>
        <v>-384.46058641954022</v>
      </c>
      <c r="O81" s="55">
        <f t="shared" si="46"/>
        <v>1051.8004363144157</v>
      </c>
      <c r="P81" s="55">
        <f t="shared" si="47"/>
        <v>1717.7105616514348</v>
      </c>
      <c r="Q81" s="55">
        <f>IF(ABS(Q59-P59)&lt;0.001,0,((Q12-P12)-(Q59-P59))/SQRT(Q59-P59))</f>
        <v>1086.6317400437022</v>
      </c>
      <c r="R81" s="55">
        <f>IF(ABS(R59-Q59)&lt;0.001,0,((R12-Q12)-(R59-Q59))/SQRT(R59-Q59))</f>
        <v>-305.48564165841776</v>
      </c>
      <c r="S81" s="55"/>
      <c r="T81" s="55"/>
      <c r="U81" s="55"/>
      <c r="V81" s="31"/>
      <c r="W81" s="31"/>
      <c r="X81" s="7"/>
    </row>
    <row r="82" spans="1:24" x14ac:dyDescent="0.25">
      <c r="A82" s="17">
        <f t="shared" si="33"/>
        <v>2000</v>
      </c>
      <c r="B82" s="55">
        <f t="shared" si="48"/>
        <v>-1285.1279601774775</v>
      </c>
      <c r="C82" s="55">
        <f t="shared" si="34"/>
        <v>742.93316418460279</v>
      </c>
      <c r="D82" s="55">
        <f t="shared" si="35"/>
        <v>17.5792957609167</v>
      </c>
      <c r="E82" s="55">
        <f t="shared" si="36"/>
        <v>2456.7807299302704</v>
      </c>
      <c r="F82" s="55">
        <f t="shared" si="37"/>
        <v>2739.6035417720655</v>
      </c>
      <c r="G82" s="55">
        <f t="shared" si="38"/>
        <v>-66.866928971020869</v>
      </c>
      <c r="H82" s="55">
        <f t="shared" si="39"/>
        <v>-2529.3753161141226</v>
      </c>
      <c r="I82" s="55">
        <f t="shared" si="40"/>
        <v>1872.6701011237199</v>
      </c>
      <c r="J82" s="55">
        <f t="shared" si="41"/>
        <v>-3530.9176648596604</v>
      </c>
      <c r="K82" s="55">
        <f t="shared" si="42"/>
        <v>-658.92006149963765</v>
      </c>
      <c r="L82" s="55">
        <f t="shared" si="43"/>
        <v>673.85667468046154</v>
      </c>
      <c r="M82" s="55">
        <f t="shared" si="44"/>
        <v>-877.08050284220894</v>
      </c>
      <c r="N82" s="55">
        <f t="shared" si="45"/>
        <v>-1549.48145304478</v>
      </c>
      <c r="O82" s="55">
        <f t="shared" si="46"/>
        <v>392.94054293579507</v>
      </c>
      <c r="P82" s="55">
        <f t="shared" si="47"/>
        <v>-893.21520747347483</v>
      </c>
      <c r="Q82" s="55">
        <f>IF(ABS(Q60-P60)&lt;0.001,0,((Q13-P13)-(Q60-P60))/SQRT(Q60-P60))</f>
        <v>-634.49087935241641</v>
      </c>
      <c r="R82" s="43"/>
      <c r="S82" s="55"/>
      <c r="T82" s="55"/>
      <c r="U82" s="55"/>
      <c r="V82" s="31"/>
      <c r="W82" s="31"/>
      <c r="X82" s="7"/>
    </row>
    <row r="83" spans="1:24" x14ac:dyDescent="0.25">
      <c r="A83" s="17">
        <f t="shared" si="33"/>
        <v>2001</v>
      </c>
      <c r="B83" s="55">
        <f t="shared" si="48"/>
        <v>-300.75206772610869</v>
      </c>
      <c r="C83" s="55">
        <f t="shared" si="34"/>
        <v>405.55578192264312</v>
      </c>
      <c r="D83" s="55">
        <f t="shared" si="35"/>
        <v>2009.8970443678834</v>
      </c>
      <c r="E83" s="55">
        <f t="shared" si="36"/>
        <v>3034.8884778740448</v>
      </c>
      <c r="F83" s="55">
        <f t="shared" si="37"/>
        <v>-257.91430099188983</v>
      </c>
      <c r="G83" s="55">
        <f t="shared" si="38"/>
        <v>-2933.0979371107601</v>
      </c>
      <c r="H83" s="55">
        <f t="shared" si="39"/>
        <v>1263.3865249409766</v>
      </c>
      <c r="I83" s="55">
        <f t="shared" si="40"/>
        <v>-599.52062480343852</v>
      </c>
      <c r="J83" s="55">
        <f t="shared" si="41"/>
        <v>-1101.7309095886765</v>
      </c>
      <c r="K83" s="55">
        <f t="shared" si="42"/>
        <v>1582.5655700070258</v>
      </c>
      <c r="L83" s="55">
        <f t="shared" si="43"/>
        <v>-11401.484335851472</v>
      </c>
      <c r="M83" s="55">
        <f t="shared" si="44"/>
        <v>-797.62878712391125</v>
      </c>
      <c r="N83" s="55">
        <f t="shared" si="45"/>
        <v>505.26769087839961</v>
      </c>
      <c r="O83" s="55">
        <f t="shared" si="46"/>
        <v>-2006.1086928194918</v>
      </c>
      <c r="P83" s="55">
        <f t="shared" si="47"/>
        <v>-1618.9461302008554</v>
      </c>
      <c r="Q83" s="55"/>
      <c r="R83" s="43"/>
      <c r="S83" s="55"/>
      <c r="T83" s="55"/>
      <c r="U83" s="55"/>
      <c r="V83" s="31"/>
      <c r="W83" s="31"/>
      <c r="X83" s="7"/>
    </row>
    <row r="84" spans="1:24" x14ac:dyDescent="0.25">
      <c r="A84" s="17">
        <f t="shared" si="33"/>
        <v>2002</v>
      </c>
      <c r="B84" s="55">
        <f t="shared" si="48"/>
        <v>-1401.0226641985751</v>
      </c>
      <c r="C84" s="55">
        <f t="shared" si="34"/>
        <v>1089.4857484376435</v>
      </c>
      <c r="D84" s="55">
        <f t="shared" si="35"/>
        <v>3490.6834724620312</v>
      </c>
      <c r="E84" s="55">
        <f t="shared" si="36"/>
        <v>-1146.2326128070351</v>
      </c>
      <c r="F84" s="55">
        <f t="shared" si="37"/>
        <v>-2285.4226417136747</v>
      </c>
      <c r="G84" s="55">
        <f t="shared" si="38"/>
        <v>785.30403649026152</v>
      </c>
      <c r="H84" s="55">
        <f t="shared" si="39"/>
        <v>704.55829060177075</v>
      </c>
      <c r="I84" s="55">
        <f t="shared" si="40"/>
        <v>-637.00232914485059</v>
      </c>
      <c r="J84" s="55">
        <f t="shared" si="41"/>
        <v>-56.738202961687989</v>
      </c>
      <c r="K84" s="55">
        <f t="shared" si="42"/>
        <v>-721.08922868173863</v>
      </c>
      <c r="L84" s="55">
        <f t="shared" si="43"/>
        <v>-1041.5742683860249</v>
      </c>
      <c r="M84" s="55">
        <f t="shared" si="44"/>
        <v>304.7750036089692</v>
      </c>
      <c r="N84" s="55">
        <f t="shared" si="45"/>
        <v>-172.76159165232494</v>
      </c>
      <c r="O84" s="55">
        <f t="shared" si="46"/>
        <v>-1561.1025839897086</v>
      </c>
      <c r="P84" s="55"/>
      <c r="Q84" s="55"/>
      <c r="R84" s="43"/>
      <c r="S84" s="55"/>
      <c r="T84" s="55"/>
      <c r="U84" s="55"/>
      <c r="V84" s="31"/>
      <c r="W84" s="31"/>
      <c r="X84" s="7"/>
    </row>
    <row r="85" spans="1:24" x14ac:dyDescent="0.25">
      <c r="A85" s="17">
        <f t="shared" si="33"/>
        <v>2003</v>
      </c>
      <c r="B85" s="55">
        <f t="shared" si="48"/>
        <v>1036.6085186652049</v>
      </c>
      <c r="C85" s="55">
        <f t="shared" si="34"/>
        <v>1373.4456869981941</v>
      </c>
      <c r="D85" s="55">
        <f t="shared" si="35"/>
        <v>-673.01987651829108</v>
      </c>
      <c r="E85" s="55">
        <f t="shared" si="36"/>
        <v>-2175.2252303471437</v>
      </c>
      <c r="F85" s="55">
        <f t="shared" si="37"/>
        <v>68.329582502901573</v>
      </c>
      <c r="G85" s="55">
        <f t="shared" si="38"/>
        <v>-290.43827149319651</v>
      </c>
      <c r="H85" s="55">
        <f t="shared" si="39"/>
        <v>-540.47383990410174</v>
      </c>
      <c r="I85" s="55">
        <f t="shared" si="40"/>
        <v>265.00269654598929</v>
      </c>
      <c r="J85" s="55">
        <f t="shared" si="41"/>
        <v>-1352.4747758495564</v>
      </c>
      <c r="K85" s="55">
        <f t="shared" si="42"/>
        <v>-1232.3339687740186</v>
      </c>
      <c r="L85" s="55">
        <f t="shared" si="43"/>
        <v>577.97786446896487</v>
      </c>
      <c r="M85" s="55">
        <f t="shared" si="44"/>
        <v>-1154.7588873127795</v>
      </c>
      <c r="N85" s="55">
        <f t="shared" si="45"/>
        <v>-1492.2004638542426</v>
      </c>
      <c r="O85" s="55"/>
      <c r="P85" s="55"/>
      <c r="Q85" s="55"/>
      <c r="R85" s="43"/>
      <c r="S85" s="55"/>
      <c r="T85" s="55"/>
      <c r="U85" s="55"/>
      <c r="V85" s="31"/>
      <c r="W85" s="31"/>
      <c r="X85" s="7"/>
    </row>
    <row r="86" spans="1:24" x14ac:dyDescent="0.25">
      <c r="A86" s="17">
        <f t="shared" si="33"/>
        <v>2004</v>
      </c>
      <c r="B86" s="55">
        <f t="shared" si="48"/>
        <v>2105.8311834753226</v>
      </c>
      <c r="C86" s="55">
        <f t="shared" si="34"/>
        <v>-1514.4554925800767</v>
      </c>
      <c r="D86" s="55">
        <f t="shared" si="35"/>
        <v>-604.21517506435657</v>
      </c>
      <c r="E86" s="55">
        <f t="shared" si="36"/>
        <v>587.26679015563957</v>
      </c>
      <c r="F86" s="55">
        <f t="shared" si="37"/>
        <v>-492.31511918825129</v>
      </c>
      <c r="G86" s="55">
        <f t="shared" si="38"/>
        <v>-2356.4056995066462</v>
      </c>
      <c r="H86" s="55">
        <f t="shared" si="39"/>
        <v>-739.98015439733263</v>
      </c>
      <c r="I86" s="55">
        <f t="shared" si="40"/>
        <v>313.0594477221693</v>
      </c>
      <c r="J86" s="55">
        <f t="shared" si="41"/>
        <v>376.14419799190409</v>
      </c>
      <c r="K86" s="55">
        <f t="shared" si="42"/>
        <v>216.31329322217343</v>
      </c>
      <c r="L86" s="55">
        <f t="shared" si="43"/>
        <v>671.83215994390389</v>
      </c>
      <c r="M86" s="55">
        <f t="shared" si="44"/>
        <v>-170.98884697459025</v>
      </c>
      <c r="N86" s="55"/>
      <c r="O86" s="55"/>
      <c r="P86" s="55"/>
      <c r="Q86" s="55"/>
      <c r="R86" s="43"/>
      <c r="S86" s="55"/>
      <c r="T86" s="55"/>
      <c r="U86" s="55"/>
      <c r="V86" s="31"/>
      <c r="W86" s="31"/>
      <c r="X86" s="7"/>
    </row>
    <row r="87" spans="1:24" x14ac:dyDescent="0.25">
      <c r="A87" s="17">
        <f t="shared" si="33"/>
        <v>2005</v>
      </c>
      <c r="B87" s="55">
        <f t="shared" si="48"/>
        <v>661.29561541188866</v>
      </c>
      <c r="C87" s="55">
        <f t="shared" si="34"/>
        <v>227.77000206337163</v>
      </c>
      <c r="D87" s="55">
        <f t="shared" si="35"/>
        <v>541.57712637362272</v>
      </c>
      <c r="E87" s="55">
        <f t="shared" si="36"/>
        <v>449.18976622540322</v>
      </c>
      <c r="F87" s="55">
        <f t="shared" si="37"/>
        <v>-1305.5315385708391</v>
      </c>
      <c r="G87" s="55">
        <f t="shared" si="38"/>
        <v>-1036.1106554070532</v>
      </c>
      <c r="H87" s="55">
        <f t="shared" si="39"/>
        <v>-194.09163647254624</v>
      </c>
      <c r="I87" s="55">
        <f t="shared" si="40"/>
        <v>-1070.3468966948781</v>
      </c>
      <c r="J87" s="55">
        <f t="shared" si="41"/>
        <v>-924.80816294339115</v>
      </c>
      <c r="K87" s="55">
        <f t="shared" si="42"/>
        <v>-856.25493306197029</v>
      </c>
      <c r="L87" s="55">
        <f t="shared" si="43"/>
        <v>116.1315793465303</v>
      </c>
      <c r="M87" s="55"/>
      <c r="N87" s="55"/>
      <c r="O87" s="55"/>
      <c r="P87" s="55"/>
      <c r="Q87" s="55"/>
      <c r="R87" s="43"/>
      <c r="S87" s="55"/>
      <c r="T87" s="55"/>
      <c r="U87" s="55"/>
      <c r="V87" s="31"/>
      <c r="W87" s="31"/>
      <c r="X87" s="7"/>
    </row>
    <row r="88" spans="1:24" x14ac:dyDescent="0.25">
      <c r="A88" s="17">
        <f t="shared" si="33"/>
        <v>2006</v>
      </c>
      <c r="B88" s="55">
        <f t="shared" si="48"/>
        <v>695.30501974908589</v>
      </c>
      <c r="C88" s="55">
        <f t="shared" si="34"/>
        <v>572.13926718296466</v>
      </c>
      <c r="D88" s="55">
        <f t="shared" si="35"/>
        <v>-946.00473832858938</v>
      </c>
      <c r="E88" s="55">
        <f t="shared" si="36"/>
        <v>-252.0629530699693</v>
      </c>
      <c r="F88" s="55">
        <f t="shared" si="37"/>
        <v>-282.71484383018736</v>
      </c>
      <c r="G88" s="55">
        <f t="shared" si="38"/>
        <v>58.223394922015125</v>
      </c>
      <c r="H88" s="55">
        <f t="shared" si="39"/>
        <v>-488.60395950524901</v>
      </c>
      <c r="I88" s="55">
        <f t="shared" si="40"/>
        <v>-431.70287594193968</v>
      </c>
      <c r="J88" s="55">
        <f t="shared" si="41"/>
        <v>-563.39114621187207</v>
      </c>
      <c r="K88" s="55">
        <f t="shared" si="42"/>
        <v>-777.27054001729289</v>
      </c>
      <c r="L88" s="55"/>
      <c r="M88" s="55"/>
      <c r="N88" s="55"/>
      <c r="O88" s="55"/>
      <c r="P88" s="55"/>
      <c r="Q88" s="55"/>
      <c r="R88" s="43"/>
      <c r="S88" s="55"/>
      <c r="T88" s="55"/>
      <c r="U88" s="55"/>
      <c r="V88" s="31"/>
      <c r="W88" s="31"/>
      <c r="X88" s="7"/>
    </row>
    <row r="89" spans="1:24" x14ac:dyDescent="0.25">
      <c r="A89" s="17">
        <f t="shared" si="33"/>
        <v>2007</v>
      </c>
      <c r="B89" s="55">
        <f t="shared" si="48"/>
        <v>1310.8998647951812</v>
      </c>
      <c r="C89" s="55">
        <f t="shared" si="34"/>
        <v>763.55302563056102</v>
      </c>
      <c r="D89" s="55">
        <f t="shared" si="35"/>
        <v>-1203.3720500244685</v>
      </c>
      <c r="E89" s="55">
        <f t="shared" si="36"/>
        <v>-1127.5656792496754</v>
      </c>
      <c r="F89" s="55">
        <f t="shared" si="37"/>
        <v>735.91000452771027</v>
      </c>
      <c r="G89" s="55">
        <f t="shared" si="38"/>
        <v>-1085.0606047703543</v>
      </c>
      <c r="H89" s="55">
        <f t="shared" si="39"/>
        <v>-511.81442889777281</v>
      </c>
      <c r="I89" s="55">
        <f t="shared" si="40"/>
        <v>-689.41833683833443</v>
      </c>
      <c r="J89" s="55">
        <f t="shared" si="41"/>
        <v>-2524.530333824353</v>
      </c>
      <c r="K89" s="55"/>
      <c r="L89" s="55"/>
      <c r="M89" s="55"/>
      <c r="N89" s="55"/>
      <c r="O89" s="55"/>
      <c r="P89" s="55"/>
      <c r="Q89" s="55"/>
      <c r="R89" s="43"/>
      <c r="S89" s="55"/>
      <c r="T89" s="55"/>
      <c r="U89" s="55"/>
      <c r="V89" s="31"/>
      <c r="W89" s="31"/>
      <c r="X89" s="7"/>
    </row>
    <row r="90" spans="1:24" x14ac:dyDescent="0.25">
      <c r="A90" s="17">
        <f t="shared" si="33"/>
        <v>2008</v>
      </c>
      <c r="B90" s="55">
        <f t="shared" si="48"/>
        <v>165.4442342543451</v>
      </c>
      <c r="C90" s="55">
        <f t="shared" si="34"/>
        <v>-140.77715705393717</v>
      </c>
      <c r="D90" s="55">
        <f t="shared" si="35"/>
        <v>694.77845525770454</v>
      </c>
      <c r="E90" s="55">
        <f t="shared" si="36"/>
        <v>798.62355336695441</v>
      </c>
      <c r="F90" s="55">
        <f t="shared" si="37"/>
        <v>-1000.47453714626</v>
      </c>
      <c r="G90" s="55">
        <f t="shared" si="38"/>
        <v>-117.26961597966334</v>
      </c>
      <c r="H90" s="55">
        <f t="shared" si="39"/>
        <v>-758.07294699151464</v>
      </c>
      <c r="I90" s="55">
        <f t="shared" si="40"/>
        <v>-972.76541991961994</v>
      </c>
      <c r="J90" s="55"/>
      <c r="K90" s="55"/>
      <c r="L90" s="55"/>
      <c r="M90" s="55"/>
      <c r="N90" s="55"/>
      <c r="O90" s="55"/>
      <c r="P90" s="55"/>
      <c r="Q90" s="55"/>
      <c r="R90" s="43"/>
      <c r="S90" s="55"/>
      <c r="T90" s="55"/>
      <c r="U90" s="55"/>
      <c r="V90" s="31"/>
      <c r="W90" s="31"/>
      <c r="X90" s="7"/>
    </row>
    <row r="91" spans="1:24" x14ac:dyDescent="0.25">
      <c r="A91" s="17">
        <f t="shared" si="33"/>
        <v>2009</v>
      </c>
      <c r="B91" s="55">
        <f t="shared" si="48"/>
        <v>-356.80521783217466</v>
      </c>
      <c r="C91" s="55">
        <f t="shared" si="34"/>
        <v>230.42676044941834</v>
      </c>
      <c r="D91" s="55">
        <f t="shared" si="35"/>
        <v>-31.556132851484737</v>
      </c>
      <c r="E91" s="55">
        <f t="shared" si="36"/>
        <v>1101.2531675387759</v>
      </c>
      <c r="F91" s="55">
        <f t="shared" si="37"/>
        <v>609.04529180254519</v>
      </c>
      <c r="G91" s="55">
        <f t="shared" si="38"/>
        <v>-632.02608309189895</v>
      </c>
      <c r="H91" s="55">
        <f t="shared" si="39"/>
        <v>-1178.2358287072773</v>
      </c>
      <c r="I91" s="55"/>
      <c r="J91" s="55"/>
      <c r="K91" s="55"/>
      <c r="L91" s="55"/>
      <c r="M91" s="55"/>
      <c r="N91" s="55"/>
      <c r="O91" s="55"/>
      <c r="P91" s="55"/>
      <c r="Q91" s="55"/>
      <c r="R91" s="43"/>
      <c r="S91" s="55"/>
      <c r="T91" s="55"/>
      <c r="U91" s="55"/>
      <c r="V91" s="31"/>
      <c r="W91" s="31"/>
      <c r="X91" s="7"/>
    </row>
    <row r="92" spans="1:24" x14ac:dyDescent="0.25">
      <c r="A92" s="17">
        <f t="shared" si="33"/>
        <v>2010</v>
      </c>
      <c r="B92" s="55">
        <f t="shared" si="48"/>
        <v>264.74931210742227</v>
      </c>
      <c r="C92" s="55">
        <f t="shared" si="34"/>
        <v>-114.31958783290504</v>
      </c>
      <c r="D92" s="55">
        <f t="shared" si="35"/>
        <v>92.77862422821606</v>
      </c>
      <c r="E92" s="55">
        <f t="shared" si="36"/>
        <v>-284.46585131984966</v>
      </c>
      <c r="F92" s="55">
        <f t="shared" si="37"/>
        <v>272.04310573266866</v>
      </c>
      <c r="G92" s="55">
        <f t="shared" si="38"/>
        <v>-678.43252283255902</v>
      </c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43"/>
      <c r="S92" s="55"/>
      <c r="T92" s="55"/>
      <c r="U92" s="55"/>
      <c r="V92" s="31"/>
      <c r="W92" s="31"/>
      <c r="X92" s="7"/>
    </row>
    <row r="93" spans="1:24" x14ac:dyDescent="0.25">
      <c r="A93" s="17">
        <f t="shared" si="33"/>
        <v>2011</v>
      </c>
      <c r="B93" s="55">
        <f t="shared" si="48"/>
        <v>-364.45196664841649</v>
      </c>
      <c r="C93" s="55">
        <f t="shared" si="34"/>
        <v>728.13705940777481</v>
      </c>
      <c r="D93" s="55">
        <f t="shared" si="35"/>
        <v>-62.038381023336122</v>
      </c>
      <c r="E93" s="55">
        <f t="shared" si="36"/>
        <v>-483.7936129171963</v>
      </c>
      <c r="F93" s="55">
        <f t="shared" si="37"/>
        <v>83.369568917096998</v>
      </c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43"/>
      <c r="S93" s="55"/>
      <c r="T93" s="55"/>
      <c r="U93" s="55"/>
      <c r="V93" s="31"/>
      <c r="W93" s="31"/>
      <c r="X93" s="7"/>
    </row>
    <row r="94" spans="1:24" x14ac:dyDescent="0.25">
      <c r="A94" s="17">
        <f t="shared" si="33"/>
        <v>2012</v>
      </c>
      <c r="B94" s="55">
        <f t="shared" si="48"/>
        <v>-200.13570718653605</v>
      </c>
      <c r="C94" s="55">
        <f t="shared" si="34"/>
        <v>640.24128964504189</v>
      </c>
      <c r="D94" s="55">
        <f t="shared" si="35"/>
        <v>-186.37246097122994</v>
      </c>
      <c r="E94" s="55">
        <f t="shared" si="36"/>
        <v>-479.46956254069795</v>
      </c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43"/>
      <c r="S94" s="55"/>
      <c r="T94" s="55"/>
      <c r="U94" s="55"/>
      <c r="V94" s="31"/>
      <c r="W94" s="31"/>
      <c r="X94" s="7"/>
    </row>
    <row r="95" spans="1:24" x14ac:dyDescent="0.25">
      <c r="A95" s="17">
        <f t="shared" si="33"/>
        <v>2013</v>
      </c>
      <c r="B95" s="55">
        <f t="shared" si="48"/>
        <v>421.5544087840135</v>
      </c>
      <c r="C95" s="55">
        <f t="shared" si="34"/>
        <v>493.40652679086236</v>
      </c>
      <c r="D95" s="55">
        <f t="shared" si="35"/>
        <v>-1469.8844168275189</v>
      </c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43"/>
      <c r="S95" s="55"/>
      <c r="T95" s="55"/>
      <c r="U95" s="55"/>
      <c r="V95" s="31"/>
      <c r="W95" s="31"/>
      <c r="X95" s="7"/>
    </row>
    <row r="96" spans="1:24" x14ac:dyDescent="0.25">
      <c r="A96" s="17">
        <f t="shared" si="33"/>
        <v>2014</v>
      </c>
      <c r="B96" s="55">
        <f t="shared" si="48"/>
        <v>-374.75357020854022</v>
      </c>
      <c r="C96" s="55">
        <f t="shared" si="34"/>
        <v>478.16067985854352</v>
      </c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43"/>
      <c r="S96" s="55"/>
      <c r="T96" s="55"/>
      <c r="U96" s="55"/>
      <c r="V96" s="31"/>
      <c r="W96" s="31"/>
      <c r="X96" s="7"/>
    </row>
    <row r="97" spans="1:33" x14ac:dyDescent="0.25">
      <c r="A97" s="17">
        <f t="shared" si="33"/>
        <v>2015</v>
      </c>
      <c r="B97" s="55">
        <f t="shared" si="48"/>
        <v>0</v>
      </c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43"/>
      <c r="S97" s="55"/>
      <c r="T97" s="55"/>
      <c r="U97" s="55"/>
      <c r="V97" s="31"/>
      <c r="W97" s="31"/>
      <c r="X97" s="7"/>
    </row>
    <row r="98" spans="1:33" x14ac:dyDescent="0.25">
      <c r="A98" s="1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S98" s="7"/>
      <c r="T98" s="7"/>
      <c r="U98" s="7"/>
      <c r="V98" s="31"/>
      <c r="W98" s="31"/>
      <c r="X98" s="7"/>
    </row>
    <row r="99" spans="1:33" x14ac:dyDescent="0.25">
      <c r="A99" s="1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S99" s="7"/>
      <c r="T99" s="7"/>
      <c r="U99" s="7"/>
      <c r="V99" s="31"/>
      <c r="W99" s="31"/>
      <c r="X99" s="7"/>
    </row>
    <row r="100" spans="1:33" x14ac:dyDescent="0.25">
      <c r="A100" s="66" t="s">
        <v>112</v>
      </c>
      <c r="D100" s="65"/>
      <c r="E100" s="66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</row>
    <row r="101" spans="1:33" s="65" customFormat="1" ht="10.199999999999999" x14ac:dyDescent="0.2">
      <c r="A101" s="67"/>
    </row>
    <row r="102" spans="1:33" s="65" customFormat="1" ht="10.199999999999999" x14ac:dyDescent="0.2">
      <c r="A102" s="68"/>
      <c r="B102" s="69" t="s">
        <v>113</v>
      </c>
      <c r="C102" s="70">
        <f>SUMSQ(B78:U97)</f>
        <v>535326406.58038479</v>
      </c>
    </row>
    <row r="103" spans="1:33" s="65" customFormat="1" ht="10.199999999999999" x14ac:dyDescent="0.2">
      <c r="A103" s="67"/>
      <c r="B103" s="69" t="s">
        <v>114</v>
      </c>
      <c r="C103" s="65">
        <f>COUNT(B78:U97)</f>
        <v>209</v>
      </c>
    </row>
    <row r="104" spans="1:33" s="65" customFormat="1" ht="10.199999999999999" x14ac:dyDescent="0.2">
      <c r="A104" s="67"/>
      <c r="B104" s="69" t="s">
        <v>115</v>
      </c>
      <c r="C104" s="65">
        <f>2*COUNT(A78:A97)-1</f>
        <v>39</v>
      </c>
    </row>
    <row r="105" spans="1:33" s="65" customFormat="1" x14ac:dyDescent="0.25">
      <c r="A105" s="67"/>
      <c r="B105" s="69" t="s">
        <v>116</v>
      </c>
      <c r="C105" s="71">
        <f>C102/(C103-C104)</f>
        <v>3148978.8622375578</v>
      </c>
      <c r="Y105"/>
      <c r="Z105"/>
      <c r="AA105"/>
      <c r="AB105"/>
      <c r="AC105"/>
      <c r="AD105"/>
      <c r="AE105"/>
      <c r="AF105"/>
      <c r="AG105"/>
    </row>
    <row r="106" spans="1:33" s="65" customFormat="1" x14ac:dyDescent="0.25">
      <c r="A106" s="67"/>
      <c r="B106" s="69" t="s">
        <v>117</v>
      </c>
      <c r="C106" s="72">
        <f>C103^0.5/(C103-C104)</f>
        <v>8.5040189969417423E-2</v>
      </c>
      <c r="Y106"/>
      <c r="Z106"/>
      <c r="AA106"/>
      <c r="AB106"/>
      <c r="AC106"/>
      <c r="AD106"/>
      <c r="AE106"/>
      <c r="AF106"/>
      <c r="AG106"/>
    </row>
    <row r="107" spans="1:33" s="65" customFormat="1" x14ac:dyDescent="0.25">
      <c r="A107" s="1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/>
      <c r="S107" s="7"/>
      <c r="T107" s="7"/>
      <c r="U107" s="7"/>
      <c r="V107" s="31"/>
      <c r="W107" s="31"/>
      <c r="X107" s="7"/>
      <c r="Y107"/>
      <c r="Z107"/>
      <c r="AA107"/>
      <c r="AB107"/>
      <c r="AC107"/>
      <c r="AD107"/>
      <c r="AE107"/>
      <c r="AF107"/>
      <c r="AG107"/>
    </row>
    <row r="108" spans="1:33" x14ac:dyDescent="0.25">
      <c r="A108" s="7" t="s">
        <v>88</v>
      </c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19"/>
      <c r="M108" s="19"/>
      <c r="N108" s="19"/>
      <c r="O108" s="7"/>
      <c r="P108" s="7"/>
      <c r="Q108" s="7"/>
      <c r="R108" s="7"/>
      <c r="S108" s="7"/>
      <c r="T108" s="7"/>
      <c r="U108" s="7"/>
      <c r="V108" s="31"/>
      <c r="W108" s="31"/>
      <c r="X108" s="7"/>
    </row>
    <row r="109" spans="1:33" x14ac:dyDescent="0.25">
      <c r="A109" s="15" t="s">
        <v>72</v>
      </c>
      <c r="B109" s="20" t="str">
        <f t="shared" ref="B109:T109" si="49">B32</f>
        <v>12-24</v>
      </c>
      <c r="C109" s="20" t="str">
        <f t="shared" si="49"/>
        <v>24-36</v>
      </c>
      <c r="D109" s="20" t="str">
        <f t="shared" si="49"/>
        <v>36-48</v>
      </c>
      <c r="E109" s="20" t="str">
        <f t="shared" si="49"/>
        <v>48-60</v>
      </c>
      <c r="F109" s="20" t="str">
        <f t="shared" si="49"/>
        <v>60-72</v>
      </c>
      <c r="G109" s="20" t="str">
        <f t="shared" si="49"/>
        <v>72-84</v>
      </c>
      <c r="H109" s="20" t="str">
        <f t="shared" si="49"/>
        <v>84-96</v>
      </c>
      <c r="I109" s="20" t="str">
        <f t="shared" si="49"/>
        <v>96-108</v>
      </c>
      <c r="J109" s="20" t="str">
        <f t="shared" si="49"/>
        <v>108-120</v>
      </c>
      <c r="K109" s="20" t="str">
        <f t="shared" si="49"/>
        <v>120-132</v>
      </c>
      <c r="L109" s="20" t="str">
        <f t="shared" si="49"/>
        <v>132-144</v>
      </c>
      <c r="M109" s="20" t="str">
        <f t="shared" si="49"/>
        <v>144-156</v>
      </c>
      <c r="N109" s="20" t="str">
        <f t="shared" si="49"/>
        <v>156-168</v>
      </c>
      <c r="O109" s="20" t="str">
        <f t="shared" si="49"/>
        <v>168-180</v>
      </c>
      <c r="P109" s="20" t="str">
        <f t="shared" si="49"/>
        <v>180-192</v>
      </c>
      <c r="Q109" s="20" t="str">
        <f t="shared" si="49"/>
        <v>192-204</v>
      </c>
      <c r="R109" s="20" t="str">
        <f t="shared" si="49"/>
        <v>204-216</v>
      </c>
      <c r="S109" s="20" t="str">
        <f t="shared" si="49"/>
        <v>216-228</v>
      </c>
      <c r="T109" s="20" t="str">
        <f t="shared" si="49"/>
        <v>228-240</v>
      </c>
      <c r="W109" s="76" t="s">
        <v>118</v>
      </c>
      <c r="AA109" s="76"/>
    </row>
    <row r="110" spans="1:33" x14ac:dyDescent="0.25">
      <c r="A110" s="17">
        <f>+A9</f>
        <v>1996</v>
      </c>
      <c r="B110" s="74">
        <f>AVERAGE(B111:B117)</f>
        <v>-34.349852369065097</v>
      </c>
      <c r="C110" s="58">
        <f t="shared" ref="B110:C128" si="50">$C$106*C78</f>
        <v>-45.348700964809211</v>
      </c>
      <c r="D110" s="58">
        <f t="shared" ref="D110:D127" si="51">$C$106*D78</f>
        <v>-167.67945952968256</v>
      </c>
      <c r="E110" s="58">
        <f>$C$106*E78</f>
        <v>-197.11938567930267</v>
      </c>
      <c r="F110" s="58">
        <f t="shared" ref="F110:F125" si="52">$C$106*F78</f>
        <v>-99.773859344241018</v>
      </c>
      <c r="G110" s="58">
        <f t="shared" ref="G110:G124" si="53">$C$106*G78</f>
        <v>-27.537196215568272</v>
      </c>
      <c r="H110" s="58">
        <f t="shared" ref="H110:H123" si="54">$C$106*H78</f>
        <v>-68.915268498102108</v>
      </c>
      <c r="I110" s="58">
        <f t="shared" ref="I110:I122" si="55">$C$106*I78</f>
        <v>126.30490006280432</v>
      </c>
      <c r="J110" s="58">
        <f t="shared" ref="J110:J121" si="56">$C$106*J78</f>
        <v>206.00536701813823</v>
      </c>
      <c r="K110" s="58">
        <f t="shared" ref="K110:K120" si="57">$C$106*K78</f>
        <v>95.856863169152263</v>
      </c>
      <c r="L110" s="58">
        <f t="shared" ref="L110:L119" si="58">$C$106*L78</f>
        <v>-24.564849256716997</v>
      </c>
      <c r="M110" s="58">
        <f t="shared" ref="M110:M118" si="59">$C$106*M78</f>
        <v>96.208645011669745</v>
      </c>
      <c r="N110" s="58">
        <f t="shared" ref="N110:N117" si="60">$C$106*N78</f>
        <v>259.71663895724464</v>
      </c>
      <c r="O110" s="58">
        <f t="shared" ref="O110:O116" si="61">$C$106*O78</f>
        <v>-35.907823233395192</v>
      </c>
      <c r="P110" s="58">
        <f t="shared" ref="P110:P115" si="62">$C$106*P78</f>
        <v>-37.725418492688242</v>
      </c>
      <c r="Q110" s="58">
        <f t="shared" ref="Q110:T111" si="63">$C$106*Q78</f>
        <v>-63.306732606078938</v>
      </c>
      <c r="R110" s="58">
        <f t="shared" si="63"/>
        <v>-23.458805221737645</v>
      </c>
      <c r="S110" s="58">
        <f t="shared" si="63"/>
        <v>149.49067284203997</v>
      </c>
      <c r="T110" s="58">
        <f t="shared" si="63"/>
        <v>-44.170251236278446</v>
      </c>
      <c r="W110" s="108">
        <v>0</v>
      </c>
      <c r="Z110" s="67"/>
      <c r="AA110" s="77"/>
    </row>
    <row r="111" spans="1:33" x14ac:dyDescent="0.25">
      <c r="A111" s="17">
        <f t="shared" ref="A111:A128" si="64">+A10</f>
        <v>1997</v>
      </c>
      <c r="B111" s="58">
        <f t="shared" si="50"/>
        <v>194.21425572126128</v>
      </c>
      <c r="C111" s="58">
        <f t="shared" si="50"/>
        <v>-210.08310533977894</v>
      </c>
      <c r="D111" s="58">
        <f t="shared" si="51"/>
        <v>-209.00609462432612</v>
      </c>
      <c r="E111" s="58">
        <f t="shared" ref="E111:E126" si="65">$C$106*E79</f>
        <v>-79.809081028912217</v>
      </c>
      <c r="F111" s="58">
        <f t="shared" si="52"/>
        <v>-11.244341056239783</v>
      </c>
      <c r="G111" s="58">
        <f t="shared" si="53"/>
        <v>5.7942850646531685</v>
      </c>
      <c r="H111" s="58">
        <f t="shared" si="54"/>
        <v>42.674986260130552</v>
      </c>
      <c r="I111" s="58">
        <f t="shared" si="55"/>
        <v>101.38401915102835</v>
      </c>
      <c r="J111" s="58">
        <f t="shared" si="56"/>
        <v>77.760097408739696</v>
      </c>
      <c r="K111" s="58">
        <f t="shared" si="57"/>
        <v>-148.02331890353696</v>
      </c>
      <c r="L111" s="58">
        <f t="shared" si="58"/>
        <v>623.623690501753</v>
      </c>
      <c r="M111" s="58">
        <f t="shared" si="59"/>
        <v>91.910659213559313</v>
      </c>
      <c r="N111" s="58">
        <f t="shared" si="60"/>
        <v>-14.834546570817785</v>
      </c>
      <c r="O111" s="58">
        <f t="shared" si="61"/>
        <v>197.57474889627045</v>
      </c>
      <c r="P111" s="58">
        <f t="shared" si="62"/>
        <v>-3.7638179945289143</v>
      </c>
      <c r="Q111" s="58">
        <f t="shared" si="63"/>
        <v>-34.897087938486578</v>
      </c>
      <c r="R111" s="58">
        <f t="shared" si="63"/>
        <v>26.133542513798787</v>
      </c>
      <c r="S111" s="75">
        <f t="shared" si="63"/>
        <v>-61.334327423260149</v>
      </c>
      <c r="T111" s="75">
        <f t="shared" si="63"/>
        <v>40.868145889093334</v>
      </c>
      <c r="W111" s="108">
        <f>W110+COUNT(B110:T110)</f>
        <v>19</v>
      </c>
      <c r="Z111" s="67"/>
      <c r="AA111" s="77"/>
    </row>
    <row r="112" spans="1:33" x14ac:dyDescent="0.25">
      <c r="A112" s="17">
        <f t="shared" si="64"/>
        <v>1998</v>
      </c>
      <c r="B112" s="58">
        <f t="shared" ref="B112:B128" si="66">$C$106*B80</f>
        <v>-121.49775600098567</v>
      </c>
      <c r="C112" s="58">
        <f t="shared" si="50"/>
        <v>-101.35135705394966</v>
      </c>
      <c r="D112" s="58">
        <f t="shared" si="51"/>
        <v>-38.561122408165268</v>
      </c>
      <c r="E112" s="58">
        <f t="shared" si="65"/>
        <v>-14.161795397646175</v>
      </c>
      <c r="F112" s="58">
        <f t="shared" si="52"/>
        <v>33.010481507065627</v>
      </c>
      <c r="G112" s="58">
        <f t="shared" si="53"/>
        <v>195.47181853085132</v>
      </c>
      <c r="H112" s="58">
        <f t="shared" si="54"/>
        <v>139.74396088789547</v>
      </c>
      <c r="I112" s="58">
        <f t="shared" si="55"/>
        <v>47.160298753672997</v>
      </c>
      <c r="J112" s="58">
        <f t="shared" si="56"/>
        <v>-46.917604275384207</v>
      </c>
      <c r="K112" s="58">
        <f t="shared" si="57"/>
        <v>380.32543575266232</v>
      </c>
      <c r="L112" s="58">
        <f t="shared" si="58"/>
        <v>311.64082523605782</v>
      </c>
      <c r="M112" s="58">
        <f t="shared" si="59"/>
        <v>41.694220144489428</v>
      </c>
      <c r="N112" s="58">
        <f t="shared" si="60"/>
        <v>39.35609656213078</v>
      </c>
      <c r="O112" s="58">
        <f t="shared" si="61"/>
        <v>31.732458604498717</v>
      </c>
      <c r="P112" s="58">
        <f t="shared" si="62"/>
        <v>99.067431974806723</v>
      </c>
      <c r="Q112" s="58">
        <f>$C$106*Q80</f>
        <v>41.391868291989312</v>
      </c>
      <c r="R112" s="58">
        <f>$C$106*R80</f>
        <v>23.10907889873711</v>
      </c>
      <c r="S112" s="75">
        <f>$C$106*S80</f>
        <v>-68.770330698145798</v>
      </c>
      <c r="T112" s="22"/>
      <c r="W112" s="108">
        <f>W111+COUNT(B111:T111)</f>
        <v>38</v>
      </c>
      <c r="Z112" s="67"/>
      <c r="AA112" s="77"/>
    </row>
    <row r="113" spans="1:27" x14ac:dyDescent="0.25">
      <c r="A113" s="17">
        <f t="shared" si="64"/>
        <v>1999</v>
      </c>
      <c r="B113" s="58">
        <f t="shared" si="66"/>
        <v>-147.3120792984046</v>
      </c>
      <c r="C113" s="58">
        <f t="shared" si="50"/>
        <v>-89.140540622967578</v>
      </c>
      <c r="D113" s="58">
        <f t="shared" si="51"/>
        <v>62.988302512564353</v>
      </c>
      <c r="E113" s="58">
        <f t="shared" si="65"/>
        <v>-4.4288123155067112</v>
      </c>
      <c r="F113" s="58">
        <f t="shared" si="52"/>
        <v>105.61244581569649</v>
      </c>
      <c r="G113" s="58">
        <f t="shared" si="53"/>
        <v>296.91961209291605</v>
      </c>
      <c r="H113" s="58">
        <f t="shared" si="54"/>
        <v>117.93645620387862</v>
      </c>
      <c r="I113" s="58">
        <f t="shared" si="55"/>
        <v>-199.24655771447965</v>
      </c>
      <c r="J113" s="58">
        <f t="shared" si="56"/>
        <v>422.43687559125385</v>
      </c>
      <c r="K113" s="58">
        <f t="shared" si="57"/>
        <v>-197.42291466747673</v>
      </c>
      <c r="L113" s="58">
        <f t="shared" si="58"/>
        <v>81.873013348215565</v>
      </c>
      <c r="M113" s="58">
        <f t="shared" si="59"/>
        <v>5.4166883535159958</v>
      </c>
      <c r="N113" s="58">
        <f t="shared" si="60"/>
        <v>-32.694601304871327</v>
      </c>
      <c r="O113" s="58">
        <f t="shared" si="61"/>
        <v>89.445308914094042</v>
      </c>
      <c r="P113" s="58">
        <f t="shared" si="62"/>
        <v>146.0744324753127</v>
      </c>
      <c r="Q113" s="58">
        <f>$C$106*Q81</f>
        <v>92.407369600115047</v>
      </c>
      <c r="R113" s="75">
        <f>$C$106*R81</f>
        <v>-25.978556999561224</v>
      </c>
      <c r="S113" s="22"/>
      <c r="T113" s="22"/>
      <c r="W113" s="108">
        <f>W112+COUNT(B112:T112)</f>
        <v>56</v>
      </c>
      <c r="Z113" s="67"/>
      <c r="AA113" s="77"/>
    </row>
    <row r="114" spans="1:27" x14ac:dyDescent="0.25">
      <c r="A114" s="17">
        <f t="shared" si="64"/>
        <v>2000</v>
      </c>
      <c r="B114" s="58">
        <f>$C$106*B82</f>
        <v>-109.2875258685026</v>
      </c>
      <c r="C114" s="58">
        <f t="shared" si="50"/>
        <v>63.179177416839003</v>
      </c>
      <c r="D114" s="58">
        <f t="shared" si="51"/>
        <v>1.4949466510369307</v>
      </c>
      <c r="E114" s="58">
        <f t="shared" si="65"/>
        <v>208.92509998647418</v>
      </c>
      <c r="F114" s="58">
        <f t="shared" si="52"/>
        <v>232.97640563318524</v>
      </c>
      <c r="G114" s="58">
        <f t="shared" si="53"/>
        <v>-5.6863763423671561</v>
      </c>
      <c r="H114" s="58">
        <f t="shared" si="54"/>
        <v>-215.09855738630023</v>
      </c>
      <c r="I114" s="58">
        <f t="shared" si="55"/>
        <v>159.25222114960928</v>
      </c>
      <c r="J114" s="58">
        <f t="shared" si="56"/>
        <v>-300.26990898603731</v>
      </c>
      <c r="K114" s="58">
        <f t="shared" si="57"/>
        <v>-56.034687204589396</v>
      </c>
      <c r="L114" s="58">
        <f t="shared" si="58"/>
        <v>57.304899626986362</v>
      </c>
      <c r="M114" s="58">
        <f t="shared" si="59"/>
        <v>-74.587092580173604</v>
      </c>
      <c r="N114" s="58">
        <f t="shared" si="60"/>
        <v>-131.76819712101704</v>
      </c>
      <c r="O114" s="58">
        <f t="shared" si="61"/>
        <v>33.415738417946038</v>
      </c>
      <c r="P114" s="58">
        <f t="shared" si="62"/>
        <v>-75.959190927116893</v>
      </c>
      <c r="Q114" s="75">
        <f>$C$106*Q82</f>
        <v>-53.957224913992206</v>
      </c>
      <c r="R114" s="22"/>
      <c r="T114" s="22"/>
      <c r="W114" s="108">
        <f>W113+COUNT(B113:T113)</f>
        <v>73</v>
      </c>
      <c r="Z114" s="67"/>
      <c r="AA114" s="77"/>
    </row>
    <row r="115" spans="1:27" x14ac:dyDescent="0.25">
      <c r="A115" s="17">
        <f t="shared" si="64"/>
        <v>2001</v>
      </c>
      <c r="B115" s="58">
        <f t="shared" si="66"/>
        <v>-25.57601297312338</v>
      </c>
      <c r="C115" s="58">
        <f t="shared" si="50"/>
        <v>34.488540737897196</v>
      </c>
      <c r="D115" s="58">
        <f t="shared" si="51"/>
        <v>170.9220264720154</v>
      </c>
      <c r="E115" s="58">
        <f t="shared" si="65"/>
        <v>258.08749269440489</v>
      </c>
      <c r="F115" s="58">
        <f t="shared" si="52"/>
        <v>-21.933081152179817</v>
      </c>
      <c r="G115" s="58">
        <f t="shared" si="53"/>
        <v>-249.43120577080541</v>
      </c>
      <c r="H115" s="58">
        <f t="shared" si="54"/>
        <v>107.43863008578278</v>
      </c>
      <c r="I115" s="58">
        <f t="shared" si="55"/>
        <v>-50.983347823868236</v>
      </c>
      <c r="J115" s="58">
        <f t="shared" si="56"/>
        <v>-93.691405846600105</v>
      </c>
      <c r="K115" s="58">
        <f t="shared" si="57"/>
        <v>134.58167671245684</v>
      </c>
      <c r="L115" s="58">
        <f t="shared" si="58"/>
        <v>-969.58439385414624</v>
      </c>
      <c r="M115" s="58">
        <f t="shared" si="59"/>
        <v>-67.830503582093428</v>
      </c>
      <c r="N115" s="58">
        <f t="shared" si="60"/>
        <v>42.968060417707981</v>
      </c>
      <c r="O115" s="58">
        <f t="shared" si="61"/>
        <v>-170.59986433666924</v>
      </c>
      <c r="P115" s="75">
        <f t="shared" si="62"/>
        <v>-137.67548646253394</v>
      </c>
      <c r="Q115" s="22"/>
      <c r="R115" s="22"/>
      <c r="S115" s="5"/>
      <c r="T115" s="23"/>
      <c r="W115" s="108">
        <f t="shared" ref="W115:W128" si="67">W114+COUNT(B114:T114)</f>
        <v>89</v>
      </c>
      <c r="Z115" s="67"/>
      <c r="AA115" s="77"/>
    </row>
    <row r="116" spans="1:27" x14ac:dyDescent="0.25">
      <c r="A116" s="17">
        <f t="shared" si="64"/>
        <v>2002</v>
      </c>
      <c r="B116" s="58">
        <f t="shared" si="66"/>
        <v>-119.14323351490614</v>
      </c>
      <c r="C116" s="58">
        <f t="shared" si="50"/>
        <v>92.650075016110122</v>
      </c>
      <c r="D116" s="58">
        <f t="shared" si="51"/>
        <v>296.8483856212768</v>
      </c>
      <c r="E116" s="58">
        <f t="shared" si="65"/>
        <v>-97.475839142251957</v>
      </c>
      <c r="F116" s="58">
        <f t="shared" si="52"/>
        <v>-194.35277561173871</v>
      </c>
      <c r="G116" s="58">
        <f t="shared" si="53"/>
        <v>66.782404446882154</v>
      </c>
      <c r="H116" s="58">
        <f t="shared" si="54"/>
        <v>59.915770877302592</v>
      </c>
      <c r="I116" s="58">
        <f t="shared" si="55"/>
        <v>-54.170799081439462</v>
      </c>
      <c r="J116" s="58">
        <f t="shared" si="56"/>
        <v>-4.8250275583853091</v>
      </c>
      <c r="K116" s="58">
        <f t="shared" si="57"/>
        <v>-61.321564991995736</v>
      </c>
      <c r="L116" s="58">
        <f t="shared" si="58"/>
        <v>-88.575673650804518</v>
      </c>
      <c r="M116" s="58">
        <f t="shared" si="59"/>
        <v>25.918124204836623</v>
      </c>
      <c r="N116" s="58">
        <f t="shared" si="60"/>
        <v>-14.691678573532633</v>
      </c>
      <c r="O116" s="75">
        <f t="shared" si="61"/>
        <v>-132.75646030423323</v>
      </c>
      <c r="P116" s="22"/>
      <c r="Q116" s="22"/>
      <c r="R116" s="5"/>
      <c r="S116" s="5"/>
      <c r="T116" s="19"/>
      <c r="W116" s="108">
        <f t="shared" si="67"/>
        <v>104</v>
      </c>
      <c r="Z116" s="67"/>
      <c r="AA116" s="77"/>
    </row>
    <row r="117" spans="1:27" x14ac:dyDescent="0.25">
      <c r="A117" s="17">
        <f t="shared" si="64"/>
        <v>2003</v>
      </c>
      <c r="B117" s="58">
        <f t="shared" si="66"/>
        <v>88.153385351205415</v>
      </c>
      <c r="C117" s="58">
        <f t="shared" si="50"/>
        <v>116.79808213500345</v>
      </c>
      <c r="D117" s="58">
        <f t="shared" si="51"/>
        <v>-57.233738152309328</v>
      </c>
      <c r="E117" s="58">
        <f t="shared" si="65"/>
        <v>-184.98156681499088</v>
      </c>
      <c r="F117" s="58">
        <f t="shared" si="52"/>
        <v>5.8107606765777309</v>
      </c>
      <c r="G117" s="58">
        <f t="shared" si="53"/>
        <v>-24.698925782170665</v>
      </c>
      <c r="H117" s="58">
        <f t="shared" si="54"/>
        <v>-45.961998018945309</v>
      </c>
      <c r="I117" s="58">
        <f t="shared" si="55"/>
        <v>22.535879656678809</v>
      </c>
      <c r="J117" s="58">
        <f t="shared" si="56"/>
        <v>-115.01471186709152</v>
      </c>
      <c r="K117" s="58">
        <f>$C$106*K85</f>
        <v>-104.79791481030865</v>
      </c>
      <c r="L117" s="58">
        <f t="shared" si="58"/>
        <v>49.151347392558968</v>
      </c>
      <c r="M117" s="58">
        <f t="shared" si="59"/>
        <v>-98.200915145951853</v>
      </c>
      <c r="N117" s="75">
        <f t="shared" si="60"/>
        <v>-126.89701091861758</v>
      </c>
      <c r="O117" s="22"/>
      <c r="P117" s="22"/>
      <c r="R117" s="19"/>
      <c r="S117" s="19"/>
      <c r="T117" s="19"/>
      <c r="W117" s="108">
        <f t="shared" si="67"/>
        <v>118</v>
      </c>
      <c r="Z117" s="67"/>
      <c r="AA117" s="77"/>
    </row>
    <row r="118" spans="1:27" x14ac:dyDescent="0.25">
      <c r="A118" s="17">
        <f t="shared" si="64"/>
        <v>2004</v>
      </c>
      <c r="B118" s="58">
        <f t="shared" si="66"/>
        <v>179.08028388626457</v>
      </c>
      <c r="C118" s="58">
        <f t="shared" si="50"/>
        <v>-128.78958278923736</v>
      </c>
      <c r="D118" s="58">
        <f t="shared" si="51"/>
        <v>-51.382573269877689</v>
      </c>
      <c r="E118" s="58">
        <f t="shared" si="65"/>
        <v>49.941279397565587</v>
      </c>
      <c r="F118" s="58">
        <f t="shared" si="52"/>
        <v>-41.866571260585268</v>
      </c>
      <c r="G118" s="58">
        <f t="shared" si="53"/>
        <v>-200.38918833106314</v>
      </c>
      <c r="H118" s="58">
        <f t="shared" si="54"/>
        <v>-62.928052903548</v>
      </c>
      <c r="I118" s="58">
        <f t="shared" si="55"/>
        <v>26.622634906014181</v>
      </c>
      <c r="J118" s="58">
        <f t="shared" si="56"/>
        <v>31.987374053125684</v>
      </c>
      <c r="K118" s="58">
        <f t="shared" si="57"/>
        <v>18.395323548523923</v>
      </c>
      <c r="L118" s="58">
        <f t="shared" si="58"/>
        <v>57.132734509193618</v>
      </c>
      <c r="M118" s="75">
        <f t="shared" si="59"/>
        <v>-14.5409240293708</v>
      </c>
      <c r="N118" s="22"/>
      <c r="O118" s="22"/>
      <c r="R118" s="19"/>
      <c r="S118" s="19"/>
      <c r="T118" s="19"/>
      <c r="W118" s="108">
        <f t="shared" si="67"/>
        <v>131</v>
      </c>
      <c r="Z118" s="67"/>
      <c r="AA118" s="77"/>
    </row>
    <row r="119" spans="1:27" x14ac:dyDescent="0.25">
      <c r="A119" s="17">
        <f t="shared" si="64"/>
        <v>2005</v>
      </c>
      <c r="B119" s="58">
        <f t="shared" si="66"/>
        <v>56.236704760569815</v>
      </c>
      <c r="C119" s="58">
        <f t="shared" si="50"/>
        <v>19.369604244803721</v>
      </c>
      <c r="D119" s="58">
        <f t="shared" si="51"/>
        <v>46.055821709904066</v>
      </c>
      <c r="E119" s="58">
        <f t="shared" si="65"/>
        <v>38.199183052126493</v>
      </c>
      <c r="F119" s="58">
        <f t="shared" si="52"/>
        <v>-111.02265005112997</v>
      </c>
      <c r="G119" s="58">
        <f t="shared" si="53"/>
        <v>-88.111046965153392</v>
      </c>
      <c r="H119" s="58">
        <f t="shared" si="54"/>
        <v>-16.505589637100439</v>
      </c>
      <c r="I119" s="58">
        <f t="shared" si="55"/>
        <v>-91.022503428108834</v>
      </c>
      <c r="J119" s="58">
        <f t="shared" si="56"/>
        <v>-78.645861861973927</v>
      </c>
      <c r="K119" s="58">
        <f t="shared" si="57"/>
        <v>-72.816082169840755</v>
      </c>
      <c r="L119" s="56">
        <f t="shared" si="58"/>
        <v>9.87585156907741</v>
      </c>
      <c r="M119" s="19"/>
      <c r="N119" s="19"/>
      <c r="O119" s="22"/>
      <c r="P119" s="22"/>
      <c r="R119" s="19"/>
      <c r="S119" s="19"/>
      <c r="T119" s="19"/>
      <c r="W119" s="108">
        <f t="shared" si="67"/>
        <v>143</v>
      </c>
      <c r="Z119" s="67"/>
      <c r="AA119" s="77"/>
    </row>
    <row r="120" spans="1:27" x14ac:dyDescent="0.25">
      <c r="A120" s="17">
        <f t="shared" si="64"/>
        <v>2006</v>
      </c>
      <c r="B120" s="58">
        <f t="shared" si="66"/>
        <v>59.128870966151794</v>
      </c>
      <c r="C120" s="58">
        <f t="shared" si="50"/>
        <v>48.654831970202586</v>
      </c>
      <c r="D120" s="58">
        <f t="shared" si="51"/>
        <v>-80.448422659432268</v>
      </c>
      <c r="E120" s="58">
        <f t="shared" si="65"/>
        <v>-21.435481413322538</v>
      </c>
      <c r="F120" s="58">
        <f t="shared" si="52"/>
        <v>-24.042124026493312</v>
      </c>
      <c r="G120" s="58">
        <f t="shared" si="53"/>
        <v>4.95132856483258</v>
      </c>
      <c r="H120" s="58">
        <f t="shared" si="54"/>
        <v>-41.550973536135913</v>
      </c>
      <c r="I120" s="58">
        <f t="shared" si="55"/>
        <v>-36.71209458044639</v>
      </c>
      <c r="J120" s="58">
        <f t="shared" si="56"/>
        <v>-47.91089010094543</v>
      </c>
      <c r="K120" s="56">
        <f t="shared" si="57"/>
        <v>-66.099234380702256</v>
      </c>
      <c r="L120" s="19"/>
      <c r="M120" s="19"/>
      <c r="N120" s="19"/>
      <c r="O120" s="22"/>
      <c r="P120" s="19"/>
      <c r="Q120" s="19"/>
      <c r="R120" s="19"/>
      <c r="S120" s="19"/>
      <c r="T120" s="19"/>
      <c r="W120" s="108">
        <f t="shared" si="67"/>
        <v>154</v>
      </c>
      <c r="Z120" s="67"/>
      <c r="AA120" s="77"/>
    </row>
    <row r="121" spans="1:27" x14ac:dyDescent="0.25">
      <c r="A121" s="17">
        <f t="shared" si="64"/>
        <v>2007</v>
      </c>
      <c r="B121" s="58">
        <f t="shared" si="66"/>
        <v>111.47917353306582</v>
      </c>
      <c r="C121" s="58">
        <f t="shared" si="50"/>
        <v>64.932694351346356</v>
      </c>
      <c r="D121" s="58">
        <f t="shared" si="51"/>
        <v>-102.33498773796809</v>
      </c>
      <c r="E121" s="58">
        <f t="shared" si="65"/>
        <v>-95.888399566387591</v>
      </c>
      <c r="F121" s="58">
        <f t="shared" si="52"/>
        <v>62.581926585431319</v>
      </c>
      <c r="G121" s="58">
        <f t="shared" si="53"/>
        <v>-92.273759958001889</v>
      </c>
      <c r="H121" s="58">
        <f t="shared" si="54"/>
        <v>-43.524796262555483</v>
      </c>
      <c r="I121" s="58">
        <f t="shared" si="55"/>
        <v>-58.628266333131769</v>
      </c>
      <c r="J121" s="56">
        <f t="shared" si="56"/>
        <v>-214.68653917197977</v>
      </c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W121" s="108">
        <f t="shared" si="67"/>
        <v>164</v>
      </c>
      <c r="Z121" s="67"/>
      <c r="AA121" s="77"/>
    </row>
    <row r="122" spans="1:27" x14ac:dyDescent="0.25">
      <c r="A122" s="17">
        <f t="shared" si="64"/>
        <v>2008</v>
      </c>
      <c r="B122" s="58">
        <f t="shared" si="66"/>
        <v>14.069409110334306</v>
      </c>
      <c r="C122" s="58">
        <f t="shared" si="50"/>
        <v>-11.97171617922133</v>
      </c>
      <c r="D122" s="58">
        <f t="shared" si="51"/>
        <v>59.084091821773576</v>
      </c>
      <c r="E122" s="58">
        <f t="shared" si="65"/>
        <v>67.915098692376972</v>
      </c>
      <c r="F122" s="58">
        <f t="shared" si="52"/>
        <v>-85.080544698482925</v>
      </c>
      <c r="G122" s="58">
        <f t="shared" si="53"/>
        <v>-9.9726304205511997</v>
      </c>
      <c r="H122" s="58">
        <f t="shared" si="54"/>
        <v>-64.466667422834504</v>
      </c>
      <c r="I122" s="56">
        <f t="shared" si="55"/>
        <v>-82.724156105644596</v>
      </c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W122" s="108">
        <f t="shared" si="67"/>
        <v>173</v>
      </c>
      <c r="Z122" s="67"/>
      <c r="AA122" s="77"/>
    </row>
    <row r="123" spans="1:27" x14ac:dyDescent="0.25">
      <c r="A123" s="17">
        <f t="shared" si="64"/>
        <v>2009</v>
      </c>
      <c r="B123" s="58">
        <f t="shared" si="66"/>
        <v>-30.3427835065275</v>
      </c>
      <c r="C123" s="58">
        <f t="shared" si="50"/>
        <v>19.595535482655976</v>
      </c>
      <c r="D123" s="58">
        <f t="shared" si="51"/>
        <v>-2.6835395323904359</v>
      </c>
      <c r="E123" s="58">
        <f t="shared" si="65"/>
        <v>93.650778571920171</v>
      </c>
      <c r="F123" s="58">
        <f t="shared" si="52"/>
        <v>51.79332731486771</v>
      </c>
      <c r="G123" s="58">
        <f t="shared" si="53"/>
        <v>-53.747618171761886</v>
      </c>
      <c r="H123" s="58">
        <f t="shared" si="54"/>
        <v>-100.19739870204083</v>
      </c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W123" s="108">
        <f t="shared" si="67"/>
        <v>181</v>
      </c>
      <c r="Z123" s="67"/>
      <c r="AA123" s="77"/>
    </row>
    <row r="124" spans="1:27" x14ac:dyDescent="0.25">
      <c r="A124" s="17">
        <f t="shared" si="64"/>
        <v>2010</v>
      </c>
      <c r="B124" s="58">
        <f t="shared" si="66"/>
        <v>22.514331795887774</v>
      </c>
      <c r="C124" s="58">
        <f t="shared" si="50"/>
        <v>-9.7217594665357456</v>
      </c>
      <c r="D124" s="58">
        <f t="shared" si="51"/>
        <v>7.8899118294686881</v>
      </c>
      <c r="E124" s="58">
        <f t="shared" si="65"/>
        <v>-24.191030036052066</v>
      </c>
      <c r="F124" s="58">
        <f t="shared" si="52"/>
        <v>23.134597391376452</v>
      </c>
      <c r="G124" s="58">
        <f t="shared" si="53"/>
        <v>-57.694030623111942</v>
      </c>
      <c r="H124" s="21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W124" s="108">
        <f t="shared" si="67"/>
        <v>188</v>
      </c>
      <c r="Z124" s="67"/>
      <c r="AA124" s="77"/>
    </row>
    <row r="125" spans="1:27" x14ac:dyDescent="0.25">
      <c r="A125" s="17">
        <f t="shared" si="64"/>
        <v>2011</v>
      </c>
      <c r="B125" s="58">
        <f t="shared" si="66"/>
        <v>-30.993064478509122</v>
      </c>
      <c r="C125" s="58">
        <f t="shared" si="50"/>
        <v>61.920913855810149</v>
      </c>
      <c r="D125" s="58">
        <f t="shared" si="51"/>
        <v>-5.2757557076196049</v>
      </c>
      <c r="E125" s="58">
        <f t="shared" si="65"/>
        <v>-41.141900748469169</v>
      </c>
      <c r="F125" s="58">
        <f t="shared" si="52"/>
        <v>7.0897639783783664</v>
      </c>
      <c r="G125" s="21"/>
      <c r="H125" s="21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7"/>
      <c r="V125" s="7"/>
      <c r="W125" s="108">
        <f t="shared" si="67"/>
        <v>194</v>
      </c>
      <c r="X125" s="7"/>
      <c r="Z125" s="67"/>
      <c r="AA125" s="77"/>
    </row>
    <row r="126" spans="1:27" x14ac:dyDescent="0.25">
      <c r="A126" s="17">
        <f t="shared" si="64"/>
        <v>2012</v>
      </c>
      <c r="B126" s="58">
        <f t="shared" si="66"/>
        <v>-17.019578558806725</v>
      </c>
      <c r="C126" s="58">
        <f t="shared" si="50"/>
        <v>54.446240897679168</v>
      </c>
      <c r="D126" s="58">
        <f t="shared" si="51"/>
        <v>-15.849149486061229</v>
      </c>
      <c r="E126" s="58">
        <f t="shared" si="65"/>
        <v>-40.774182683014423</v>
      </c>
      <c r="F126" s="21"/>
      <c r="G126" s="21"/>
      <c r="H126" s="21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7"/>
      <c r="V126" s="7"/>
      <c r="W126" s="108">
        <f t="shared" si="67"/>
        <v>199</v>
      </c>
      <c r="X126" s="7"/>
      <c r="Z126" s="67"/>
      <c r="AA126" s="77"/>
    </row>
    <row r="127" spans="1:27" x14ac:dyDescent="0.25">
      <c r="A127" s="17">
        <f t="shared" si="64"/>
        <v>2013</v>
      </c>
      <c r="B127" s="58">
        <f t="shared" si="66"/>
        <v>35.849067005437959</v>
      </c>
      <c r="C127" s="58">
        <f t="shared" si="50"/>
        <v>41.959384770445382</v>
      </c>
      <c r="D127" s="58">
        <f t="shared" si="51"/>
        <v>-124.99925004009854</v>
      </c>
      <c r="E127" s="21"/>
      <c r="F127" s="21"/>
      <c r="G127" s="21"/>
      <c r="H127" s="21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7"/>
      <c r="V127" s="7"/>
      <c r="W127" s="108">
        <f t="shared" si="67"/>
        <v>203</v>
      </c>
      <c r="X127" s="7"/>
      <c r="Z127" s="67"/>
      <c r="AA127" s="77"/>
    </row>
    <row r="128" spans="1:27" x14ac:dyDescent="0.25">
      <c r="A128" s="17">
        <f t="shared" si="64"/>
        <v>2014</v>
      </c>
      <c r="B128" s="58">
        <f t="shared" si="66"/>
        <v>-31.869114802251669</v>
      </c>
      <c r="C128" s="58">
        <f t="shared" si="50"/>
        <v>40.662875051076327</v>
      </c>
      <c r="D128" s="21"/>
      <c r="E128" s="21"/>
      <c r="F128" s="21"/>
      <c r="G128" s="21"/>
      <c r="H128" s="21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7"/>
      <c r="V128" s="7"/>
      <c r="W128" s="108">
        <f t="shared" si="67"/>
        <v>206</v>
      </c>
      <c r="X128" s="7"/>
      <c r="Z128" s="67"/>
      <c r="AA128" s="77"/>
    </row>
    <row r="129" spans="1:24" x14ac:dyDescent="0.25">
      <c r="A129" s="17"/>
      <c r="B129" s="55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</row>
    <row r="130" spans="1:24" x14ac:dyDescent="0.25">
      <c r="A130" s="17" t="s">
        <v>142</v>
      </c>
      <c r="B130" s="55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</row>
    <row r="131" spans="1:24" x14ac:dyDescent="0.25">
      <c r="A131" s="17">
        <f>A9</f>
        <v>1996</v>
      </c>
      <c r="B131" s="55">
        <f ca="1">INT(RAND()*COUNT($B$110:$T$128))</f>
        <v>8</v>
      </c>
      <c r="C131" s="55">
        <f t="shared" ref="C131:C149" ca="1" si="68">INT(RAND()*COUNT($B$110:$T$128))</f>
        <v>59</v>
      </c>
      <c r="D131" s="55">
        <f t="shared" ref="D131:D148" ca="1" si="69">INT(RAND()*COUNT($B$110:$T$128))</f>
        <v>129</v>
      </c>
      <c r="E131" s="55">
        <f t="shared" ref="E131:E147" ca="1" si="70">INT(RAND()*COUNT($B$110:$T$128))</f>
        <v>112</v>
      </c>
      <c r="F131" s="55">
        <f t="shared" ref="F131:F146" ca="1" si="71">INT(RAND()*COUNT($B$110:$T$128))</f>
        <v>169</v>
      </c>
      <c r="G131" s="55">
        <f t="shared" ref="G131:G145" ca="1" si="72">INT(RAND()*COUNT($B$110:$T$128))</f>
        <v>26</v>
      </c>
      <c r="H131" s="55">
        <f t="shared" ref="H131:H144" ca="1" si="73">INT(RAND()*COUNT($B$110:$T$128))</f>
        <v>111</v>
      </c>
      <c r="I131" s="55">
        <f t="shared" ref="I131:I143" ca="1" si="74">INT(RAND()*COUNT($B$110:$T$128))</f>
        <v>109</v>
      </c>
      <c r="J131" s="55">
        <f t="shared" ref="J131:J142" ca="1" si="75">INT(RAND()*COUNT($B$110:$T$128))</f>
        <v>167</v>
      </c>
      <c r="K131" s="55">
        <f t="shared" ref="K131:K141" ca="1" si="76">INT(RAND()*COUNT($B$110:$T$128))</f>
        <v>202</v>
      </c>
      <c r="L131" s="55">
        <f t="shared" ref="L131:L140" ca="1" si="77">INT(RAND()*COUNT($B$110:$T$128))</f>
        <v>136</v>
      </c>
      <c r="M131" s="55">
        <f t="shared" ref="M131:M139" ca="1" si="78">INT(RAND()*COUNT($B$110:$T$128))</f>
        <v>106</v>
      </c>
      <c r="N131" s="55">
        <f t="shared" ref="N131:N138" ca="1" si="79">INT(RAND()*COUNT($B$110:$T$128))</f>
        <v>9</v>
      </c>
      <c r="O131" s="55">
        <f t="shared" ref="O131:O137" ca="1" si="80">INT(RAND()*COUNT($B$110:$T$128))</f>
        <v>83</v>
      </c>
      <c r="P131" s="55">
        <f t="shared" ref="P131:P136" ca="1" si="81">INT(RAND()*COUNT($B$110:$T$128))</f>
        <v>70</v>
      </c>
      <c r="Q131" s="55">
        <f t="shared" ref="Q131:U132" ca="1" si="82">INT(RAND()*COUNT($B$110:$T$128))</f>
        <v>40</v>
      </c>
      <c r="R131" s="55">
        <f t="shared" ca="1" si="82"/>
        <v>36</v>
      </c>
      <c r="S131" s="55">
        <f t="shared" ca="1" si="82"/>
        <v>31</v>
      </c>
      <c r="T131" s="55">
        <f t="shared" ca="1" si="82"/>
        <v>201</v>
      </c>
      <c r="U131" s="55">
        <f t="shared" ca="1" si="82"/>
        <v>42</v>
      </c>
      <c r="V131" s="7"/>
      <c r="W131" s="7"/>
      <c r="X131" s="7"/>
    </row>
    <row r="132" spans="1:24" x14ac:dyDescent="0.25">
      <c r="A132" s="17">
        <f t="shared" ref="A132:A150" si="83">A10</f>
        <v>1997</v>
      </c>
      <c r="B132" s="55">
        <f t="shared" ref="B132:B150" ca="1" si="84">INT(RAND()*COUNT($B$110:$T$128))</f>
        <v>62</v>
      </c>
      <c r="C132" s="55">
        <f t="shared" ca="1" si="68"/>
        <v>197</v>
      </c>
      <c r="D132" s="55">
        <f t="shared" ca="1" si="69"/>
        <v>162</v>
      </c>
      <c r="E132" s="55">
        <f t="shared" ca="1" si="70"/>
        <v>74</v>
      </c>
      <c r="F132" s="55">
        <f t="shared" ca="1" si="71"/>
        <v>2</v>
      </c>
      <c r="G132" s="55">
        <f t="shared" ca="1" si="72"/>
        <v>204</v>
      </c>
      <c r="H132" s="55">
        <f t="shared" ca="1" si="73"/>
        <v>65</v>
      </c>
      <c r="I132" s="55">
        <f t="shared" ca="1" si="74"/>
        <v>136</v>
      </c>
      <c r="J132" s="55">
        <f t="shared" ca="1" si="75"/>
        <v>110</v>
      </c>
      <c r="K132" s="55">
        <f t="shared" ca="1" si="76"/>
        <v>43</v>
      </c>
      <c r="L132" s="55">
        <f t="shared" ca="1" si="77"/>
        <v>7</v>
      </c>
      <c r="M132" s="55">
        <f t="shared" ca="1" si="78"/>
        <v>126</v>
      </c>
      <c r="N132" s="55">
        <f t="shared" ca="1" si="79"/>
        <v>74</v>
      </c>
      <c r="O132" s="55">
        <f t="shared" ca="1" si="80"/>
        <v>61</v>
      </c>
      <c r="P132" s="55">
        <f t="shared" ca="1" si="81"/>
        <v>38</v>
      </c>
      <c r="Q132" s="55">
        <f t="shared" ca="1" si="82"/>
        <v>72</v>
      </c>
      <c r="R132" s="55">
        <f t="shared" ca="1" si="82"/>
        <v>91</v>
      </c>
      <c r="S132" s="55">
        <f t="shared" ca="1" si="82"/>
        <v>21</v>
      </c>
      <c r="T132" s="55">
        <f t="shared" ca="1" si="82"/>
        <v>133</v>
      </c>
      <c r="U132" s="7"/>
      <c r="V132" s="7"/>
      <c r="W132" s="7"/>
      <c r="X132" s="7"/>
    </row>
    <row r="133" spans="1:24" x14ac:dyDescent="0.25">
      <c r="A133" s="17">
        <f t="shared" si="83"/>
        <v>1998</v>
      </c>
      <c r="B133" s="55">
        <f t="shared" ca="1" si="84"/>
        <v>103</v>
      </c>
      <c r="C133" s="55">
        <f t="shared" ca="1" si="68"/>
        <v>64</v>
      </c>
      <c r="D133" s="55">
        <f t="shared" ca="1" si="69"/>
        <v>42</v>
      </c>
      <c r="E133" s="55">
        <f t="shared" ca="1" si="70"/>
        <v>50</v>
      </c>
      <c r="F133" s="55">
        <f t="shared" ca="1" si="71"/>
        <v>56</v>
      </c>
      <c r="G133" s="55">
        <f t="shared" ca="1" si="72"/>
        <v>73</v>
      </c>
      <c r="H133" s="55">
        <f t="shared" ca="1" si="73"/>
        <v>11</v>
      </c>
      <c r="I133" s="55">
        <f t="shared" ca="1" si="74"/>
        <v>21</v>
      </c>
      <c r="J133" s="55">
        <f t="shared" ca="1" si="75"/>
        <v>130</v>
      </c>
      <c r="K133" s="55">
        <f t="shared" ca="1" si="76"/>
        <v>171</v>
      </c>
      <c r="L133" s="55">
        <f t="shared" ca="1" si="77"/>
        <v>6</v>
      </c>
      <c r="M133" s="55">
        <f t="shared" ca="1" si="78"/>
        <v>174</v>
      </c>
      <c r="N133" s="55">
        <f t="shared" ca="1" si="79"/>
        <v>61</v>
      </c>
      <c r="O133" s="55">
        <f t="shared" ca="1" si="80"/>
        <v>135</v>
      </c>
      <c r="P133" s="55">
        <f t="shared" ca="1" si="81"/>
        <v>164</v>
      </c>
      <c r="Q133" s="55">
        <f ca="1">INT(RAND()*COUNT($B$110:$T$128))</f>
        <v>192</v>
      </c>
      <c r="R133" s="55">
        <f ca="1">INT(RAND()*COUNT($B$110:$T$128))</f>
        <v>142</v>
      </c>
      <c r="S133" s="55">
        <f ca="1">INT(RAND()*COUNT($B$110:$T$128))</f>
        <v>170</v>
      </c>
      <c r="T133" s="7"/>
      <c r="U133" s="7"/>
      <c r="V133" s="7"/>
      <c r="W133" s="7"/>
      <c r="X133" s="7"/>
    </row>
    <row r="134" spans="1:24" x14ac:dyDescent="0.25">
      <c r="A134" s="17">
        <f t="shared" si="83"/>
        <v>1999</v>
      </c>
      <c r="B134" s="55">
        <f t="shared" ca="1" si="84"/>
        <v>154</v>
      </c>
      <c r="C134" s="55">
        <f t="shared" ca="1" si="68"/>
        <v>87</v>
      </c>
      <c r="D134" s="55">
        <f t="shared" ca="1" si="69"/>
        <v>198</v>
      </c>
      <c r="E134" s="55">
        <f t="shared" ca="1" si="70"/>
        <v>193</v>
      </c>
      <c r="F134" s="55">
        <f t="shared" ca="1" si="71"/>
        <v>145</v>
      </c>
      <c r="G134" s="55">
        <f t="shared" ca="1" si="72"/>
        <v>50</v>
      </c>
      <c r="H134" s="55">
        <f t="shared" ca="1" si="73"/>
        <v>204</v>
      </c>
      <c r="I134" s="55">
        <f t="shared" ca="1" si="74"/>
        <v>150</v>
      </c>
      <c r="J134" s="55">
        <f t="shared" ca="1" si="75"/>
        <v>172</v>
      </c>
      <c r="K134" s="55">
        <f t="shared" ca="1" si="76"/>
        <v>110</v>
      </c>
      <c r="L134" s="55">
        <f t="shared" ca="1" si="77"/>
        <v>187</v>
      </c>
      <c r="M134" s="55">
        <f t="shared" ca="1" si="78"/>
        <v>167</v>
      </c>
      <c r="N134" s="55">
        <f t="shared" ca="1" si="79"/>
        <v>1</v>
      </c>
      <c r="O134" s="55">
        <f t="shared" ca="1" si="80"/>
        <v>14</v>
      </c>
      <c r="P134" s="55">
        <f t="shared" ca="1" si="81"/>
        <v>51</v>
      </c>
      <c r="Q134" s="55">
        <f ca="1">INT(RAND()*COUNT($B$110:$T$128))</f>
        <v>30</v>
      </c>
      <c r="R134" s="55">
        <f ca="1">INT(RAND()*COUNT($B$110:$T$128))</f>
        <v>51</v>
      </c>
      <c r="S134" s="7"/>
      <c r="T134" s="7"/>
      <c r="U134" s="7"/>
      <c r="V134" s="7"/>
      <c r="W134" s="7"/>
      <c r="X134" s="7"/>
    </row>
    <row r="135" spans="1:24" x14ac:dyDescent="0.25">
      <c r="A135" s="17">
        <f t="shared" si="83"/>
        <v>2000</v>
      </c>
      <c r="B135" s="55">
        <f t="shared" ca="1" si="84"/>
        <v>3</v>
      </c>
      <c r="C135" s="55">
        <f t="shared" ca="1" si="68"/>
        <v>67</v>
      </c>
      <c r="D135" s="55">
        <f t="shared" ca="1" si="69"/>
        <v>124</v>
      </c>
      <c r="E135" s="55">
        <f t="shared" ca="1" si="70"/>
        <v>72</v>
      </c>
      <c r="F135" s="55">
        <f t="shared" ca="1" si="71"/>
        <v>79</v>
      </c>
      <c r="G135" s="55">
        <f t="shared" ca="1" si="72"/>
        <v>15</v>
      </c>
      <c r="H135" s="55">
        <f t="shared" ca="1" si="73"/>
        <v>169</v>
      </c>
      <c r="I135" s="55">
        <f t="shared" ca="1" si="74"/>
        <v>73</v>
      </c>
      <c r="J135" s="55">
        <f t="shared" ca="1" si="75"/>
        <v>164</v>
      </c>
      <c r="K135" s="55">
        <f t="shared" ca="1" si="76"/>
        <v>53</v>
      </c>
      <c r="L135" s="55">
        <f t="shared" ca="1" si="77"/>
        <v>204</v>
      </c>
      <c r="M135" s="55">
        <f t="shared" ca="1" si="78"/>
        <v>207</v>
      </c>
      <c r="N135" s="55">
        <f t="shared" ca="1" si="79"/>
        <v>186</v>
      </c>
      <c r="O135" s="55">
        <f t="shared" ca="1" si="80"/>
        <v>116</v>
      </c>
      <c r="P135" s="55">
        <f t="shared" ca="1" si="81"/>
        <v>132</v>
      </c>
      <c r="Q135" s="55">
        <f ca="1">INT(RAND()*COUNT($B$110:$T$128))</f>
        <v>74</v>
      </c>
      <c r="R135" s="7"/>
      <c r="S135" s="7"/>
      <c r="T135" s="7"/>
      <c r="U135" s="7"/>
      <c r="V135" s="7"/>
      <c r="W135" s="7"/>
      <c r="X135" s="7"/>
    </row>
    <row r="136" spans="1:24" x14ac:dyDescent="0.25">
      <c r="A136" s="17">
        <f t="shared" si="83"/>
        <v>2001</v>
      </c>
      <c r="B136" s="55">
        <f t="shared" ca="1" si="84"/>
        <v>99</v>
      </c>
      <c r="C136" s="55">
        <f t="shared" ca="1" si="68"/>
        <v>132</v>
      </c>
      <c r="D136" s="55">
        <f t="shared" ca="1" si="69"/>
        <v>6</v>
      </c>
      <c r="E136" s="55">
        <f t="shared" ca="1" si="70"/>
        <v>3</v>
      </c>
      <c r="F136" s="55">
        <f t="shared" ca="1" si="71"/>
        <v>101</v>
      </c>
      <c r="G136" s="55">
        <f t="shared" ca="1" si="72"/>
        <v>137</v>
      </c>
      <c r="H136" s="55">
        <f t="shared" ca="1" si="73"/>
        <v>188</v>
      </c>
      <c r="I136" s="55">
        <f t="shared" ca="1" si="74"/>
        <v>69</v>
      </c>
      <c r="J136" s="55">
        <f t="shared" ca="1" si="75"/>
        <v>34</v>
      </c>
      <c r="K136" s="55">
        <f t="shared" ca="1" si="76"/>
        <v>207</v>
      </c>
      <c r="L136" s="55">
        <f t="shared" ca="1" si="77"/>
        <v>195</v>
      </c>
      <c r="M136" s="55">
        <f t="shared" ca="1" si="78"/>
        <v>24</v>
      </c>
      <c r="N136" s="55">
        <f t="shared" ca="1" si="79"/>
        <v>136</v>
      </c>
      <c r="O136" s="55">
        <f t="shared" ca="1" si="80"/>
        <v>161</v>
      </c>
      <c r="P136" s="55">
        <f t="shared" ca="1" si="81"/>
        <v>5</v>
      </c>
      <c r="Q136" s="7"/>
      <c r="R136" s="7"/>
      <c r="S136" s="7"/>
      <c r="T136" s="7"/>
      <c r="U136" s="7"/>
      <c r="V136" s="7"/>
      <c r="W136" s="7"/>
      <c r="X136" s="7"/>
    </row>
    <row r="137" spans="1:24" x14ac:dyDescent="0.25">
      <c r="A137" s="17">
        <f t="shared" si="83"/>
        <v>2002</v>
      </c>
      <c r="B137" s="55">
        <f t="shared" ca="1" si="84"/>
        <v>47</v>
      </c>
      <c r="C137" s="55">
        <f t="shared" ca="1" si="68"/>
        <v>74</v>
      </c>
      <c r="D137" s="55">
        <f t="shared" ca="1" si="69"/>
        <v>115</v>
      </c>
      <c r="E137" s="55">
        <f t="shared" ca="1" si="70"/>
        <v>59</v>
      </c>
      <c r="F137" s="55">
        <f t="shared" ca="1" si="71"/>
        <v>173</v>
      </c>
      <c r="G137" s="55">
        <f t="shared" ca="1" si="72"/>
        <v>157</v>
      </c>
      <c r="H137" s="55">
        <f t="shared" ca="1" si="73"/>
        <v>172</v>
      </c>
      <c r="I137" s="55">
        <f t="shared" ca="1" si="74"/>
        <v>204</v>
      </c>
      <c r="J137" s="55">
        <f t="shared" ca="1" si="75"/>
        <v>67</v>
      </c>
      <c r="K137" s="55">
        <f t="shared" ca="1" si="76"/>
        <v>85</v>
      </c>
      <c r="L137" s="55">
        <f t="shared" ca="1" si="77"/>
        <v>58</v>
      </c>
      <c r="M137" s="55">
        <f t="shared" ca="1" si="78"/>
        <v>108</v>
      </c>
      <c r="N137" s="55">
        <f t="shared" ca="1" si="79"/>
        <v>131</v>
      </c>
      <c r="O137" s="55">
        <f t="shared" ca="1" si="80"/>
        <v>65</v>
      </c>
      <c r="P137" s="7"/>
      <c r="Q137" s="7"/>
      <c r="R137" s="7"/>
      <c r="S137" s="7"/>
      <c r="T137" s="7"/>
      <c r="U137" s="7"/>
      <c r="V137" s="7"/>
      <c r="W137" s="7"/>
      <c r="X137" s="7"/>
    </row>
    <row r="138" spans="1:24" x14ac:dyDescent="0.25">
      <c r="A138" s="17">
        <f t="shared" si="83"/>
        <v>2003</v>
      </c>
      <c r="B138" s="55">
        <f t="shared" ca="1" si="84"/>
        <v>165</v>
      </c>
      <c r="C138" s="55">
        <f t="shared" ca="1" si="68"/>
        <v>113</v>
      </c>
      <c r="D138" s="55">
        <f t="shared" ca="1" si="69"/>
        <v>96</v>
      </c>
      <c r="E138" s="55">
        <f t="shared" ca="1" si="70"/>
        <v>127</v>
      </c>
      <c r="F138" s="55">
        <f t="shared" ca="1" si="71"/>
        <v>123</v>
      </c>
      <c r="G138" s="55">
        <f t="shared" ca="1" si="72"/>
        <v>175</v>
      </c>
      <c r="H138" s="55">
        <f t="shared" ca="1" si="73"/>
        <v>142</v>
      </c>
      <c r="I138" s="55">
        <f t="shared" ca="1" si="74"/>
        <v>87</v>
      </c>
      <c r="J138" s="55">
        <f t="shared" ca="1" si="75"/>
        <v>158</v>
      </c>
      <c r="K138" s="55">
        <f t="shared" ca="1" si="76"/>
        <v>23</v>
      </c>
      <c r="L138" s="55">
        <f t="shared" ca="1" si="77"/>
        <v>54</v>
      </c>
      <c r="M138" s="55">
        <f t="shared" ca="1" si="78"/>
        <v>96</v>
      </c>
      <c r="N138" s="55">
        <f t="shared" ca="1" si="79"/>
        <v>98</v>
      </c>
      <c r="O138" s="7"/>
      <c r="P138" s="7"/>
      <c r="Q138" s="7"/>
      <c r="R138" s="7"/>
      <c r="S138" s="7"/>
      <c r="T138" s="7"/>
      <c r="U138" s="7"/>
      <c r="V138" s="7"/>
      <c r="W138" s="7"/>
      <c r="X138" s="7"/>
    </row>
    <row r="139" spans="1:24" x14ac:dyDescent="0.25">
      <c r="A139" s="17">
        <f t="shared" si="83"/>
        <v>2004</v>
      </c>
      <c r="B139" s="55">
        <f t="shared" ca="1" si="84"/>
        <v>65</v>
      </c>
      <c r="C139" s="55">
        <f t="shared" ca="1" si="68"/>
        <v>103</v>
      </c>
      <c r="D139" s="55">
        <f t="shared" ca="1" si="69"/>
        <v>77</v>
      </c>
      <c r="E139" s="55">
        <f t="shared" ca="1" si="70"/>
        <v>175</v>
      </c>
      <c r="F139" s="55">
        <f t="shared" ca="1" si="71"/>
        <v>130</v>
      </c>
      <c r="G139" s="55">
        <f t="shared" ca="1" si="72"/>
        <v>152</v>
      </c>
      <c r="H139" s="55">
        <f t="shared" ca="1" si="73"/>
        <v>176</v>
      </c>
      <c r="I139" s="55">
        <f t="shared" ca="1" si="74"/>
        <v>92</v>
      </c>
      <c r="J139" s="55">
        <f t="shared" ca="1" si="75"/>
        <v>171</v>
      </c>
      <c r="K139" s="55">
        <f t="shared" ca="1" si="76"/>
        <v>14</v>
      </c>
      <c r="L139" s="55">
        <f t="shared" ca="1" si="77"/>
        <v>121</v>
      </c>
      <c r="M139" s="55">
        <f t="shared" ca="1" si="78"/>
        <v>110</v>
      </c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</row>
    <row r="140" spans="1:24" x14ac:dyDescent="0.25">
      <c r="A140" s="17">
        <f t="shared" si="83"/>
        <v>2005</v>
      </c>
      <c r="B140" s="55">
        <f t="shared" ca="1" si="84"/>
        <v>21</v>
      </c>
      <c r="C140" s="55">
        <f t="shared" ca="1" si="68"/>
        <v>57</v>
      </c>
      <c r="D140" s="55">
        <f t="shared" ca="1" si="69"/>
        <v>97</v>
      </c>
      <c r="E140" s="55">
        <f t="shared" ca="1" si="70"/>
        <v>139</v>
      </c>
      <c r="F140" s="55">
        <f t="shared" ca="1" si="71"/>
        <v>93</v>
      </c>
      <c r="G140" s="55">
        <f t="shared" ca="1" si="72"/>
        <v>39</v>
      </c>
      <c r="H140" s="55">
        <f t="shared" ca="1" si="73"/>
        <v>184</v>
      </c>
      <c r="I140" s="55">
        <f t="shared" ca="1" si="74"/>
        <v>153</v>
      </c>
      <c r="J140" s="55">
        <f t="shared" ca="1" si="75"/>
        <v>179</v>
      </c>
      <c r="K140" s="55">
        <f t="shared" ca="1" si="76"/>
        <v>108</v>
      </c>
      <c r="L140" s="55">
        <f t="shared" ca="1" si="77"/>
        <v>74</v>
      </c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</row>
    <row r="141" spans="1:24" x14ac:dyDescent="0.25">
      <c r="A141" s="17">
        <f t="shared" si="83"/>
        <v>2006</v>
      </c>
      <c r="B141" s="55">
        <f t="shared" ca="1" si="84"/>
        <v>72</v>
      </c>
      <c r="C141" s="55">
        <f t="shared" ca="1" si="68"/>
        <v>15</v>
      </c>
      <c r="D141" s="55">
        <f t="shared" ca="1" si="69"/>
        <v>18</v>
      </c>
      <c r="E141" s="55">
        <f t="shared" ca="1" si="70"/>
        <v>51</v>
      </c>
      <c r="F141" s="55">
        <f t="shared" ca="1" si="71"/>
        <v>48</v>
      </c>
      <c r="G141" s="55">
        <f t="shared" ca="1" si="72"/>
        <v>54</v>
      </c>
      <c r="H141" s="55">
        <f t="shared" ca="1" si="73"/>
        <v>70</v>
      </c>
      <c r="I141" s="55">
        <f t="shared" ca="1" si="74"/>
        <v>141</v>
      </c>
      <c r="J141" s="55">
        <f t="shared" ca="1" si="75"/>
        <v>123</v>
      </c>
      <c r="K141" s="55">
        <f t="shared" ca="1" si="76"/>
        <v>48</v>
      </c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</row>
    <row r="142" spans="1:24" x14ac:dyDescent="0.25">
      <c r="A142" s="17">
        <f t="shared" si="83"/>
        <v>2007</v>
      </c>
      <c r="B142" s="55">
        <f t="shared" ca="1" si="84"/>
        <v>95</v>
      </c>
      <c r="C142" s="55">
        <f t="shared" ca="1" si="68"/>
        <v>122</v>
      </c>
      <c r="D142" s="55">
        <f t="shared" ca="1" si="69"/>
        <v>79</v>
      </c>
      <c r="E142" s="55">
        <f t="shared" ca="1" si="70"/>
        <v>92</v>
      </c>
      <c r="F142" s="55">
        <f t="shared" ca="1" si="71"/>
        <v>152</v>
      </c>
      <c r="G142" s="55">
        <f t="shared" ca="1" si="72"/>
        <v>72</v>
      </c>
      <c r="H142" s="55">
        <f t="shared" ca="1" si="73"/>
        <v>167</v>
      </c>
      <c r="I142" s="55">
        <f t="shared" ca="1" si="74"/>
        <v>112</v>
      </c>
      <c r="J142" s="55">
        <f t="shared" ca="1" si="75"/>
        <v>192</v>
      </c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</row>
    <row r="143" spans="1:24" x14ac:dyDescent="0.25">
      <c r="A143" s="17">
        <f t="shared" si="83"/>
        <v>2008</v>
      </c>
      <c r="B143" s="55">
        <f t="shared" ca="1" si="84"/>
        <v>1</v>
      </c>
      <c r="C143" s="55">
        <f t="shared" ca="1" si="68"/>
        <v>138</v>
      </c>
      <c r="D143" s="55">
        <f t="shared" ca="1" si="69"/>
        <v>162</v>
      </c>
      <c r="E143" s="55">
        <f t="shared" ca="1" si="70"/>
        <v>176</v>
      </c>
      <c r="F143" s="55">
        <f t="shared" ca="1" si="71"/>
        <v>168</v>
      </c>
      <c r="G143" s="55">
        <f t="shared" ca="1" si="72"/>
        <v>78</v>
      </c>
      <c r="H143" s="55">
        <f t="shared" ca="1" si="73"/>
        <v>38</v>
      </c>
      <c r="I143" s="55">
        <f t="shared" ca="1" si="74"/>
        <v>173</v>
      </c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</row>
    <row r="144" spans="1:24" x14ac:dyDescent="0.25">
      <c r="A144" s="17">
        <f t="shared" si="83"/>
        <v>2009</v>
      </c>
      <c r="B144" s="55">
        <f t="shared" ca="1" si="84"/>
        <v>122</v>
      </c>
      <c r="C144" s="55">
        <f t="shared" ca="1" si="68"/>
        <v>124</v>
      </c>
      <c r="D144" s="55">
        <f t="shared" ca="1" si="69"/>
        <v>44</v>
      </c>
      <c r="E144" s="55">
        <f t="shared" ca="1" si="70"/>
        <v>71</v>
      </c>
      <c r="F144" s="55">
        <f t="shared" ca="1" si="71"/>
        <v>200</v>
      </c>
      <c r="G144" s="55">
        <f t="shared" ca="1" si="72"/>
        <v>30</v>
      </c>
      <c r="H144" s="55">
        <f t="shared" ca="1" si="73"/>
        <v>193</v>
      </c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</row>
    <row r="145" spans="1:24" x14ac:dyDescent="0.25">
      <c r="A145" s="17">
        <f t="shared" si="83"/>
        <v>2010</v>
      </c>
      <c r="B145" s="55">
        <f t="shared" ca="1" si="84"/>
        <v>184</v>
      </c>
      <c r="C145" s="55">
        <f t="shared" ca="1" si="68"/>
        <v>112</v>
      </c>
      <c r="D145" s="55">
        <f t="shared" ca="1" si="69"/>
        <v>168</v>
      </c>
      <c r="E145" s="55">
        <f t="shared" ca="1" si="70"/>
        <v>142</v>
      </c>
      <c r="F145" s="55">
        <f t="shared" ca="1" si="71"/>
        <v>198</v>
      </c>
      <c r="G145" s="55">
        <f t="shared" ca="1" si="72"/>
        <v>159</v>
      </c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</row>
    <row r="146" spans="1:24" x14ac:dyDescent="0.25">
      <c r="A146" s="17">
        <f t="shared" si="83"/>
        <v>2011</v>
      </c>
      <c r="B146" s="55">
        <f t="shared" ca="1" si="84"/>
        <v>76</v>
      </c>
      <c r="C146" s="55">
        <f t="shared" ca="1" si="68"/>
        <v>87</v>
      </c>
      <c r="D146" s="55">
        <f t="shared" ca="1" si="69"/>
        <v>127</v>
      </c>
      <c r="E146" s="55">
        <f t="shared" ca="1" si="70"/>
        <v>103</v>
      </c>
      <c r="F146" s="55">
        <f t="shared" ca="1" si="71"/>
        <v>54</v>
      </c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</row>
    <row r="147" spans="1:24" x14ac:dyDescent="0.25">
      <c r="A147" s="17">
        <f t="shared" si="83"/>
        <v>2012</v>
      </c>
      <c r="B147" s="55">
        <f t="shared" ca="1" si="84"/>
        <v>18</v>
      </c>
      <c r="C147" s="55">
        <f t="shared" ca="1" si="68"/>
        <v>46</v>
      </c>
      <c r="D147" s="55">
        <f t="shared" ca="1" si="69"/>
        <v>125</v>
      </c>
      <c r="E147" s="55">
        <f t="shared" ca="1" si="70"/>
        <v>126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</row>
    <row r="148" spans="1:24" x14ac:dyDescent="0.25">
      <c r="A148" s="17">
        <f t="shared" si="83"/>
        <v>2013</v>
      </c>
      <c r="B148" s="55">
        <f t="shared" ca="1" si="84"/>
        <v>116</v>
      </c>
      <c r="C148" s="55">
        <f t="shared" ca="1" si="68"/>
        <v>153</v>
      </c>
      <c r="D148" s="55">
        <f t="shared" ca="1" si="69"/>
        <v>131</v>
      </c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</row>
    <row r="149" spans="1:24" x14ac:dyDescent="0.25">
      <c r="A149" s="17">
        <f t="shared" si="83"/>
        <v>2014</v>
      </c>
      <c r="B149" s="55">
        <f t="shared" ca="1" si="84"/>
        <v>8</v>
      </c>
      <c r="C149" s="55">
        <f t="shared" ca="1" si="68"/>
        <v>113</v>
      </c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</row>
    <row r="150" spans="1:24" x14ac:dyDescent="0.25">
      <c r="A150" s="17">
        <f t="shared" si="83"/>
        <v>2015</v>
      </c>
      <c r="B150" s="55">
        <f t="shared" ca="1" si="84"/>
        <v>83</v>
      </c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</row>
    <row r="151" spans="1:24" x14ac:dyDescent="0.25">
      <c r="A151" s="17"/>
      <c r="B151" s="55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</row>
    <row r="152" spans="1:24" x14ac:dyDescent="0.25">
      <c r="A152" s="57" t="s">
        <v>119</v>
      </c>
      <c r="B152" s="55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55"/>
      <c r="V152" s="7"/>
      <c r="W152" s="7"/>
      <c r="X152" s="7"/>
    </row>
    <row r="153" spans="1:24" x14ac:dyDescent="0.25">
      <c r="A153" s="17">
        <f t="shared" ref="A153:A172" si="85">A9</f>
        <v>1996</v>
      </c>
      <c r="B153" s="55">
        <f t="shared" ref="B153:U153" ca="1" si="86">INDEX($B$110:$T$128,MATCH(B131,Row.Breaks,TRUE),B131+1-VLOOKUP(B131,Row.Breaks,TRUE))</f>
        <v>206.00536701813823</v>
      </c>
      <c r="C153" s="55">
        <f t="shared" ca="1" si="86"/>
        <v>-4.4288123155067112</v>
      </c>
      <c r="D153" s="55">
        <f t="shared" ca="1" si="86"/>
        <v>-98.200915145951853</v>
      </c>
      <c r="E153" s="55">
        <f t="shared" ca="1" si="86"/>
        <v>-4.8250275583853091</v>
      </c>
      <c r="F153" s="55">
        <f t="shared" ca="1" si="86"/>
        <v>-92.273759958001889</v>
      </c>
      <c r="G153" s="55">
        <f t="shared" ca="1" si="86"/>
        <v>101.38401915102835</v>
      </c>
      <c r="H153" s="55">
        <f t="shared" ca="1" si="86"/>
        <v>-54.170799081439462</v>
      </c>
      <c r="I153" s="55">
        <f t="shared" ca="1" si="86"/>
        <v>66.782404446882154</v>
      </c>
      <c r="J153" s="55">
        <f t="shared" ca="1" si="86"/>
        <v>-95.888399566387591</v>
      </c>
      <c r="K153" s="55">
        <f t="shared" ca="1" si="86"/>
        <v>-40.774182683014423</v>
      </c>
      <c r="L153" s="55">
        <f t="shared" ca="1" si="86"/>
        <v>-200.38918833106314</v>
      </c>
      <c r="M153" s="55">
        <f t="shared" ca="1" si="86"/>
        <v>296.8483856212768</v>
      </c>
      <c r="N153" s="55">
        <f t="shared" ca="1" si="86"/>
        <v>95.856863169152263</v>
      </c>
      <c r="O153" s="55">
        <f t="shared" ca="1" si="86"/>
        <v>57.304899626986362</v>
      </c>
      <c r="P153" s="55">
        <f t="shared" ca="1" si="86"/>
        <v>146.0744324753127</v>
      </c>
      <c r="Q153" s="55">
        <f t="shared" ca="1" si="86"/>
        <v>-38.561122408165268</v>
      </c>
      <c r="R153" s="55">
        <f t="shared" ca="1" si="86"/>
        <v>-61.334327423260149</v>
      </c>
      <c r="S153" s="55">
        <f t="shared" ca="1" si="86"/>
        <v>-14.834546570817785</v>
      </c>
      <c r="T153" s="55">
        <f t="shared" ca="1" si="86"/>
        <v>-15.849149486061229</v>
      </c>
      <c r="U153" s="55">
        <f t="shared" ca="1" si="86"/>
        <v>33.010481507065627</v>
      </c>
      <c r="V153" s="7"/>
      <c r="W153" s="7"/>
      <c r="X153" s="7"/>
    </row>
    <row r="154" spans="1:24" x14ac:dyDescent="0.25">
      <c r="A154" s="17">
        <f t="shared" si="85"/>
        <v>1997</v>
      </c>
      <c r="B154" s="55">
        <f t="shared" ref="B154:T154" ca="1" si="87">INDEX($B$110:$T$128,MATCH(B132,Row.Breaks,TRUE),B132+1-VLOOKUP(B132,Row.Breaks,TRUE))</f>
        <v>117.93645620387862</v>
      </c>
      <c r="C154" s="55">
        <f t="shared" ca="1" si="87"/>
        <v>-41.141900748469169</v>
      </c>
      <c r="D154" s="55">
        <f t="shared" ca="1" si="87"/>
        <v>-47.91089010094543</v>
      </c>
      <c r="E154" s="55">
        <f t="shared" ca="1" si="87"/>
        <v>63.179177416839003</v>
      </c>
      <c r="F154" s="55">
        <f t="shared" ca="1" si="87"/>
        <v>-167.67945952968256</v>
      </c>
      <c r="G154" s="55">
        <f t="shared" ca="1" si="87"/>
        <v>41.959384770445382</v>
      </c>
      <c r="H154" s="55">
        <f t="shared" ca="1" si="87"/>
        <v>-197.42291466747673</v>
      </c>
      <c r="I154" s="55">
        <f t="shared" ca="1" si="87"/>
        <v>-200.38918833106314</v>
      </c>
      <c r="J154" s="55">
        <f t="shared" ca="1" si="87"/>
        <v>59.915770877302592</v>
      </c>
      <c r="K154" s="55">
        <f t="shared" ca="1" si="87"/>
        <v>195.47181853085132</v>
      </c>
      <c r="L154" s="55">
        <f t="shared" ca="1" si="87"/>
        <v>126.30490006280432</v>
      </c>
      <c r="M154" s="55">
        <f t="shared" ca="1" si="87"/>
        <v>-115.01471186709152</v>
      </c>
      <c r="N154" s="55">
        <f t="shared" ca="1" si="87"/>
        <v>63.179177416839003</v>
      </c>
      <c r="O154" s="55">
        <f t="shared" ca="1" si="87"/>
        <v>296.91961209291605</v>
      </c>
      <c r="P154" s="55">
        <f t="shared" ca="1" si="87"/>
        <v>-121.49775600098567</v>
      </c>
      <c r="Q154" s="55">
        <f t="shared" ca="1" si="87"/>
        <v>-25.978556999561224</v>
      </c>
      <c r="R154" s="55">
        <f t="shared" ca="1" si="87"/>
        <v>170.9220264720154</v>
      </c>
      <c r="S154" s="55">
        <f t="shared" ca="1" si="87"/>
        <v>-209.00609462432612</v>
      </c>
      <c r="T154" s="55">
        <f t="shared" ca="1" si="87"/>
        <v>-51.382573269877689</v>
      </c>
      <c r="U154" s="7"/>
      <c r="V154" s="7"/>
      <c r="W154" s="7"/>
      <c r="X154" s="7"/>
    </row>
    <row r="155" spans="1:24" x14ac:dyDescent="0.25">
      <c r="A155" s="17">
        <f t="shared" si="85"/>
        <v>1998</v>
      </c>
      <c r="B155" s="55">
        <f t="shared" ref="B155:S155" ca="1" si="88">INDEX($B$110:$T$128,MATCH(B133,Row.Breaks,TRUE),B133+1-VLOOKUP(B133,Row.Breaks,TRUE))</f>
        <v>-137.67548646253394</v>
      </c>
      <c r="C155" s="55">
        <f t="shared" ca="1" si="88"/>
        <v>422.43687559125385</v>
      </c>
      <c r="D155" s="55">
        <f t="shared" ca="1" si="88"/>
        <v>33.010481507065627</v>
      </c>
      <c r="E155" s="55">
        <f t="shared" ca="1" si="88"/>
        <v>39.35609656213078</v>
      </c>
      <c r="F155" s="55">
        <f t="shared" ca="1" si="88"/>
        <v>-147.3120792984046</v>
      </c>
      <c r="G155" s="55">
        <f t="shared" ca="1" si="88"/>
        <v>-109.2875258685026</v>
      </c>
      <c r="H155" s="55">
        <f t="shared" ca="1" si="88"/>
        <v>96.208645011669745</v>
      </c>
      <c r="I155" s="55">
        <f t="shared" ca="1" si="88"/>
        <v>-209.00609462432612</v>
      </c>
      <c r="J155" s="55">
        <f t="shared" ca="1" si="88"/>
        <v>-126.89701091861758</v>
      </c>
      <c r="K155" s="55">
        <f t="shared" ca="1" si="88"/>
        <v>-58.628266333131769</v>
      </c>
      <c r="L155" s="55">
        <f>INDEX($B$110:$T$128,MATCH(111,Row.Breaks,TRUE),111+1-VLOOKUP(111,Row.Breaks,TRUE))</f>
        <v>-54.170799081439462</v>
      </c>
      <c r="M155" s="55">
        <f t="shared" ca="1" si="88"/>
        <v>-11.97171617922133</v>
      </c>
      <c r="N155" s="55">
        <f t="shared" ca="1" si="88"/>
        <v>296.91961209291605</v>
      </c>
      <c r="O155" s="55">
        <f t="shared" ca="1" si="88"/>
        <v>-41.866571260585268</v>
      </c>
      <c r="P155" s="55">
        <f t="shared" ca="1" si="88"/>
        <v>111.47917353306582</v>
      </c>
      <c r="Q155" s="55">
        <f t="shared" ca="1" si="88"/>
        <v>23.134597391376452</v>
      </c>
      <c r="R155" s="55">
        <f t="shared" ca="1" si="88"/>
        <v>-14.5409240293708</v>
      </c>
      <c r="S155" s="55">
        <f t="shared" ca="1" si="88"/>
        <v>-43.524796262555483</v>
      </c>
      <c r="T155" s="7"/>
      <c r="U155" s="7"/>
      <c r="V155" s="7"/>
      <c r="W155" s="7"/>
      <c r="X155" s="7"/>
    </row>
    <row r="156" spans="1:24" x14ac:dyDescent="0.25">
      <c r="A156" s="17">
        <f t="shared" si="85"/>
        <v>1999</v>
      </c>
      <c r="B156" s="55">
        <f t="shared" ref="B156:R156" ca="1" si="89">INDEX($B$110:$T$128,MATCH(B134,Row.Breaks,TRUE),B134+1-VLOOKUP(B134,Row.Breaks,TRUE))</f>
        <v>59.128870966151794</v>
      </c>
      <c r="C156" s="55">
        <f t="shared" ca="1" si="89"/>
        <v>-75.959190927116893</v>
      </c>
      <c r="D156" s="55">
        <f t="shared" ca="1" si="89"/>
        <v>7.0897639783783664</v>
      </c>
      <c r="E156" s="55">
        <f t="shared" ca="1" si="89"/>
        <v>-57.694030623111942</v>
      </c>
      <c r="F156" s="55">
        <f t="shared" ca="1" si="89"/>
        <v>46.055821709904066</v>
      </c>
      <c r="G156" s="55">
        <f t="shared" ca="1" si="89"/>
        <v>39.35609656213078</v>
      </c>
      <c r="H156" s="55">
        <f t="shared" ca="1" si="89"/>
        <v>41.959384770445382</v>
      </c>
      <c r="I156" s="55">
        <f t="shared" ca="1" si="89"/>
        <v>-91.022503428108834</v>
      </c>
      <c r="J156" s="55">
        <f t="shared" ca="1" si="89"/>
        <v>-214.68653917197977</v>
      </c>
      <c r="K156" s="55">
        <f t="shared" ca="1" si="89"/>
        <v>59.915770877302592</v>
      </c>
      <c r="L156" s="55">
        <f t="shared" ca="1" si="89"/>
        <v>-100.19739870204083</v>
      </c>
      <c r="M156" s="55">
        <f t="shared" ca="1" si="89"/>
        <v>-95.888399566387591</v>
      </c>
      <c r="N156" s="55">
        <f t="shared" ca="1" si="89"/>
        <v>-45.348700964809211</v>
      </c>
      <c r="O156" s="55">
        <f t="shared" ca="1" si="89"/>
        <v>-37.725418492688242</v>
      </c>
      <c r="P156" s="55">
        <f t="shared" ca="1" si="89"/>
        <v>31.732458604498717</v>
      </c>
      <c r="Q156" s="55">
        <f t="shared" ca="1" si="89"/>
        <v>91.910659213559313</v>
      </c>
      <c r="R156" s="55">
        <f t="shared" ca="1" si="89"/>
        <v>31.732458604498717</v>
      </c>
      <c r="S156" s="7"/>
      <c r="T156" s="7"/>
      <c r="U156" s="7"/>
      <c r="V156" s="7"/>
      <c r="W156" s="7"/>
      <c r="X156" s="7"/>
    </row>
    <row r="157" spans="1:24" x14ac:dyDescent="0.25">
      <c r="A157" s="17">
        <f t="shared" si="85"/>
        <v>2000</v>
      </c>
      <c r="B157" s="55">
        <f t="shared" ref="B157:Q157" ca="1" si="90">INDEX($B$110:$T$128,MATCH(B135,Row.Breaks,TRUE),B135+1-VLOOKUP(B135,Row.Breaks,TRUE))</f>
        <v>-197.11938567930267</v>
      </c>
      <c r="C157" s="55">
        <f t="shared" ca="1" si="90"/>
        <v>5.4166883535159958</v>
      </c>
      <c r="D157" s="55">
        <f t="shared" ca="1" si="90"/>
        <v>-45.961998018945309</v>
      </c>
      <c r="E157" s="55">
        <f t="shared" ca="1" si="90"/>
        <v>-25.978556999561224</v>
      </c>
      <c r="F157" s="55">
        <f t="shared" ca="1" si="90"/>
        <v>-215.09855738630023</v>
      </c>
      <c r="G157" s="55">
        <f t="shared" ca="1" si="90"/>
        <v>-63.306732606078938</v>
      </c>
      <c r="H157" s="55">
        <f t="shared" ca="1" si="90"/>
        <v>-92.273759958001889</v>
      </c>
      <c r="I157" s="55">
        <f t="shared" ca="1" si="90"/>
        <v>-109.2875258685026</v>
      </c>
      <c r="J157" s="55">
        <f t="shared" ca="1" si="90"/>
        <v>111.47917353306582</v>
      </c>
      <c r="K157" s="55">
        <f t="shared" ca="1" si="90"/>
        <v>41.391868291989312</v>
      </c>
      <c r="L157" s="55">
        <f t="shared" ca="1" si="90"/>
        <v>41.959384770445382</v>
      </c>
      <c r="M157" s="55">
        <f t="shared" ca="1" si="90"/>
        <v>40.662875051076327</v>
      </c>
      <c r="N157" s="55">
        <f t="shared" ca="1" si="90"/>
        <v>-53.747618171761886</v>
      </c>
      <c r="O157" s="55">
        <f t="shared" ca="1" si="90"/>
        <v>-14.691678573532633</v>
      </c>
      <c r="P157" s="55">
        <f t="shared" ca="1" si="90"/>
        <v>-128.78958278923736</v>
      </c>
      <c r="Q157" s="55">
        <f t="shared" ca="1" si="90"/>
        <v>63.179177416839003</v>
      </c>
      <c r="R157" s="7"/>
      <c r="S157" s="7"/>
      <c r="T157" s="7"/>
      <c r="U157" s="7"/>
      <c r="V157" s="7"/>
      <c r="W157" s="7"/>
      <c r="X157" s="7"/>
    </row>
    <row r="158" spans="1:24" x14ac:dyDescent="0.25">
      <c r="A158" s="17">
        <f t="shared" si="85"/>
        <v>2001</v>
      </c>
      <c r="B158" s="55">
        <f t="shared" ref="B158:P158" ca="1" si="91">INDEX($B$110:$T$128,MATCH(B136,Row.Breaks,TRUE),B136+1-VLOOKUP(B136,Row.Breaks,TRUE))</f>
        <v>-969.58439385414624</v>
      </c>
      <c r="C158" s="55">
        <f t="shared" ca="1" si="91"/>
        <v>-128.78958278923736</v>
      </c>
      <c r="D158" s="55">
        <f t="shared" ca="1" si="91"/>
        <v>-68.915268498102108</v>
      </c>
      <c r="E158" s="55">
        <f t="shared" ca="1" si="91"/>
        <v>-197.11938567930267</v>
      </c>
      <c r="F158" s="55">
        <f t="shared" ca="1" si="91"/>
        <v>42.968060417707981</v>
      </c>
      <c r="G158" s="55">
        <f t="shared" ca="1" si="91"/>
        <v>-62.928052903548</v>
      </c>
      <c r="H158" s="55">
        <f t="shared" ca="1" si="91"/>
        <v>22.514331795887774</v>
      </c>
      <c r="I158" s="55">
        <f t="shared" ca="1" si="91"/>
        <v>89.445308914094042</v>
      </c>
      <c r="J158" s="55">
        <f t="shared" ca="1" si="91"/>
        <v>-34.897087938486578</v>
      </c>
      <c r="K158" s="55">
        <f t="shared" ca="1" si="91"/>
        <v>40.662875051076327</v>
      </c>
      <c r="L158" s="55">
        <f t="shared" ca="1" si="91"/>
        <v>61.920913855810149</v>
      </c>
      <c r="M158" s="55">
        <f t="shared" ca="1" si="91"/>
        <v>5.7942850646531685</v>
      </c>
      <c r="N158" s="55">
        <f t="shared" ca="1" si="91"/>
        <v>-200.38918833106314</v>
      </c>
      <c r="O158" s="55">
        <f t="shared" ca="1" si="91"/>
        <v>-36.71209458044639</v>
      </c>
      <c r="P158" s="55">
        <f t="shared" ca="1" si="91"/>
        <v>-27.537196215568272</v>
      </c>
      <c r="Q158" s="7"/>
      <c r="R158" s="7"/>
      <c r="S158" s="7"/>
      <c r="T158" s="7"/>
      <c r="U158" s="7"/>
      <c r="V158" s="7"/>
      <c r="W158" s="7"/>
      <c r="X158" s="7"/>
    </row>
    <row r="159" spans="1:24" x14ac:dyDescent="0.25">
      <c r="A159" s="17">
        <f t="shared" si="85"/>
        <v>2002</v>
      </c>
      <c r="B159" s="55">
        <f t="shared" ref="B159:O159" ca="1" si="92">INDEX($B$110:$T$128,MATCH(B137,Row.Breaks,TRUE),B137+1-VLOOKUP(B137,Row.Breaks,TRUE))</f>
        <v>380.32543575266232</v>
      </c>
      <c r="C159" s="55">
        <f t="shared" ca="1" si="92"/>
        <v>63.179177416839003</v>
      </c>
      <c r="D159" s="55">
        <f t="shared" ca="1" si="92"/>
        <v>25.918124204836623</v>
      </c>
      <c r="E159" s="55">
        <f t="shared" ca="1" si="92"/>
        <v>-4.4288123155067112</v>
      </c>
      <c r="F159" s="55">
        <f t="shared" ca="1" si="92"/>
        <v>14.069409110334306</v>
      </c>
      <c r="G159" s="55">
        <f t="shared" ca="1" si="92"/>
        <v>-21.435481413322538</v>
      </c>
      <c r="H159" s="55">
        <f t="shared" ca="1" si="92"/>
        <v>-214.68653917197977</v>
      </c>
      <c r="I159" s="55">
        <f t="shared" ca="1" si="92"/>
        <v>41.959384770445382</v>
      </c>
      <c r="J159" s="55">
        <f t="shared" ca="1" si="92"/>
        <v>5.4166883535159958</v>
      </c>
      <c r="K159" s="55">
        <f t="shared" ca="1" si="92"/>
        <v>-131.76819712101704</v>
      </c>
      <c r="L159" s="55">
        <f t="shared" ca="1" si="92"/>
        <v>62.988302512564353</v>
      </c>
      <c r="M159" s="55">
        <f t="shared" ca="1" si="92"/>
        <v>-194.35277561173871</v>
      </c>
      <c r="N159" s="55">
        <f t="shared" ca="1" si="92"/>
        <v>179.08028388626457</v>
      </c>
      <c r="O159" s="55">
        <f t="shared" ca="1" si="92"/>
        <v>-197.42291466747673</v>
      </c>
      <c r="P159" s="7"/>
      <c r="Q159" s="7"/>
      <c r="R159" s="7"/>
      <c r="S159" s="7"/>
      <c r="T159" s="7"/>
      <c r="U159" s="7"/>
      <c r="V159" s="7"/>
      <c r="W159" s="7"/>
      <c r="X159" s="7"/>
    </row>
    <row r="160" spans="1:24" x14ac:dyDescent="0.25">
      <c r="A160" s="17">
        <f t="shared" si="85"/>
        <v>2003</v>
      </c>
      <c r="B160" s="55">
        <f t="shared" ref="B160:N160" ca="1" si="93">INDEX($B$110:$T$128,MATCH(B138,Row.Breaks,TRUE),B138+1-VLOOKUP(B138,Row.Breaks,TRUE))</f>
        <v>64.932694351346356</v>
      </c>
      <c r="C160" s="55">
        <f t="shared" ca="1" si="93"/>
        <v>-61.321564991995736</v>
      </c>
      <c r="D160" s="55">
        <f t="shared" ca="1" si="93"/>
        <v>-50.983347823868236</v>
      </c>
      <c r="E160" s="55">
        <f t="shared" ca="1" si="93"/>
        <v>-104.79791481030865</v>
      </c>
      <c r="F160" s="55">
        <f t="shared" ca="1" si="93"/>
        <v>-24.698925782170665</v>
      </c>
      <c r="G160" s="55">
        <f t="shared" ca="1" si="93"/>
        <v>59.084091821773576</v>
      </c>
      <c r="H160" s="55">
        <f t="shared" ca="1" si="93"/>
        <v>-14.5409240293708</v>
      </c>
      <c r="I160" s="55">
        <f t="shared" ca="1" si="93"/>
        <v>-75.959190927116893</v>
      </c>
      <c r="J160" s="55">
        <f t="shared" ca="1" si="93"/>
        <v>-24.042124026493312</v>
      </c>
      <c r="K160" s="55">
        <f t="shared" ca="1" si="93"/>
        <v>-11.244341056239783</v>
      </c>
      <c r="L160" s="55">
        <f t="shared" ca="1" si="93"/>
        <v>23.10907889873711</v>
      </c>
      <c r="M160" s="55">
        <f t="shared" ca="1" si="93"/>
        <v>-50.983347823868236</v>
      </c>
      <c r="N160" s="55">
        <f t="shared" ca="1" si="93"/>
        <v>134.58167671245684</v>
      </c>
      <c r="O160" s="7"/>
      <c r="P160" s="7"/>
      <c r="Q160" s="7"/>
      <c r="R160" s="7"/>
      <c r="S160" s="7"/>
      <c r="T160" s="7"/>
      <c r="U160" s="7"/>
      <c r="V160" s="7"/>
      <c r="W160" s="7"/>
      <c r="X160" s="7"/>
    </row>
    <row r="161" spans="1:36" x14ac:dyDescent="0.25">
      <c r="A161" s="17">
        <f t="shared" si="85"/>
        <v>2004</v>
      </c>
      <c r="B161" s="55">
        <f t="shared" ref="B161:M161" ca="1" si="94">INDEX($B$110:$T$128,MATCH(B139,Row.Breaks,TRUE),B139+1-VLOOKUP(B139,Row.Breaks,TRUE))</f>
        <v>-197.42291466747673</v>
      </c>
      <c r="C161" s="55">
        <f t="shared" ca="1" si="94"/>
        <v>-137.67548646253394</v>
      </c>
      <c r="D161" s="55">
        <f t="shared" ca="1" si="94"/>
        <v>232.97640563318524</v>
      </c>
      <c r="E161" s="55">
        <f t="shared" ca="1" si="94"/>
        <v>59.084091821773576</v>
      </c>
      <c r="F161" s="55">
        <f t="shared" ca="1" si="94"/>
        <v>-126.89701091861758</v>
      </c>
      <c r="G161" s="55">
        <f t="shared" ca="1" si="94"/>
        <v>-72.816082169840755</v>
      </c>
      <c r="H161" s="55">
        <f t="shared" ca="1" si="94"/>
        <v>67.915098692376972</v>
      </c>
      <c r="I161" s="55">
        <f t="shared" ca="1" si="94"/>
        <v>258.08749269440489</v>
      </c>
      <c r="J161" s="55">
        <f t="shared" ca="1" si="94"/>
        <v>-58.628266333131769</v>
      </c>
      <c r="K161" s="55">
        <f t="shared" ca="1" si="94"/>
        <v>-37.725418492688242</v>
      </c>
      <c r="L161" s="55">
        <f t="shared" ca="1" si="94"/>
        <v>-184.98156681499088</v>
      </c>
      <c r="M161" s="55">
        <f t="shared" ca="1" si="94"/>
        <v>59.915770877302592</v>
      </c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</row>
    <row r="162" spans="1:36" x14ac:dyDescent="0.25">
      <c r="A162" s="17">
        <f t="shared" si="85"/>
        <v>2005</v>
      </c>
      <c r="B162" s="55">
        <f t="shared" ref="B162:L162" ca="1" si="95">INDEX($B$110:$T$128,MATCH(B140,Row.Breaks,TRUE),B140+1-VLOOKUP(B140,Row.Breaks,TRUE))</f>
        <v>-209.00609462432612</v>
      </c>
      <c r="C162" s="55">
        <f t="shared" ca="1" si="95"/>
        <v>-89.140540622967578</v>
      </c>
      <c r="D162" s="55">
        <f t="shared" ca="1" si="95"/>
        <v>-93.691405846600105</v>
      </c>
      <c r="E162" s="55">
        <f t="shared" ca="1" si="95"/>
        <v>31.987374053125684</v>
      </c>
      <c r="F162" s="55">
        <f t="shared" ca="1" si="95"/>
        <v>-21.933081152179817</v>
      </c>
      <c r="G162" s="55">
        <f t="shared" ca="1" si="95"/>
        <v>-101.35135705394966</v>
      </c>
      <c r="H162" s="55">
        <f t="shared" ca="1" si="95"/>
        <v>93.650778571920171</v>
      </c>
      <c r="I162" s="55">
        <f t="shared" ca="1" si="95"/>
        <v>9.87585156907741</v>
      </c>
      <c r="J162" s="55">
        <f t="shared" ca="1" si="95"/>
        <v>-64.466667422834504</v>
      </c>
      <c r="K162" s="55">
        <f t="shared" ca="1" si="95"/>
        <v>-194.35277561173871</v>
      </c>
      <c r="L162" s="55">
        <f t="shared" ca="1" si="95"/>
        <v>63.179177416839003</v>
      </c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</row>
    <row r="163" spans="1:36" x14ac:dyDescent="0.25">
      <c r="A163" s="17">
        <f t="shared" si="85"/>
        <v>2006</v>
      </c>
      <c r="B163" s="55">
        <f t="shared" ref="B163:K163" ca="1" si="96">INDEX($B$110:$T$128,MATCH(B141,Row.Breaks,TRUE),B141+1-VLOOKUP(B141,Row.Breaks,TRUE))</f>
        <v>-25.978556999561224</v>
      </c>
      <c r="C163" s="55">
        <f t="shared" ca="1" si="96"/>
        <v>-63.306732606078938</v>
      </c>
      <c r="D163" s="55">
        <f t="shared" ca="1" si="96"/>
        <v>-44.170251236278446</v>
      </c>
      <c r="E163" s="55">
        <f t="shared" ca="1" si="96"/>
        <v>31.732458604498717</v>
      </c>
      <c r="F163" s="55">
        <f t="shared" ca="1" si="96"/>
        <v>311.64082523605782</v>
      </c>
      <c r="G163" s="55">
        <f t="shared" ca="1" si="96"/>
        <v>23.10907889873711</v>
      </c>
      <c r="H163" s="55">
        <f t="shared" ca="1" si="96"/>
        <v>146.0744324753127</v>
      </c>
      <c r="I163" s="55">
        <f t="shared" ca="1" si="96"/>
        <v>57.132734509193618</v>
      </c>
      <c r="J163" s="55">
        <f t="shared" ca="1" si="96"/>
        <v>-24.698925782170665</v>
      </c>
      <c r="K163" s="55">
        <f t="shared" ca="1" si="96"/>
        <v>311.64082523605782</v>
      </c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</row>
    <row r="164" spans="1:36" x14ac:dyDescent="0.25">
      <c r="A164" s="17">
        <f t="shared" si="85"/>
        <v>2007</v>
      </c>
      <c r="B164" s="55">
        <f t="shared" ref="B164:J164" ca="1" si="97">INDEX($B$110:$T$128,MATCH(B142,Row.Breaks,TRUE),B142+1-VLOOKUP(B142,Row.Breaks,TRUE))</f>
        <v>107.43863008578278</v>
      </c>
      <c r="C164" s="55">
        <f t="shared" ca="1" si="97"/>
        <v>5.8107606765777309</v>
      </c>
      <c r="D164" s="55">
        <f t="shared" ca="1" si="97"/>
        <v>-215.09855738630023</v>
      </c>
      <c r="E164" s="55">
        <f t="shared" ca="1" si="97"/>
        <v>258.08749269440489</v>
      </c>
      <c r="F164" s="55">
        <f t="shared" ca="1" si="97"/>
        <v>-72.816082169840755</v>
      </c>
      <c r="G164" s="55">
        <f t="shared" ca="1" si="97"/>
        <v>-25.978556999561224</v>
      </c>
      <c r="H164" s="55">
        <f t="shared" ca="1" si="97"/>
        <v>-95.888399566387591</v>
      </c>
      <c r="I164" s="55">
        <f t="shared" ca="1" si="97"/>
        <v>-4.8250275583853091</v>
      </c>
      <c r="J164" s="55">
        <f t="shared" ca="1" si="97"/>
        <v>23.134597391376452</v>
      </c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</row>
    <row r="165" spans="1:36" x14ac:dyDescent="0.25">
      <c r="A165" s="17">
        <f t="shared" si="85"/>
        <v>2008</v>
      </c>
      <c r="B165" s="55">
        <f t="shared" ref="B165:I165" ca="1" si="98">INDEX($B$110:$T$128,MATCH(B143,Row.Breaks,TRUE),B143+1-VLOOKUP(B143,Row.Breaks,TRUE))</f>
        <v>-45.348700964809211</v>
      </c>
      <c r="C165" s="55">
        <f t="shared" ca="1" si="98"/>
        <v>26.622634906014181</v>
      </c>
      <c r="D165" s="55">
        <f t="shared" ca="1" si="98"/>
        <v>-47.91089010094543</v>
      </c>
      <c r="E165" s="55">
        <f t="shared" ca="1" si="98"/>
        <v>67.915098692376972</v>
      </c>
      <c r="F165" s="55">
        <f t="shared" ca="1" si="98"/>
        <v>62.581926585431319</v>
      </c>
      <c r="G165" s="55">
        <f t="shared" ca="1" si="98"/>
        <v>-5.6863763423671561</v>
      </c>
      <c r="H165" s="55">
        <f t="shared" ca="1" si="98"/>
        <v>-121.49775600098567</v>
      </c>
      <c r="I165" s="55">
        <f t="shared" ca="1" si="98"/>
        <v>14.069409110334306</v>
      </c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</row>
    <row r="166" spans="1:36" x14ac:dyDescent="0.25">
      <c r="A166" s="17">
        <f t="shared" si="85"/>
        <v>2009</v>
      </c>
      <c r="B166" s="55">
        <f t="shared" ref="B166:H166" ca="1" si="99">INDEX($B$110:$T$128,MATCH(B144,Row.Breaks,TRUE),B144+1-VLOOKUP(B144,Row.Breaks,TRUE))</f>
        <v>5.8107606765777309</v>
      </c>
      <c r="C166" s="55">
        <f t="shared" ca="1" si="99"/>
        <v>-45.961998018945309</v>
      </c>
      <c r="D166" s="55">
        <f t="shared" ca="1" si="99"/>
        <v>139.74396088789547</v>
      </c>
      <c r="E166" s="55">
        <f t="shared" ca="1" si="99"/>
        <v>92.407369600115047</v>
      </c>
      <c r="F166" s="55">
        <f t="shared" ca="1" si="99"/>
        <v>54.446240897679168</v>
      </c>
      <c r="G166" s="55">
        <f t="shared" ca="1" si="99"/>
        <v>91.910659213559313</v>
      </c>
      <c r="H166" s="55">
        <f t="shared" ca="1" si="99"/>
        <v>-57.694030623111942</v>
      </c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10"/>
      <c r="AB166" s="89" t="s">
        <v>85</v>
      </c>
      <c r="AC166" s="27"/>
      <c r="AD166" s="27"/>
      <c r="AE166" s="27"/>
      <c r="AF166" s="27"/>
      <c r="AG166" s="27"/>
      <c r="AH166" s="10"/>
      <c r="AI166" s="10"/>
      <c r="AJ166" s="10"/>
    </row>
    <row r="167" spans="1:36" x14ac:dyDescent="0.25">
      <c r="A167" s="17">
        <f t="shared" si="85"/>
        <v>2010</v>
      </c>
      <c r="B167" s="55">
        <f t="shared" ref="B167:G167" ca="1" si="100">INDEX($B$110:$T$128,MATCH(B145,Row.Breaks,TRUE),B145+1-VLOOKUP(B145,Row.Breaks,TRUE))</f>
        <v>93.650778571920171</v>
      </c>
      <c r="C167" s="55">
        <f t="shared" ca="1" si="100"/>
        <v>-4.8250275583853091</v>
      </c>
      <c r="D167" s="55">
        <f t="shared" ca="1" si="100"/>
        <v>62.581926585431319</v>
      </c>
      <c r="E167" s="55">
        <f t="shared" ca="1" si="100"/>
        <v>-14.5409240293708</v>
      </c>
      <c r="F167" s="55">
        <f t="shared" ca="1" si="100"/>
        <v>7.0897639783783664</v>
      </c>
      <c r="G167" s="55">
        <f t="shared" ca="1" si="100"/>
        <v>4.95132856483258</v>
      </c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24"/>
      <c r="AC167" s="25"/>
      <c r="AD167" s="25"/>
      <c r="AE167" s="25"/>
      <c r="AF167" s="95" t="s">
        <v>126</v>
      </c>
      <c r="AG167" s="97" t="s">
        <v>124</v>
      </c>
      <c r="AH167" s="95"/>
      <c r="AI167" s="95"/>
      <c r="AJ167" s="96" t="s">
        <v>128</v>
      </c>
    </row>
    <row r="168" spans="1:36" x14ac:dyDescent="0.25">
      <c r="A168" s="17">
        <f t="shared" si="85"/>
        <v>2011</v>
      </c>
      <c r="B168" s="55">
        <f ca="1">INDEX($B$110:$T$128,MATCH(B146,Row.Breaks,TRUE),B146+1-VLOOKUP(B146,Row.Breaks,TRUE))</f>
        <v>208.92509998647418</v>
      </c>
      <c r="C168" s="55">
        <f ca="1">INDEX($B$110:$T$128,MATCH(C146,Row.Breaks,TRUE),C146+1-VLOOKUP(C146,Row.Breaks,TRUE))</f>
        <v>-75.959190927116893</v>
      </c>
      <c r="D168" s="55">
        <f ca="1">INDEX($B$110:$T$128,MATCH(D146,Row.Breaks,TRUE),D146+1-VLOOKUP(D146,Row.Breaks,TRUE))</f>
        <v>-104.79791481030865</v>
      </c>
      <c r="E168" s="55">
        <f ca="1">INDEX($B$110:$T$128,MATCH(E146,Row.Breaks,TRUE),E146+1-VLOOKUP(E146,Row.Breaks,TRUE))</f>
        <v>-137.67548646253394</v>
      </c>
      <c r="F168" s="55">
        <f ca="1">INDEX($B$110:$T$128,MATCH(F146,Row.Breaks,TRUE),F146+1-VLOOKUP(F146,Row.Breaks,TRUE))</f>
        <v>23.10907889873711</v>
      </c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29"/>
      <c r="AC168" s="10"/>
      <c r="AD168" s="10"/>
      <c r="AE168" s="10" t="s">
        <v>130</v>
      </c>
      <c r="AF168" s="91" t="s">
        <v>127</v>
      </c>
      <c r="AG168" s="93" t="s">
        <v>125</v>
      </c>
      <c r="AH168" s="91" t="s">
        <v>83</v>
      </c>
      <c r="AI168" s="91" t="s">
        <v>84</v>
      </c>
      <c r="AJ168" s="92" t="s">
        <v>129</v>
      </c>
    </row>
    <row r="169" spans="1:36" x14ac:dyDescent="0.25">
      <c r="A169" s="17">
        <f t="shared" si="85"/>
        <v>2012</v>
      </c>
      <c r="B169" s="55">
        <f ca="1">INDEX($B$110:$T$128,MATCH(B147,Row.Breaks,TRUE),B147+1-VLOOKUP(B147,Row.Breaks,TRUE))</f>
        <v>-44.170251236278446</v>
      </c>
      <c r="C169" s="55">
        <f ca="1">INDEX($B$110:$T$128,MATCH(C147,Row.Breaks,TRUE),C147+1-VLOOKUP(C147,Row.Breaks,TRUE))</f>
        <v>-46.917604275384207</v>
      </c>
      <c r="D169" s="55">
        <f ca="1">INDEX($B$110:$T$128,MATCH(D147,Row.Breaks,TRUE),D147+1-VLOOKUP(D147,Row.Breaks,TRUE))</f>
        <v>22.535879656678809</v>
      </c>
      <c r="E169" s="55">
        <f ca="1">INDEX($B$110:$T$128,MATCH(E147,Row.Breaks,TRUE),E147+1-VLOOKUP(E147,Row.Breaks,TRUE))</f>
        <v>-115.01471186709152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19"/>
      <c r="AB169" s="26"/>
      <c r="AC169" s="27"/>
      <c r="AD169" s="27" t="s">
        <v>123</v>
      </c>
      <c r="AE169" s="27">
        <f ca="1">AVERAGE(AF169:AJ169)</f>
        <v>1.035908229148061</v>
      </c>
      <c r="AF169" s="84">
        <f>IF(AF171&lt;=0,1,AF170/AF171)</f>
        <v>1.1408483665225899</v>
      </c>
      <c r="AG169" s="32">
        <f ca="1">IF(ISERROR(PRODUCT($AG$199:$AG$219)),PRODUCT($AJ$199:$AJ$219),MIN(PRODUCT($AG$199:$AG$219),$AH$175))</f>
        <v>1.0214438311957748</v>
      </c>
      <c r="AH169" s="32">
        <f ca="1">IF(ISERROR(PRODUCT($AH$199:$AH$219)),PRODUCT($AJ$199:$AJ$219),MIN(PRODUCT($AH$199:$AH$219),$AH$175))</f>
        <v>1.0036723164897472</v>
      </c>
      <c r="AI169" s="32">
        <f ca="1">IF(ISERROR(PRODUCT($AI$199:$AI$219)),PRODUCT($AJ$199:$AJ$219),MIN(PRODUCT($AI$199:$AI$219),$AH$175))</f>
        <v>1.0024007645791972</v>
      </c>
      <c r="AJ169" s="33">
        <f ca="1">PRODUCT(AJ199:AJ219)</f>
        <v>1.0111758669529962</v>
      </c>
    </row>
    <row r="170" spans="1:36" x14ac:dyDescent="0.25">
      <c r="A170" s="17">
        <f t="shared" si="85"/>
        <v>2013</v>
      </c>
      <c r="B170" s="55">
        <f ca="1">INDEX($B$110:$T$128,MATCH(B148,Row.Breaks,TRUE),B148+1-VLOOKUP(B148,Row.Breaks,TRUE))</f>
        <v>-14.691678573532633</v>
      </c>
      <c r="C170" s="55">
        <f ca="1">INDEX($B$110:$T$128,MATCH(C148,Row.Breaks,TRUE),C148+1-VLOOKUP(C148,Row.Breaks,TRUE))</f>
        <v>9.87585156907741</v>
      </c>
      <c r="D170" s="55">
        <f ca="1">INDEX($B$110:$T$128,MATCH(D148,Row.Breaks,TRUE),D148+1-VLOOKUP(D148,Row.Breaks,TRUE))</f>
        <v>179.08028388626457</v>
      </c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19"/>
      <c r="AB170" s="26"/>
      <c r="AC170" s="10"/>
      <c r="AD170" s="10" t="s">
        <v>81</v>
      </c>
      <c r="AE170" s="10"/>
      <c r="AF170" s="94">
        <f>INDEX(BEWSSummary,21*(Group-1)+1,5)</f>
        <v>1387687619.8500001</v>
      </c>
      <c r="AG170" s="10">
        <f ca="1">SLOPE(AE180:AE198,AD180:AD198)</f>
        <v>-1.9850683618880087</v>
      </c>
      <c r="AH170" s="10">
        <f ca="1">SLOPE(AE180:AE198,AB180:AB198)</f>
        <v>-2.226147320325704E-2</v>
      </c>
      <c r="AI170" s="10">
        <f ca="1">SLOPE(AF180:AF198,AD180:AD198)</f>
        <v>0.63676518610324884</v>
      </c>
      <c r="AJ170" s="28"/>
    </row>
    <row r="171" spans="1:36" x14ac:dyDescent="0.25">
      <c r="A171" s="17">
        <f t="shared" si="85"/>
        <v>2014</v>
      </c>
      <c r="B171" s="55">
        <f ca="1">INDEX($B$110:$T$128,MATCH(B149,Row.Breaks,TRUE),B149+1-VLOOKUP(B149,Row.Breaks,TRUE))</f>
        <v>206.00536701813823</v>
      </c>
      <c r="C171" s="55">
        <f ca="1">INDEX($B$110:$T$128,MATCH(C149,Row.Breaks,TRUE),C149+1-VLOOKUP(C149,Row.Breaks,TRUE))</f>
        <v>-61.321564991995736</v>
      </c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19"/>
      <c r="AB171" s="26"/>
      <c r="AC171" s="10"/>
      <c r="AD171" s="10" t="s">
        <v>82</v>
      </c>
      <c r="AE171" s="10"/>
      <c r="AF171" s="94">
        <f>AF170-INDEX(BEWSSummary,21*(Group-1)+1,2)</f>
        <v>1216364646.3200002</v>
      </c>
      <c r="AG171" s="10">
        <f ca="1">(INTERCEPT(AE180:AE198,AD180:AD198))</f>
        <v>4.6587696131009659</v>
      </c>
      <c r="AH171" s="10">
        <f ca="1">INTERCEPT(AE180:AE198,AB180:AB198)</f>
        <v>-1.7126873573710566</v>
      </c>
      <c r="AI171" s="10">
        <f ca="1">INTERCEPT(AF180:AF198,AD180:AD198)</f>
        <v>-1.459723222488049</v>
      </c>
      <c r="AJ171" s="28"/>
    </row>
    <row r="172" spans="1:36" x14ac:dyDescent="0.25">
      <c r="A172" s="17">
        <f t="shared" si="85"/>
        <v>2015</v>
      </c>
      <c r="B172" s="55">
        <f ca="1">INDEX($B$110:$T$128,MATCH(B150,Row.Breaks,TRUE),B150+1-VLOOKUP(B150,Row.Breaks,TRUE))</f>
        <v>57.304899626986362</v>
      </c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19"/>
      <c r="AB172" s="26"/>
      <c r="AC172" s="27"/>
      <c r="AD172" s="27"/>
      <c r="AE172" s="27"/>
      <c r="AF172" s="10"/>
      <c r="AG172" s="10"/>
      <c r="AH172" s="10"/>
      <c r="AI172" s="10"/>
      <c r="AJ172" s="28"/>
    </row>
    <row r="173" spans="1:36" x14ac:dyDescent="0.25">
      <c r="A173" s="17"/>
      <c r="B173" s="55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19"/>
      <c r="AB173" s="26"/>
      <c r="AG173" s="10"/>
      <c r="AH173" s="10"/>
      <c r="AI173" s="10"/>
      <c r="AJ173" s="28"/>
    </row>
    <row r="174" spans="1:36" x14ac:dyDescent="0.25">
      <c r="A174" s="57" t="s">
        <v>120</v>
      </c>
      <c r="B174" s="55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19"/>
      <c r="AB174" s="26"/>
      <c r="AC174" s="10"/>
      <c r="AF174" s="84" t="s">
        <v>131</v>
      </c>
      <c r="AG174" t="s">
        <v>132</v>
      </c>
      <c r="AH174" t="s">
        <v>133</v>
      </c>
      <c r="AI174" s="10"/>
      <c r="AJ174" s="28"/>
    </row>
    <row r="175" spans="1:36" x14ac:dyDescent="0.25">
      <c r="A175" s="17">
        <f t="shared" ref="A175:A194" si="101">A9</f>
        <v>1996</v>
      </c>
      <c r="B175" s="55">
        <f t="shared" ref="B175:B193" ca="1" si="102">B56+B153*SQRT(B56)</f>
        <v>336740530.31818837</v>
      </c>
      <c r="C175" s="11">
        <f t="shared" ref="C175:C193" ca="1" si="103">C56-B56+C153*SQRT(C56-B56)</f>
        <v>204469854.87225157</v>
      </c>
      <c r="D175" s="11">
        <f t="shared" ref="D175:D192" ca="1" si="104">D56-C56+D153*SQRT(D56-C56)</f>
        <v>99696750.348941877</v>
      </c>
      <c r="E175" s="11">
        <f t="shared" ref="E175:E191" ca="1" si="105">E56-D56+E153*SQRT(E56-D56)</f>
        <v>57417805.999076575</v>
      </c>
      <c r="F175" s="11">
        <f t="shared" ref="F175:F190" ca="1" si="106">F56-E56+F153*SQRT(F56-E56)</f>
        <v>39309630.697341882</v>
      </c>
      <c r="G175" s="11">
        <f t="shared" ref="G175:G189" ca="1" si="107">G56-F56+G153*SQRT(G56-F56)</f>
        <v>30119875.834428467</v>
      </c>
      <c r="H175" s="11">
        <f t="shared" ref="H175:H188" ca="1" si="108">H56-G56+H153*SQRT(H56-G56)</f>
        <v>19427322.636707712</v>
      </c>
      <c r="I175" s="11">
        <f t="shared" ref="I175:I187" ca="1" si="109">I56-H56+I153*SQRT(I56-H56)</f>
        <v>14815584.83195187</v>
      </c>
      <c r="J175" s="11">
        <f t="shared" ref="J175:J186" ca="1" si="110">J56-I56+J153*SQRT(J56-I56)</f>
        <v>9903887.1110336222</v>
      </c>
      <c r="K175" s="11">
        <f t="shared" ref="K175:K185" ca="1" si="111">K56-J56+K153*SQRT(K56-J56)</f>
        <v>9281617.6434135754</v>
      </c>
      <c r="L175" s="11">
        <f t="shared" ref="L175:L184" ca="1" si="112">L56-K56+L153*SQRT(L56-K56)</f>
        <v>3942410.1878140322</v>
      </c>
      <c r="M175" s="11">
        <f t="shared" ref="M175:M183" ca="1" si="113">M56-L56+M153*SQRT(M56-L56)</f>
        <v>6603391.045340132</v>
      </c>
      <c r="N175" s="11">
        <f t="shared" ref="N175:N182" ca="1" si="114">N56-M56+N153*SQRT(N56-M56)</f>
        <v>4482255.836176157</v>
      </c>
      <c r="O175" s="11">
        <f t="shared" ref="O175:O181" ca="1" si="115">O56-N56+O153*SQRT(O56-N56)</f>
        <v>3081687.6500331876</v>
      </c>
      <c r="P175" s="11">
        <f t="shared" ref="P175:P180" ca="1" si="116">P56-O56+P153*SQRT(P56-O56)</f>
        <v>2396408.6815620735</v>
      </c>
      <c r="Q175" s="11">
        <f ca="1">Q56-P56+Q153*SQRT(Q56-P56)</f>
        <v>2278612.7601572843</v>
      </c>
      <c r="R175" s="11">
        <f ca="1">R56-Q56+R153*SQRT(R56-Q56)</f>
        <v>3896560.5216575717</v>
      </c>
      <c r="S175" s="11">
        <f ca="1">S56-R56+S153*SQRT(S56-R56)</f>
        <v>1048868.303477667</v>
      </c>
      <c r="T175" s="11">
        <f ca="1">T56-S56+T153*SQRT(T56-S56)</f>
        <v>2550911.6181951305</v>
      </c>
      <c r="U175" s="11">
        <f ca="1">U56-T56+U153*SQRT(U56-T56)</f>
        <v>3819646.6434425623</v>
      </c>
      <c r="V175" s="7"/>
      <c r="W175" s="7"/>
      <c r="X175" s="7"/>
      <c r="Y175" s="7"/>
      <c r="Z175" s="7"/>
      <c r="AA175" s="19"/>
      <c r="AB175" s="29"/>
      <c r="AC175" s="85"/>
      <c r="AF175" s="84">
        <f>(AF169-1)*2+1</f>
        <v>1.2816967330451798</v>
      </c>
      <c r="AG175" s="86">
        <v>1.1000000000000001</v>
      </c>
      <c r="AH175" s="84">
        <f>MAX(AF175,AG175)</f>
        <v>1.2816967330451798</v>
      </c>
      <c r="AI175" s="10"/>
      <c r="AJ175" s="28"/>
    </row>
    <row r="176" spans="1:36" x14ac:dyDescent="0.25">
      <c r="A176" s="17">
        <f t="shared" si="101"/>
        <v>1997</v>
      </c>
      <c r="B176" s="55">
        <f t="shared" ca="1" si="102"/>
        <v>391290343.17231077</v>
      </c>
      <c r="C176" s="11">
        <f t="shared" ca="1" si="103"/>
        <v>238284706.68367708</v>
      </c>
      <c r="D176" s="11">
        <f t="shared" ca="1" si="104"/>
        <v>117089847.0670746</v>
      </c>
      <c r="E176" s="11">
        <f t="shared" ca="1" si="105"/>
        <v>67631565.124332294</v>
      </c>
      <c r="F176" s="11">
        <f t="shared" ca="1" si="106"/>
        <v>45454767.782652542</v>
      </c>
      <c r="G176" s="11">
        <f t="shared" ca="1" si="107"/>
        <v>34786439.076613344</v>
      </c>
      <c r="H176" s="11">
        <f t="shared" ca="1" si="108"/>
        <v>22027921.781813011</v>
      </c>
      <c r="I176" s="11">
        <f t="shared" ca="1" si="109"/>
        <v>16182361.315440044</v>
      </c>
      <c r="J176" s="11">
        <f t="shared" ca="1" si="110"/>
        <v>12133824.842842327</v>
      </c>
      <c r="K176" s="11">
        <f t="shared" ca="1" si="111"/>
        <v>11636142.544037763</v>
      </c>
      <c r="L176" s="11">
        <f t="shared" ca="1" si="112"/>
        <v>5379126.475538794</v>
      </c>
      <c r="M176" s="11">
        <f t="shared" ca="1" si="113"/>
        <v>6570998.9519376056</v>
      </c>
      <c r="N176" s="11">
        <f t="shared" ca="1" si="114"/>
        <v>5145416.6234379672</v>
      </c>
      <c r="O176" s="11">
        <f t="shared" ca="1" si="115"/>
        <v>4038422.9146491885</v>
      </c>
      <c r="P176" s="11">
        <f t="shared" ca="1" si="116"/>
        <v>2353416.1097908076</v>
      </c>
      <c r="Q176" s="11">
        <f ca="1">Q57-P57+Q154*SQRT(Q57-P57)</f>
        <v>2687648.4329295484</v>
      </c>
      <c r="R176" s="11">
        <f ca="1">R57-Q57+R154*SQRT(R57-Q57)</f>
        <v>5065682.8729228489</v>
      </c>
      <c r="S176" s="11">
        <f ca="1">S57-R57+S154*SQRT(S57-R57)</f>
        <v>1010057.9780444731</v>
      </c>
      <c r="T176" s="11">
        <f ca="1">T57-S57+T154*SQRT(T57-S57)</f>
        <v>2920365.8697473523</v>
      </c>
      <c r="U176" s="104">
        <f t="shared" ref="U176:U194" ca="1" si="117">U199-T199</f>
        <v>4448692.9804413319</v>
      </c>
      <c r="V176" s="7"/>
      <c r="W176" s="7"/>
      <c r="X176" s="7"/>
      <c r="Y176" s="7"/>
      <c r="Z176" s="7"/>
      <c r="AA176" s="19"/>
      <c r="AB176" s="29"/>
      <c r="AC176" s="85"/>
      <c r="AG176" s="10"/>
      <c r="AH176" s="10"/>
      <c r="AI176" s="10"/>
      <c r="AJ176" s="28"/>
    </row>
    <row r="177" spans="1:36" x14ac:dyDescent="0.25">
      <c r="A177" s="17">
        <f t="shared" si="101"/>
        <v>1998</v>
      </c>
      <c r="B177" s="55">
        <f t="shared" ca="1" si="102"/>
        <v>484343800.25582623</v>
      </c>
      <c r="C177" s="11">
        <f t="shared" ca="1" si="103"/>
        <v>306683419.14927083</v>
      </c>
      <c r="D177" s="11">
        <f t="shared" ca="1" si="104"/>
        <v>147768631.92791599</v>
      </c>
      <c r="E177" s="11">
        <f t="shared" ca="1" si="105"/>
        <v>84456602.990777656</v>
      </c>
      <c r="F177" s="11">
        <f t="shared" ca="1" si="106"/>
        <v>57264698.591020577</v>
      </c>
      <c r="G177" s="11">
        <f t="shared" ca="1" si="107"/>
        <v>42560414.947833575</v>
      </c>
      <c r="H177" s="11">
        <f t="shared" ca="1" si="108"/>
        <v>29303507.126476724</v>
      </c>
      <c r="I177" s="11">
        <f t="shared" ca="1" si="109"/>
        <v>20347616.167176928</v>
      </c>
      <c r="J177" s="11">
        <f t="shared" ca="1" si="110"/>
        <v>14454179.361428564</v>
      </c>
      <c r="K177" s="11">
        <f t="shared" ca="1" si="111"/>
        <v>13550955.936405024</v>
      </c>
      <c r="L177" s="11">
        <f t="shared" si="112"/>
        <v>6246134.2644997407</v>
      </c>
      <c r="M177" s="11">
        <f t="shared" ca="1" si="113"/>
        <v>8576322.5912893694</v>
      </c>
      <c r="N177" s="11">
        <f t="shared" ca="1" si="114"/>
        <v>7013760.6060668193</v>
      </c>
      <c r="O177" s="11">
        <f t="shared" ca="1" si="115"/>
        <v>4278313.0827685893</v>
      </c>
      <c r="P177" s="11">
        <f t="shared" ca="1" si="116"/>
        <v>3391043.4840202313</v>
      </c>
      <c r="Q177" s="11">
        <f ca="1">Q58-P58+Q155*SQRT(Q58-P58)</f>
        <v>3464281.3930235566</v>
      </c>
      <c r="R177" s="11">
        <f ca="1">R58-Q58+R155*SQRT(R58-Q58)</f>
        <v>5848093.8455208354</v>
      </c>
      <c r="S177" s="11">
        <f ca="1">S58-R58+S155*SQRT(S58-R58)</f>
        <v>1503301.4887295787</v>
      </c>
      <c r="T177" s="104">
        <f t="shared" ref="T177:T194" ca="1" si="118">T200-S200</f>
        <v>3694957.9129257202</v>
      </c>
      <c r="U177" s="104">
        <f t="shared" ca="1" si="117"/>
        <v>5583918.3787248135</v>
      </c>
      <c r="V177" s="7"/>
      <c r="W177" s="7"/>
      <c r="X177" s="7"/>
      <c r="Y177" s="7"/>
      <c r="Z177" s="7"/>
      <c r="AA177" s="19"/>
      <c r="AB177" s="29"/>
      <c r="AC177" s="85"/>
      <c r="AG177" s="10"/>
      <c r="AH177" s="10"/>
      <c r="AI177" s="10"/>
      <c r="AJ177" s="28"/>
    </row>
    <row r="178" spans="1:36" x14ac:dyDescent="0.25">
      <c r="A178" s="17">
        <f t="shared" si="101"/>
        <v>1999</v>
      </c>
      <c r="B178" s="55">
        <f t="shared" ca="1" si="102"/>
        <v>530370757.13752067</v>
      </c>
      <c r="C178" s="11">
        <f t="shared" ca="1" si="103"/>
        <v>323574622.11874312</v>
      </c>
      <c r="D178" s="11">
        <f t="shared" ca="1" si="104"/>
        <v>160044304.55307749</v>
      </c>
      <c r="E178" s="11">
        <f t="shared" ca="1" si="105"/>
        <v>90727124.867908329</v>
      </c>
      <c r="F178" s="11">
        <f t="shared" ca="1" si="106"/>
        <v>63744152.141268596</v>
      </c>
      <c r="G178" s="11">
        <f t="shared" ca="1" si="107"/>
        <v>47245633.711709484</v>
      </c>
      <c r="H178" s="11">
        <f t="shared" ca="1" si="108"/>
        <v>31480589.402748175</v>
      </c>
      <c r="I178" s="11">
        <f t="shared" ca="1" si="109"/>
        <v>22695022.794938527</v>
      </c>
      <c r="J178" s="11">
        <f t="shared" ca="1" si="110"/>
        <v>15356517.11173043</v>
      </c>
      <c r="K178" s="11">
        <f t="shared" ca="1" si="111"/>
        <v>15176096.394033805</v>
      </c>
      <c r="L178" s="11">
        <f t="shared" ca="1" si="112"/>
        <v>6664434.3637340069</v>
      </c>
      <c r="M178" s="11">
        <f t="shared" ca="1" si="113"/>
        <v>9053803.1565950848</v>
      </c>
      <c r="N178" s="11">
        <f t="shared" ca="1" si="114"/>
        <v>6687498.8390810266</v>
      </c>
      <c r="O178" s="11">
        <f t="shared" ca="1" si="115"/>
        <v>4656552.0739032635</v>
      </c>
      <c r="P178" s="11">
        <f t="shared" ca="1" si="116"/>
        <v>3523560.0434847968</v>
      </c>
      <c r="Q178" s="11">
        <f ca="1">Q59-P59+Q156*SQRT(Q59-P59)</f>
        <v>3890840.2523888079</v>
      </c>
      <c r="R178" s="11">
        <f ca="1">R59-Q59+R156*SQRT(R59-Q59)</f>
        <v>6466052.466784345</v>
      </c>
      <c r="S178" s="104">
        <f t="shared" ref="S178:S194" ca="1" si="119">S201-R201</f>
        <v>1553804.8355872631</v>
      </c>
      <c r="T178" s="104">
        <f t="shared" ca="1" si="118"/>
        <v>3998211.7395582199</v>
      </c>
      <c r="U178" s="104">
        <f t="shared" ca="1" si="117"/>
        <v>6042203.6030378342</v>
      </c>
      <c r="V178" s="7"/>
      <c r="W178" s="7"/>
      <c r="X178" s="7"/>
      <c r="Y178" s="7"/>
      <c r="Z178" s="7"/>
      <c r="AA178" s="19"/>
      <c r="AB178" s="29"/>
      <c r="AC178" s="85"/>
      <c r="AG178" s="98" t="s">
        <v>124</v>
      </c>
      <c r="AH178" s="91"/>
      <c r="AI178" s="91"/>
      <c r="AJ178" s="92" t="s">
        <v>128</v>
      </c>
    </row>
    <row r="179" spans="1:36" x14ac:dyDescent="0.25">
      <c r="A179" s="17">
        <f t="shared" si="101"/>
        <v>2000</v>
      </c>
      <c r="B179" s="55">
        <f t="shared" ca="1" si="102"/>
        <v>486732980.58376312</v>
      </c>
      <c r="C179" s="11">
        <f t="shared" ca="1" si="103"/>
        <v>301752132.98699397</v>
      </c>
      <c r="D179" s="11">
        <f t="shared" ca="1" si="104"/>
        <v>147932038.12113458</v>
      </c>
      <c r="E179" s="11">
        <f t="shared" ca="1" si="105"/>
        <v>84498089.706795469</v>
      </c>
      <c r="F179" s="11">
        <f t="shared" ca="1" si="106"/>
        <v>57185899.98820971</v>
      </c>
      <c r="G179" s="11">
        <f t="shared" ca="1" si="107"/>
        <v>43191486.866127253</v>
      </c>
      <c r="H179" s="11">
        <f t="shared" ca="1" si="108"/>
        <v>28509950.765479192</v>
      </c>
      <c r="I179" s="11">
        <f t="shared" ca="1" si="109"/>
        <v>20968636.433739185</v>
      </c>
      <c r="J179" s="11">
        <f t="shared" ca="1" si="110"/>
        <v>15491353.22994701</v>
      </c>
      <c r="K179" s="11">
        <f t="shared" ca="1" si="111"/>
        <v>14027709.774562247</v>
      </c>
      <c r="L179" s="11">
        <f t="shared" ca="1" si="112"/>
        <v>6538100.4414773425</v>
      </c>
      <c r="M179" s="11">
        <f t="shared" ca="1" si="113"/>
        <v>8796928.3251254018</v>
      </c>
      <c r="N179" s="11">
        <f t="shared" ca="1" si="114"/>
        <v>6182994.0507991537</v>
      </c>
      <c r="O179" s="11">
        <f t="shared" ca="1" si="115"/>
        <v>4368281.8229598096</v>
      </c>
      <c r="P179" s="11">
        <f t="shared" ca="1" si="116"/>
        <v>2985257.2769864057</v>
      </c>
      <c r="Q179" s="11">
        <f ca="1">Q60-P60+Q157*SQRT(Q60-P60)</f>
        <v>3564899.1733811172</v>
      </c>
      <c r="R179" s="104">
        <f t="shared" ref="R179:R194" ca="1" si="120">R202-Q202</f>
        <v>5967337.4902215004</v>
      </c>
      <c r="S179" s="104">
        <f t="shared" ca="1" si="119"/>
        <v>1434881.2740602493</v>
      </c>
      <c r="T179" s="104">
        <f t="shared" ca="1" si="118"/>
        <v>3692200.6055231094</v>
      </c>
      <c r="U179" s="104">
        <f t="shared" ca="1" si="117"/>
        <v>5579751.4626612663</v>
      </c>
      <c r="V179" s="7"/>
      <c r="W179" s="7"/>
      <c r="X179" s="7"/>
      <c r="Y179" s="7"/>
      <c r="Z179" s="7"/>
      <c r="AA179" s="19"/>
      <c r="AB179" s="90" t="s">
        <v>79</v>
      </c>
      <c r="AC179" s="30" t="s">
        <v>80</v>
      </c>
      <c r="AD179" s="30" t="s">
        <v>93</v>
      </c>
      <c r="AE179" s="30" t="s">
        <v>94</v>
      </c>
      <c r="AF179" s="99" t="s">
        <v>134</v>
      </c>
      <c r="AG179" s="93" t="s">
        <v>125</v>
      </c>
      <c r="AH179" s="91" t="s">
        <v>83</v>
      </c>
      <c r="AI179" s="91" t="s">
        <v>84</v>
      </c>
      <c r="AJ179" s="92" t="s">
        <v>129</v>
      </c>
    </row>
    <row r="180" spans="1:36" x14ac:dyDescent="0.25">
      <c r="A180" s="17">
        <f t="shared" si="101"/>
        <v>2001</v>
      </c>
      <c r="B180" s="55">
        <f t="shared" ca="1" si="102"/>
        <v>485452789.61160409</v>
      </c>
      <c r="C180" s="11">
        <f t="shared" ca="1" si="103"/>
        <v>309329026.25460398</v>
      </c>
      <c r="D180" s="11">
        <f t="shared" ca="1" si="104"/>
        <v>152533767.67928237</v>
      </c>
      <c r="E180" s="11">
        <f t="shared" ca="1" si="105"/>
        <v>85686454.394298837</v>
      </c>
      <c r="F180" s="11">
        <f t="shared" ca="1" si="106"/>
        <v>61110344.96913866</v>
      </c>
      <c r="G180" s="11">
        <f t="shared" ca="1" si="107"/>
        <v>44624817.225106128</v>
      </c>
      <c r="H180" s="11">
        <f t="shared" ca="1" si="108"/>
        <v>30086396.147529189</v>
      </c>
      <c r="I180" s="11">
        <f t="shared" ca="1" si="109"/>
        <v>22604308.952224262</v>
      </c>
      <c r="J180" s="11">
        <f t="shared" ca="1" si="110"/>
        <v>15417541.06513159</v>
      </c>
      <c r="K180" s="11">
        <f t="shared" ca="1" si="111"/>
        <v>14484822.968647655</v>
      </c>
      <c r="L180" s="11">
        <f t="shared" ca="1" si="112"/>
        <v>6803317.6094519496</v>
      </c>
      <c r="M180" s="11">
        <f t="shared" ca="1" si="113"/>
        <v>8980544.1129608434</v>
      </c>
      <c r="N180" s="11">
        <f t="shared" ca="1" si="114"/>
        <v>6014444.4577877158</v>
      </c>
      <c r="O180" s="11">
        <f t="shared" ca="1" si="115"/>
        <v>4465856.9953098064</v>
      </c>
      <c r="P180" s="11">
        <f t="shared" ca="1" si="116"/>
        <v>3272059.7771862694</v>
      </c>
      <c r="Q180" s="104">
        <f t="shared" ref="Q180:Q194" ca="1" si="121">Q203-P203</f>
        <v>3540854.8004939556</v>
      </c>
      <c r="R180" s="104">
        <f t="shared" ca="1" si="120"/>
        <v>6072288.1639072895</v>
      </c>
      <c r="S180" s="104">
        <f t="shared" ca="1" si="119"/>
        <v>1460117.2786633968</v>
      </c>
      <c r="T180" s="104">
        <f t="shared" ca="1" si="118"/>
        <v>3757137.2613713741</v>
      </c>
      <c r="U180" s="104">
        <f t="shared" ca="1" si="117"/>
        <v>5677885.4589309692</v>
      </c>
      <c r="V180" s="7"/>
      <c r="W180" s="7"/>
      <c r="X180" s="7"/>
      <c r="Y180" s="7"/>
      <c r="Z180" s="7"/>
      <c r="AA180" s="19"/>
      <c r="AB180" s="39">
        <v>12</v>
      </c>
      <c r="AC180" s="27">
        <f ca="1">B242</f>
        <v>1.6158525503547521</v>
      </c>
      <c r="AD180" s="32">
        <f t="shared" ref="AD180:AD194" si="122">LN(AB180)</f>
        <v>2.4849066497880004</v>
      </c>
      <c r="AE180" s="32">
        <f t="shared" ref="AE180:AE198" ca="1" si="123">IF(AC180&lt;=1,"",LN(AC180-1))</f>
        <v>-0.48474771040852488</v>
      </c>
      <c r="AF180" s="32">
        <f t="shared" ref="AF180:AF194" ca="1" si="124">IF(AC180&lt;=1,"",LN(-LN(1-1/AC180)))</f>
        <v>-3.603096614737708E-2</v>
      </c>
      <c r="AG180" s="32">
        <f t="shared" ref="AG180:AG219" ca="1" si="125">1+(EXP($AG$171))*(AB180^$AG$170)</f>
        <v>1.7603777272441452</v>
      </c>
      <c r="AH180" s="32">
        <f t="shared" ref="AH180:AH219" ca="1" si="126">1+EXP($AH$171+$AH$170*AB180)</f>
        <v>1.1380933965965867</v>
      </c>
      <c r="AI180" s="32">
        <f t="shared" ref="AI180:AI219" ca="1" si="127">1/(1-EXP(-EXP($AI$171)*AB180^$AI$170))</f>
        <v>1.4768898095703453</v>
      </c>
      <c r="AJ180" s="33"/>
    </row>
    <row r="181" spans="1:36" x14ac:dyDescent="0.25">
      <c r="A181" s="17">
        <f t="shared" si="101"/>
        <v>2002</v>
      </c>
      <c r="B181" s="55">
        <f t="shared" ca="1" si="102"/>
        <v>484581032.68674493</v>
      </c>
      <c r="C181" s="11">
        <f t="shared" ca="1" si="103"/>
        <v>293635257.10472977</v>
      </c>
      <c r="D181" s="11">
        <f t="shared" ca="1" si="104"/>
        <v>144321957.13086921</v>
      </c>
      <c r="E181" s="11">
        <f t="shared" ca="1" si="105"/>
        <v>82139883.33856155</v>
      </c>
      <c r="F181" s="11">
        <f t="shared" ca="1" si="106"/>
        <v>57166535.356312193</v>
      </c>
      <c r="G181" s="11">
        <f t="shared" ca="1" si="107"/>
        <v>42154098.793329723</v>
      </c>
      <c r="H181" s="11">
        <f t="shared" ca="1" si="108"/>
        <v>26992869.584945187</v>
      </c>
      <c r="I181" s="11">
        <f t="shared" ca="1" si="109"/>
        <v>21018502.035826132</v>
      </c>
      <c r="J181" s="11">
        <f t="shared" ca="1" si="110"/>
        <v>14625009.139804907</v>
      </c>
      <c r="K181" s="11">
        <f t="shared" ca="1" si="111"/>
        <v>12971524.272867369</v>
      </c>
      <c r="L181" s="11">
        <f t="shared" ca="1" si="112"/>
        <v>6394907.2702461956</v>
      </c>
      <c r="M181" s="11">
        <f t="shared" ca="1" si="113"/>
        <v>7851488.7305368576</v>
      </c>
      <c r="N181" s="11">
        <f t="shared" ca="1" si="114"/>
        <v>6570714.6952324659</v>
      </c>
      <c r="O181" s="11">
        <f t="shared" ca="1" si="115"/>
        <v>3858560.9559688093</v>
      </c>
      <c r="P181" s="104">
        <f t="shared" ref="P181:P194" ca="1" si="128">P204-O204</f>
        <v>3153062.4238977432</v>
      </c>
      <c r="Q181" s="104">
        <f t="shared" ca="1" si="121"/>
        <v>3417913.4795200825</v>
      </c>
      <c r="R181" s="104">
        <f t="shared" ca="1" si="120"/>
        <v>5861453.4445338249</v>
      </c>
      <c r="S181" s="104">
        <f t="shared" ca="1" si="119"/>
        <v>1409420.8346889019</v>
      </c>
      <c r="T181" s="104">
        <f t="shared" ca="1" si="118"/>
        <v>3626686.4397423267</v>
      </c>
      <c r="U181" s="104">
        <f t="shared" ca="1" si="117"/>
        <v>5480744.718067646</v>
      </c>
      <c r="V181" s="7"/>
      <c r="W181" s="7"/>
      <c r="X181" s="7"/>
      <c r="Y181" s="7"/>
      <c r="Z181" s="7"/>
      <c r="AA181" s="19"/>
      <c r="AB181" s="40">
        <f>+AB180+12</f>
        <v>24</v>
      </c>
      <c r="AC181" s="27">
        <f ca="1">C242</f>
        <v>1.1875139129192116</v>
      </c>
      <c r="AD181" s="32">
        <f t="shared" si="122"/>
        <v>3.1780538303479458</v>
      </c>
      <c r="AE181" s="32">
        <f t="shared" ca="1" si="123"/>
        <v>-1.673902234088726</v>
      </c>
      <c r="AF181" s="32">
        <f t="shared" ca="1" si="124"/>
        <v>0.61289339611795013</v>
      </c>
      <c r="AG181" s="32">
        <f t="shared" ca="1" si="125"/>
        <v>1.192072092069647</v>
      </c>
      <c r="AH181" s="32">
        <f t="shared" ca="1" si="126"/>
        <v>1.105719838776787</v>
      </c>
      <c r="AI181" s="32">
        <f t="shared" ca="1" si="127"/>
        <v>1.2083975756192378</v>
      </c>
      <c r="AJ181" s="33"/>
    </row>
    <row r="182" spans="1:36" x14ac:dyDescent="0.25">
      <c r="A182" s="17">
        <f t="shared" si="101"/>
        <v>2003</v>
      </c>
      <c r="B182" s="55">
        <f t="shared" ca="1" si="102"/>
        <v>327008315.1173082</v>
      </c>
      <c r="C182" s="11">
        <f t="shared" ca="1" si="103"/>
        <v>199276755.15327239</v>
      </c>
      <c r="D182" s="11">
        <f t="shared" ca="1" si="104"/>
        <v>98015598.531596079</v>
      </c>
      <c r="E182" s="11">
        <f t="shared" ca="1" si="105"/>
        <v>55435727.993304089</v>
      </c>
      <c r="F182" s="11">
        <f t="shared" ca="1" si="106"/>
        <v>38882100.639808469</v>
      </c>
      <c r="G182" s="11">
        <f t="shared" ca="1" si="107"/>
        <v>29251908.19761892</v>
      </c>
      <c r="H182" s="11">
        <f t="shared" ca="1" si="108"/>
        <v>19181739.504227873</v>
      </c>
      <c r="I182" s="11">
        <f t="shared" ca="1" si="109"/>
        <v>13961583.128062997</v>
      </c>
      <c r="J182" s="11">
        <f t="shared" ca="1" si="110"/>
        <v>9915196.0691206269</v>
      </c>
      <c r="K182" s="11">
        <f t="shared" ca="1" si="111"/>
        <v>9170708.5901268423</v>
      </c>
      <c r="L182" s="11">
        <f t="shared" ca="1" si="112"/>
        <v>4315038.2030742541</v>
      </c>
      <c r="M182" s="11">
        <f t="shared" ca="1" si="113"/>
        <v>5634790.269278001</v>
      </c>
      <c r="N182" s="11">
        <f t="shared" ca="1" si="114"/>
        <v>4467477.9311807258</v>
      </c>
      <c r="O182" s="104">
        <f t="shared" ref="O182:O194" ca="1" si="129">O205-N205</f>
        <v>2919424.9539712667</v>
      </c>
      <c r="P182" s="104">
        <f t="shared" ca="1" si="128"/>
        <v>2140218.9471609592</v>
      </c>
      <c r="Q182" s="104">
        <f t="shared" ca="1" si="121"/>
        <v>2319993.1384749413</v>
      </c>
      <c r="R182" s="104">
        <f t="shared" ca="1" si="120"/>
        <v>3978606.2035478354</v>
      </c>
      <c r="S182" s="104">
        <f t="shared" ca="1" si="119"/>
        <v>956679.18023502827</v>
      </c>
      <c r="T182" s="104">
        <f t="shared" ca="1" si="118"/>
        <v>2461702.9383622408</v>
      </c>
      <c r="U182" s="104">
        <f t="shared" ca="1" si="117"/>
        <v>3720190.7584375143</v>
      </c>
      <c r="V182" s="7"/>
      <c r="W182" s="7"/>
      <c r="X182" s="7"/>
      <c r="Y182" s="7"/>
      <c r="Z182" s="7"/>
      <c r="AA182" s="19"/>
      <c r="AB182" s="79">
        <f t="shared" ref="AB182:AB208" si="130">+AB181+12</f>
        <v>36</v>
      </c>
      <c r="AC182" s="80">
        <f ca="1">D242</f>
        <v>1.0900750431426633</v>
      </c>
      <c r="AD182" s="81">
        <f t="shared" si="122"/>
        <v>3.5835189384561099</v>
      </c>
      <c r="AE182" s="81">
        <f t="shared" ca="1" si="123"/>
        <v>-2.4071121433843055</v>
      </c>
      <c r="AF182" s="81">
        <f t="shared" ca="1" si="124"/>
        <v>0.91363067071661153</v>
      </c>
      <c r="AG182" s="81">
        <f t="shared" ca="1" si="125"/>
        <v>1.0858837659305982</v>
      </c>
      <c r="AH182" s="81">
        <f t="shared" ca="1" si="126"/>
        <v>1.0809356898044906</v>
      </c>
      <c r="AI182" s="81">
        <f t="shared" ca="1" si="127"/>
        <v>1.1145292927505992</v>
      </c>
      <c r="AJ182" s="82"/>
    </row>
    <row r="183" spans="1:36" x14ac:dyDescent="0.25">
      <c r="A183" s="17">
        <f t="shared" si="101"/>
        <v>2004</v>
      </c>
      <c r="B183" s="55">
        <f t="shared" ca="1" si="102"/>
        <v>237820048.10988668</v>
      </c>
      <c r="C183" s="11">
        <f t="shared" ca="1" si="103"/>
        <v>146287946.96522257</v>
      </c>
      <c r="D183" s="11">
        <f t="shared" ca="1" si="104"/>
        <v>74823367.826170713</v>
      </c>
      <c r="E183" s="11">
        <f t="shared" ca="1" si="105"/>
        <v>41944343.216634639</v>
      </c>
      <c r="F183" s="11">
        <f t="shared" ca="1" si="106"/>
        <v>28177139.24759993</v>
      </c>
      <c r="G183" s="11">
        <f t="shared" ca="1" si="107"/>
        <v>21053617.86209802</v>
      </c>
      <c r="H183" s="11">
        <f t="shared" ca="1" si="108"/>
        <v>14484006.297607174</v>
      </c>
      <c r="I183" s="11">
        <f t="shared" ca="1" si="109"/>
        <v>11371116.282995675</v>
      </c>
      <c r="J183" s="11">
        <f t="shared" ca="1" si="110"/>
        <v>7226947.1297333613</v>
      </c>
      <c r="K183" s="11">
        <f t="shared" ca="1" si="111"/>
        <v>6706528.4633429535</v>
      </c>
      <c r="L183" s="11">
        <f t="shared" ca="1" si="112"/>
        <v>2826173.2208095882</v>
      </c>
      <c r="M183" s="11">
        <f t="shared" ca="1" si="113"/>
        <v>4379730.8400631323</v>
      </c>
      <c r="N183" s="104">
        <f t="shared" ref="N183:N194" ca="1" si="131">N206-M206</f>
        <v>3163640.7721447945</v>
      </c>
      <c r="O183" s="104">
        <f t="shared" ca="1" si="129"/>
        <v>2151492.9718613625</v>
      </c>
      <c r="P183" s="104">
        <f t="shared" ca="1" si="128"/>
        <v>1577251.032535553</v>
      </c>
      <c r="Q183" s="104">
        <f t="shared" ca="1" si="121"/>
        <v>1709737.0238634348</v>
      </c>
      <c r="R183" s="104">
        <f t="shared" ca="1" si="120"/>
        <v>2932064.8482823372</v>
      </c>
      <c r="S183" s="104">
        <f t="shared" ca="1" si="119"/>
        <v>705032.17758750916</v>
      </c>
      <c r="T183" s="104">
        <f t="shared" ca="1" si="118"/>
        <v>1814171.1652810574</v>
      </c>
      <c r="U183" s="104">
        <f t="shared" ca="1" si="117"/>
        <v>2741623.5720922947</v>
      </c>
      <c r="V183" s="7"/>
      <c r="W183" s="7"/>
      <c r="X183" s="7"/>
      <c r="Y183" s="7"/>
      <c r="Z183" s="7"/>
      <c r="AA183" s="19"/>
      <c r="AB183" s="40">
        <f t="shared" si="130"/>
        <v>48</v>
      </c>
      <c r="AC183" s="27">
        <f ca="1">E242</f>
        <v>1.0571045036172739</v>
      </c>
      <c r="AD183" s="32">
        <f t="shared" si="122"/>
        <v>3.8712010109078911</v>
      </c>
      <c r="AE183" s="32">
        <f t="shared" ca="1" si="123"/>
        <v>-2.8628722929738051</v>
      </c>
      <c r="AF183" s="32">
        <f t="shared" ca="1" si="124"/>
        <v>1.0710375299105326</v>
      </c>
      <c r="AG183" s="32">
        <f t="shared" ca="1" si="125"/>
        <v>1.0485175817625778</v>
      </c>
      <c r="AH183" s="32">
        <f t="shared" ca="1" si="126"/>
        <v>1.0619617468199076</v>
      </c>
      <c r="AI183" s="32">
        <f t="shared" ca="1" si="127"/>
        <v>1.0695617585972856</v>
      </c>
      <c r="AJ183" s="33"/>
    </row>
    <row r="184" spans="1:36" x14ac:dyDescent="0.25">
      <c r="A184" s="17">
        <f t="shared" si="101"/>
        <v>2005</v>
      </c>
      <c r="B184" s="55">
        <f t="shared" ca="1" si="102"/>
        <v>128917512.33134112</v>
      </c>
      <c r="C184" s="11">
        <f t="shared" ca="1" si="103"/>
        <v>79857914.455895945</v>
      </c>
      <c r="D184" s="11">
        <f t="shared" ca="1" si="104"/>
        <v>39114028.773384571</v>
      </c>
      <c r="E184" s="11">
        <f t="shared" ca="1" si="105"/>
        <v>22809624.226811819</v>
      </c>
      <c r="F184" s="11">
        <f t="shared" ca="1" si="106"/>
        <v>15644748.590488233</v>
      </c>
      <c r="G184" s="11">
        <f t="shared" ca="1" si="107"/>
        <v>11314399.14259037</v>
      </c>
      <c r="H184" s="11">
        <f t="shared" ca="1" si="108"/>
        <v>8016794.5740451571</v>
      </c>
      <c r="I184" s="11">
        <f t="shared" ca="1" si="109"/>
        <v>5765756.5216517607</v>
      </c>
      <c r="J184" s="11">
        <f t="shared" ca="1" si="110"/>
        <v>3897107.4906434426</v>
      </c>
      <c r="K184" s="11">
        <f t="shared" ca="1" si="111"/>
        <v>3335231.7338241627</v>
      </c>
      <c r="L184" s="11">
        <f t="shared" ca="1" si="112"/>
        <v>1802581.6283574039</v>
      </c>
      <c r="M184" s="104">
        <f t="shared" ref="M184:M194" ca="1" si="132">M207-L207</f>
        <v>2285068.6869052052</v>
      </c>
      <c r="N184" s="104">
        <f t="shared" ca="1" si="131"/>
        <v>1710094.5817372203</v>
      </c>
      <c r="O184" s="104">
        <f t="shared" ca="1" si="129"/>
        <v>1162981.7475551963</v>
      </c>
      <c r="P184" s="104">
        <f t="shared" ca="1" si="128"/>
        <v>852577.34333407879</v>
      </c>
      <c r="Q184" s="104">
        <f t="shared" ca="1" si="121"/>
        <v>924192.16696405411</v>
      </c>
      <c r="R184" s="104">
        <f t="shared" ca="1" si="120"/>
        <v>1584917.053319633</v>
      </c>
      <c r="S184" s="104">
        <f t="shared" ca="1" si="119"/>
        <v>381102.59466201067</v>
      </c>
      <c r="T184" s="104">
        <f t="shared" ca="1" si="118"/>
        <v>980643.66454213858</v>
      </c>
      <c r="U184" s="104">
        <f t="shared" ca="1" si="117"/>
        <v>1481974.7099856138</v>
      </c>
      <c r="V184" s="7"/>
      <c r="W184" s="7"/>
      <c r="X184" s="7"/>
      <c r="Y184" s="7"/>
      <c r="Z184" s="7"/>
      <c r="AA184" s="19"/>
      <c r="AB184" s="40">
        <f t="shared" si="130"/>
        <v>60</v>
      </c>
      <c r="AC184" s="27">
        <f ca="1">F242</f>
        <v>1.0402123701118298</v>
      </c>
      <c r="AD184" s="32">
        <f t="shared" si="122"/>
        <v>4.0943445622221004</v>
      </c>
      <c r="AE184" s="32">
        <f t="shared" ca="1" si="123"/>
        <v>-3.2135806164668526</v>
      </c>
      <c r="AF184" s="32">
        <f t="shared" ca="1" si="124"/>
        <v>1.1795793415581293</v>
      </c>
      <c r="AG184" s="32">
        <f t="shared" ca="1" si="125"/>
        <v>1.0311548845071217</v>
      </c>
      <c r="AH184" s="32">
        <f t="shared" ca="1" si="126"/>
        <v>1.0474359096493586</v>
      </c>
      <c r="AI184" s="32">
        <f t="shared" ca="1" si="127"/>
        <v>1.0447691115939806</v>
      </c>
      <c r="AJ184" s="33"/>
    </row>
    <row r="185" spans="1:36" x14ac:dyDescent="0.25">
      <c r="A185" s="17">
        <f t="shared" si="101"/>
        <v>2006</v>
      </c>
      <c r="B185" s="55">
        <f t="shared" ca="1" si="102"/>
        <v>110585053.51618624</v>
      </c>
      <c r="C185" s="11">
        <f t="shared" ca="1" si="103"/>
        <v>67572270.710504919</v>
      </c>
      <c r="D185" s="11">
        <f t="shared" ca="1" si="104"/>
        <v>33264086.750379138</v>
      </c>
      <c r="E185" s="11">
        <f t="shared" ca="1" si="105"/>
        <v>19266912.888142839</v>
      </c>
      <c r="F185" s="11">
        <f t="shared" ca="1" si="106"/>
        <v>14417007.123813352</v>
      </c>
      <c r="G185" s="11">
        <f t="shared" ca="1" si="107"/>
        <v>9916691.9271307457</v>
      </c>
      <c r="H185" s="11">
        <f t="shared" ca="1" si="108"/>
        <v>6921653.6907146554</v>
      </c>
      <c r="I185" s="11">
        <f t="shared" ca="1" si="109"/>
        <v>4973463.0581857972</v>
      </c>
      <c r="J185" s="11">
        <f t="shared" ca="1" si="110"/>
        <v>3353744.2150522801</v>
      </c>
      <c r="K185" s="11">
        <f t="shared" ca="1" si="111"/>
        <v>3683239.8637951501</v>
      </c>
      <c r="L185" s="104">
        <f t="shared" ref="L185:L194" ca="1" si="133">L208-K208</f>
        <v>1454581.8471258879</v>
      </c>
      <c r="M185" s="104">
        <f t="shared" ca="1" si="132"/>
        <v>1963730.19948107</v>
      </c>
      <c r="N185" s="104">
        <f t="shared" ca="1" si="131"/>
        <v>1469612.004825294</v>
      </c>
      <c r="O185" s="104">
        <f t="shared" ca="1" si="129"/>
        <v>999437.08134764433</v>
      </c>
      <c r="P185" s="104">
        <f t="shared" ca="1" si="128"/>
        <v>732683.39201039076</v>
      </c>
      <c r="Q185" s="104">
        <f t="shared" ca="1" si="121"/>
        <v>794227.35902488232</v>
      </c>
      <c r="R185" s="104">
        <f t="shared" ca="1" si="120"/>
        <v>1362037.6048702598</v>
      </c>
      <c r="S185" s="104">
        <f t="shared" ca="1" si="119"/>
        <v>327509.9249869585</v>
      </c>
      <c r="T185" s="104">
        <f t="shared" ca="1" si="118"/>
        <v>842740.34738069773</v>
      </c>
      <c r="U185" s="104">
        <f t="shared" ca="1" si="117"/>
        <v>1273571.5602524877</v>
      </c>
      <c r="V185" s="7"/>
      <c r="W185" s="7"/>
      <c r="X185" s="7"/>
      <c r="Y185" s="7"/>
      <c r="Z185" s="7"/>
      <c r="AA185" s="19"/>
      <c r="AB185" s="40">
        <f>+AB184+12</f>
        <v>72</v>
      </c>
      <c r="AC185" s="27">
        <f ca="1">G242</f>
        <v>1.0255896003328453</v>
      </c>
      <c r="AD185" s="32">
        <f t="shared" si="122"/>
        <v>4.2766661190160553</v>
      </c>
      <c r="AE185" s="32">
        <f t="shared" ca="1" si="123"/>
        <v>-3.665569247031454</v>
      </c>
      <c r="AF185" s="32">
        <f t="shared" ca="1" si="124"/>
        <v>1.3058532383204622</v>
      </c>
      <c r="AG185" s="32">
        <f t="shared" ca="1" si="125"/>
        <v>1.0216943158723182</v>
      </c>
      <c r="AH185" s="32">
        <f t="shared" ca="1" si="126"/>
        <v>1.0363153984474041</v>
      </c>
      <c r="AI185" s="32">
        <f t="shared" ca="1" si="127"/>
        <v>1.0299476166715187</v>
      </c>
      <c r="AJ185" s="33"/>
    </row>
    <row r="186" spans="1:36" x14ac:dyDescent="0.25">
      <c r="A186" s="17">
        <f t="shared" si="101"/>
        <v>2007</v>
      </c>
      <c r="B186" s="55">
        <f ca="1">B67+B164*SQRT(B67)</f>
        <v>98390703.912917346</v>
      </c>
      <c r="C186" s="11">
        <f t="shared" ca="1" si="103"/>
        <v>59830161.945112795</v>
      </c>
      <c r="D186" s="11">
        <f t="shared" ca="1" si="104"/>
        <v>28262580.64341116</v>
      </c>
      <c r="E186" s="11">
        <f t="shared" ca="1" si="105"/>
        <v>17851619.532134656</v>
      </c>
      <c r="F186" s="11">
        <f t="shared" ca="1" si="106"/>
        <v>11411944.643091463</v>
      </c>
      <c r="G186" s="11">
        <f t="shared" ca="1" si="107"/>
        <v>8566548.003098594</v>
      </c>
      <c r="H186" s="11">
        <f t="shared" ca="1" si="108"/>
        <v>5518935.8856927156</v>
      </c>
      <c r="I186" s="11">
        <f t="shared" ca="1" si="109"/>
        <v>4246166.6663209228</v>
      </c>
      <c r="J186" s="11">
        <f t="shared" ca="1" si="110"/>
        <v>3024441.6198600656</v>
      </c>
      <c r="K186" s="104">
        <f t="shared" ref="K186:K194" ca="1" si="134">K209-J209</f>
        <v>2773257.294840008</v>
      </c>
      <c r="L186" s="104">
        <f t="shared" ca="1" si="133"/>
        <v>1273643.1715474725</v>
      </c>
      <c r="M186" s="104">
        <f t="shared" ca="1" si="132"/>
        <v>1719457.4263886213</v>
      </c>
      <c r="N186" s="104">
        <f t="shared" ca="1" si="131"/>
        <v>1286803.6944558322</v>
      </c>
      <c r="O186" s="104">
        <f t="shared" ca="1" si="129"/>
        <v>875114.87687334418</v>
      </c>
      <c r="P186" s="104">
        <f t="shared" ca="1" si="128"/>
        <v>641543.27306100726</v>
      </c>
      <c r="Q186" s="104">
        <f t="shared" ca="1" si="121"/>
        <v>695431.64894914627</v>
      </c>
      <c r="R186" s="104">
        <f t="shared" ca="1" si="120"/>
        <v>1192610.7136986256</v>
      </c>
      <c r="S186" s="104">
        <f t="shared" ca="1" si="119"/>
        <v>286770.23599454761</v>
      </c>
      <c r="T186" s="104">
        <f t="shared" ca="1" si="118"/>
        <v>737909.99863624573</v>
      </c>
      <c r="U186" s="104">
        <f t="shared" ca="1" si="117"/>
        <v>1115149.1574006081</v>
      </c>
      <c r="V186" s="7"/>
      <c r="W186" s="7"/>
      <c r="X186" s="7"/>
      <c r="Y186" s="7"/>
      <c r="Z186" s="7"/>
      <c r="AA186" s="7"/>
      <c r="AB186" s="40">
        <f t="shared" si="130"/>
        <v>84</v>
      </c>
      <c r="AC186" s="27">
        <f ca="1">H242</f>
        <v>1.0184875395800124</v>
      </c>
      <c r="AD186" s="32">
        <f t="shared" si="122"/>
        <v>4.4308167988433134</v>
      </c>
      <c r="AE186" s="32">
        <f t="shared" ca="1" si="123"/>
        <v>-3.9906583100408239</v>
      </c>
      <c r="AF186" s="32">
        <f t="shared" ca="1" si="124"/>
        <v>1.388536104674484</v>
      </c>
      <c r="AG186" s="32">
        <f t="shared" ca="1" si="125"/>
        <v>1.0159754097178959</v>
      </c>
      <c r="AH186" s="32">
        <f t="shared" ca="1" si="126"/>
        <v>1.0278018946857395</v>
      </c>
      <c r="AI186" s="32">
        <f t="shared" ca="1" si="127"/>
        <v>1.0206034176559173</v>
      </c>
      <c r="AJ186" s="33"/>
    </row>
    <row r="187" spans="1:36" x14ac:dyDescent="0.25">
      <c r="A187" s="17">
        <f t="shared" si="101"/>
        <v>2008</v>
      </c>
      <c r="B187" s="55">
        <f t="shared" ca="1" si="102"/>
        <v>86974887.106635809</v>
      </c>
      <c r="C187" s="11">
        <f t="shared" ca="1" si="103"/>
        <v>53879636.783302054</v>
      </c>
      <c r="D187" s="11">
        <f t="shared" ca="1" si="104"/>
        <v>26180105.158716988</v>
      </c>
      <c r="E187" s="11">
        <f t="shared" ca="1" si="105"/>
        <v>15343997.261582183</v>
      </c>
      <c r="F187" s="11">
        <f t="shared" ca="1" si="106"/>
        <v>10673218.801852804</v>
      </c>
      <c r="G187" s="11">
        <f t="shared" ca="1" si="107"/>
        <v>7745131.6348255631</v>
      </c>
      <c r="H187" s="11">
        <f t="shared" ca="1" si="108"/>
        <v>4886167.0932726758</v>
      </c>
      <c r="I187" s="11">
        <f t="shared" ca="1" si="109"/>
        <v>3849318.8429935444</v>
      </c>
      <c r="J187" s="104">
        <f t="shared" ref="J187:J194" ca="1" si="135">J210-I210</f>
        <v>2651826.2519313991</v>
      </c>
      <c r="K187" s="104">
        <f t="shared" ca="1" si="134"/>
        <v>2481796.4002265334</v>
      </c>
      <c r="L187" s="104">
        <f t="shared" ca="1" si="133"/>
        <v>1139787.1536120772</v>
      </c>
      <c r="M187" s="104">
        <f t="shared" ca="1" si="132"/>
        <v>1538747.6881766319</v>
      </c>
      <c r="N187" s="104">
        <f t="shared" ca="1" si="131"/>
        <v>1151564.5456484556</v>
      </c>
      <c r="O187" s="104">
        <f t="shared" ca="1" si="129"/>
        <v>783142.96882945299</v>
      </c>
      <c r="P187" s="104">
        <f t="shared" ca="1" si="128"/>
        <v>574119.02914121747</v>
      </c>
      <c r="Q187" s="104">
        <f t="shared" ca="1" si="121"/>
        <v>622343.90086230636</v>
      </c>
      <c r="R187" s="104">
        <f t="shared" ca="1" si="120"/>
        <v>1067270.9602661133</v>
      </c>
      <c r="S187" s="104">
        <f t="shared" ca="1" si="119"/>
        <v>256631.5576660037</v>
      </c>
      <c r="T187" s="104">
        <f t="shared" ca="1" si="118"/>
        <v>660357.90538224578</v>
      </c>
      <c r="U187" s="104">
        <f t="shared" ca="1" si="117"/>
        <v>997950.37759456038</v>
      </c>
      <c r="V187" s="7"/>
      <c r="W187" s="7"/>
      <c r="X187" s="7"/>
      <c r="Y187" s="7"/>
      <c r="Z187" s="7"/>
      <c r="AA187" s="7"/>
      <c r="AB187" s="40">
        <f>+AB186+12</f>
        <v>96</v>
      </c>
      <c r="AC187" s="27">
        <f ca="1">I242</f>
        <v>1.0126559207961061</v>
      </c>
      <c r="AD187" s="32">
        <f t="shared" si="122"/>
        <v>4.5643481914678361</v>
      </c>
      <c r="AE187" s="32">
        <f t="shared" ca="1" si="123"/>
        <v>-4.3696301261854833</v>
      </c>
      <c r="AF187" s="32">
        <f t="shared" ca="1" si="124"/>
        <v>1.4775523943691451</v>
      </c>
      <c r="AG187" s="32">
        <f t="shared" ca="1" si="125"/>
        <v>1.0122555844252212</v>
      </c>
      <c r="AH187" s="32">
        <f t="shared" ca="1" si="126"/>
        <v>1.0212842315150805</v>
      </c>
      <c r="AI187" s="32">
        <f t="shared" ca="1" si="127"/>
        <v>1.0144846385103232</v>
      </c>
      <c r="AJ187" s="33"/>
    </row>
    <row r="188" spans="1:36" x14ac:dyDescent="0.25">
      <c r="A188" s="17">
        <f t="shared" si="101"/>
        <v>2009</v>
      </c>
      <c r="B188" s="55">
        <f t="shared" ca="1" si="102"/>
        <v>76731661.598099142</v>
      </c>
      <c r="C188" s="11">
        <f t="shared" ca="1" si="103"/>
        <v>46785585.946075454</v>
      </c>
      <c r="D188" s="11">
        <f t="shared" ca="1" si="104"/>
        <v>23858513.583643619</v>
      </c>
      <c r="E188" s="11">
        <f t="shared" ca="1" si="105"/>
        <v>13567034.565537822</v>
      </c>
      <c r="F188" s="11">
        <f t="shared" ca="1" si="106"/>
        <v>9351672.3937951941</v>
      </c>
      <c r="G188" s="11">
        <f t="shared" ca="1" si="107"/>
        <v>7049050.5436052186</v>
      </c>
      <c r="H188" s="11">
        <f t="shared" ca="1" si="108"/>
        <v>4406370.0951757766</v>
      </c>
      <c r="I188" s="104">
        <f t="shared" ref="I188:I194" ca="1" si="136">I211-H211</f>
        <v>3360108.2614835203</v>
      </c>
      <c r="J188" s="104">
        <f t="shared" ca="1" si="135"/>
        <v>2342737.4604401886</v>
      </c>
      <c r="K188" s="104">
        <f t="shared" ca="1" si="134"/>
        <v>2192525.7704050541</v>
      </c>
      <c r="L188" s="104">
        <f t="shared" ca="1" si="133"/>
        <v>1006937.0343365073</v>
      </c>
      <c r="M188" s="104">
        <f t="shared" ca="1" si="132"/>
        <v>1359395.9440712035</v>
      </c>
      <c r="N188" s="104">
        <f t="shared" ca="1" si="131"/>
        <v>1017341.6894264817</v>
      </c>
      <c r="O188" s="104">
        <f t="shared" ca="1" si="129"/>
        <v>691862.2095323205</v>
      </c>
      <c r="P188" s="104">
        <f t="shared" ca="1" si="128"/>
        <v>507201.46364834905</v>
      </c>
      <c r="Q188" s="104">
        <f t="shared" ca="1" si="121"/>
        <v>549805.39119586349</v>
      </c>
      <c r="R188" s="104">
        <f t="shared" ca="1" si="120"/>
        <v>942873.10763075948</v>
      </c>
      <c r="S188" s="104">
        <f t="shared" ca="1" si="119"/>
        <v>226719.3649045825</v>
      </c>
      <c r="T188" s="104">
        <f t="shared" ca="1" si="118"/>
        <v>583388.59912487864</v>
      </c>
      <c r="U188" s="104">
        <f t="shared" ca="1" si="117"/>
        <v>881632.32095181942</v>
      </c>
      <c r="V188" s="7"/>
      <c r="W188" s="7"/>
      <c r="X188" s="7"/>
      <c r="Y188" s="7"/>
      <c r="Z188" s="7"/>
      <c r="AA188" s="7"/>
      <c r="AB188" s="40">
        <f t="shared" si="130"/>
        <v>108</v>
      </c>
      <c r="AC188" s="27">
        <f ca="1">J242</f>
        <v>1.0116964192432998</v>
      </c>
      <c r="AD188" s="32">
        <f t="shared" si="122"/>
        <v>4.6821312271242199</v>
      </c>
      <c r="AE188" s="32">
        <f t="shared" ca="1" si="123"/>
        <v>-4.4484725316017606</v>
      </c>
      <c r="AF188" s="32">
        <f t="shared" ca="1" si="124"/>
        <v>1.4951714286628104</v>
      </c>
      <c r="AG188" s="32">
        <f t="shared" ca="1" si="125"/>
        <v>1.0097004698929766</v>
      </c>
      <c r="AH188" s="32">
        <f t="shared" ca="1" si="126"/>
        <v>1.0162945193594994</v>
      </c>
      <c r="AI188" s="32">
        <f t="shared" ca="1" si="127"/>
        <v>1.0103613433880299</v>
      </c>
      <c r="AJ188" s="33"/>
    </row>
    <row r="189" spans="1:36" x14ac:dyDescent="0.25">
      <c r="A189" s="17">
        <f t="shared" si="101"/>
        <v>2010</v>
      </c>
      <c r="B189" s="55">
        <f t="shared" ca="1" si="102"/>
        <v>70611993.979695365</v>
      </c>
      <c r="C189" s="11">
        <f t="shared" ca="1" si="103"/>
        <v>42860984.086525574</v>
      </c>
      <c r="D189" s="11">
        <f t="shared" ca="1" si="104"/>
        <v>21401572.37842305</v>
      </c>
      <c r="E189" s="11">
        <f t="shared" ca="1" si="105"/>
        <v>11998264.278404867</v>
      </c>
      <c r="F189" s="11">
        <f t="shared" ca="1" si="106"/>
        <v>8386335.0279946811</v>
      </c>
      <c r="G189" s="11">
        <f t="shared" ca="1" si="107"/>
        <v>6213146.065505892</v>
      </c>
      <c r="H189" s="104">
        <f t="shared" ref="H189:H194" ca="1" si="137">H212-G212</f>
        <v>4132011.5147724748</v>
      </c>
      <c r="I189" s="104">
        <f t="shared" ca="1" si="136"/>
        <v>3061616.1864083409</v>
      </c>
      <c r="J189" s="104">
        <f t="shared" ca="1" si="135"/>
        <v>2134622.569042474</v>
      </c>
      <c r="K189" s="104">
        <f t="shared" ca="1" si="134"/>
        <v>1997754.7940154374</v>
      </c>
      <c r="L189" s="104">
        <f t="shared" ca="1" si="133"/>
        <v>917486.72456690669</v>
      </c>
      <c r="M189" s="104">
        <f t="shared" ca="1" si="132"/>
        <v>1238635.276670754</v>
      </c>
      <c r="N189" s="104">
        <f t="shared" ca="1" si="131"/>
        <v>926967.09185224771</v>
      </c>
      <c r="O189" s="104">
        <f t="shared" ca="1" si="129"/>
        <v>630401.27716991305</v>
      </c>
      <c r="P189" s="104">
        <f t="shared" ca="1" si="128"/>
        <v>462144.69595399499</v>
      </c>
      <c r="Q189" s="104">
        <f t="shared" ca="1" si="121"/>
        <v>500963.94344049692</v>
      </c>
      <c r="R189" s="104">
        <f t="shared" ca="1" si="120"/>
        <v>859113.85687822104</v>
      </c>
      <c r="S189" s="104">
        <f t="shared" ca="1" si="119"/>
        <v>206578.96214857697</v>
      </c>
      <c r="T189" s="104">
        <f t="shared" ca="1" si="118"/>
        <v>531563.81849977374</v>
      </c>
      <c r="U189" s="104">
        <f t="shared" ca="1" si="117"/>
        <v>803313.33821222186</v>
      </c>
      <c r="V189" s="7"/>
      <c r="W189" s="7"/>
      <c r="X189" s="7"/>
      <c r="Y189" s="7"/>
      <c r="Z189" s="7"/>
      <c r="AB189" s="40">
        <f t="shared" si="130"/>
        <v>120</v>
      </c>
      <c r="AC189" s="27">
        <f ca="1">K242</f>
        <v>1.0053095818644644</v>
      </c>
      <c r="AD189" s="32">
        <f t="shared" si="122"/>
        <v>4.7874917427820458</v>
      </c>
      <c r="AE189" s="32">
        <f t="shared" ca="1" si="123"/>
        <v>-5.2382421917507926</v>
      </c>
      <c r="AF189" s="32">
        <f t="shared" ca="1" si="124"/>
        <v>1.6569964093618748</v>
      </c>
      <c r="AG189" s="32">
        <f t="shared" ca="1" si="125"/>
        <v>1.0078697516130029</v>
      </c>
      <c r="AH189" s="32">
        <f t="shared" ca="1" si="126"/>
        <v>1.0124745570902562</v>
      </c>
      <c r="AI189" s="32">
        <f t="shared" ca="1" si="127"/>
        <v>1.0075191458644706</v>
      </c>
      <c r="AJ189" s="33"/>
    </row>
    <row r="190" spans="1:36" x14ac:dyDescent="0.25">
      <c r="A190" s="17">
        <f t="shared" si="101"/>
        <v>2011</v>
      </c>
      <c r="B190" s="55">
        <f t="shared" ca="1" si="102"/>
        <v>69827180.950153783</v>
      </c>
      <c r="C190" s="11">
        <f t="shared" ca="1" si="103"/>
        <v>41340874.530833028</v>
      </c>
      <c r="D190" s="11">
        <f t="shared" ca="1" si="104"/>
        <v>20116455.801367618</v>
      </c>
      <c r="E190" s="11">
        <f t="shared" ca="1" si="105"/>
        <v>11278914.729803931</v>
      </c>
      <c r="F190" s="11">
        <f t="shared" ca="1" si="106"/>
        <v>8225011.191109281</v>
      </c>
      <c r="G190" s="104">
        <f ca="1">G213-F213</f>
        <v>6063560.445402205</v>
      </c>
      <c r="H190" s="104">
        <f t="shared" ca="1" si="137"/>
        <v>4013779.9312378466</v>
      </c>
      <c r="I190" s="104">
        <f t="shared" ca="1" si="136"/>
        <v>2974012.4300779998</v>
      </c>
      <c r="J190" s="104">
        <f t="shared" ca="1" si="135"/>
        <v>2073543.4056170285</v>
      </c>
      <c r="K190" s="104">
        <f t="shared" ca="1" si="134"/>
        <v>1940591.9056822658</v>
      </c>
      <c r="L190" s="104">
        <f t="shared" ca="1" si="133"/>
        <v>891234.15776506066</v>
      </c>
      <c r="M190" s="104">
        <f t="shared" ca="1" si="132"/>
        <v>1203193.5046284795</v>
      </c>
      <c r="N190" s="104">
        <f t="shared" ca="1" si="131"/>
        <v>900443.25793689489</v>
      </c>
      <c r="O190" s="104">
        <f t="shared" ca="1" si="129"/>
        <v>612363.2487192452</v>
      </c>
      <c r="P190" s="104">
        <f t="shared" ca="1" si="128"/>
        <v>448921.08826813102</v>
      </c>
      <c r="Q190" s="104">
        <f t="shared" ca="1" si="121"/>
        <v>486629.57866078615</v>
      </c>
      <c r="R190" s="104">
        <f t="shared" ca="1" si="120"/>
        <v>834531.54596930742</v>
      </c>
      <c r="S190" s="104">
        <f t="shared" ca="1" si="119"/>
        <v>200668.00141373277</v>
      </c>
      <c r="T190" s="104">
        <f t="shared" ca="1" si="118"/>
        <v>516353.88218030334</v>
      </c>
      <c r="U190" s="104">
        <f t="shared" ca="1" si="117"/>
        <v>780327.67911815643</v>
      </c>
      <c r="V190" s="7"/>
      <c r="W190" s="7"/>
      <c r="X190" s="7"/>
      <c r="Y190" s="7"/>
      <c r="Z190" s="7"/>
      <c r="AB190" s="40">
        <f t="shared" si="130"/>
        <v>132</v>
      </c>
      <c r="AC190" s="27">
        <f ca="1">L242</f>
        <v>1.0071302401108451</v>
      </c>
      <c r="AD190" s="32">
        <f t="shared" si="122"/>
        <v>4.8828019225863706</v>
      </c>
      <c r="AE190" s="32">
        <f t="shared" ca="1" si="123"/>
        <v>-4.9434103689876077</v>
      </c>
      <c r="AF190" s="32">
        <f t="shared" ca="1" si="124"/>
        <v>1.5994916740165122</v>
      </c>
      <c r="AG190" s="32">
        <f t="shared" ca="1" si="125"/>
        <v>1.0065131895221131</v>
      </c>
      <c r="AH190" s="32">
        <f t="shared" ca="1" si="126"/>
        <v>1.0095501175066781</v>
      </c>
      <c r="AI190" s="32">
        <f t="shared" ca="1" si="127"/>
        <v>1.0055235261586468</v>
      </c>
      <c r="AJ190" s="33"/>
    </row>
    <row r="191" spans="1:36" x14ac:dyDescent="0.25">
      <c r="A191" s="17">
        <f t="shared" si="101"/>
        <v>2012</v>
      </c>
      <c r="B191" s="55">
        <f t="shared" ca="1" si="102"/>
        <v>71408874.094043732</v>
      </c>
      <c r="C191" s="11">
        <f t="shared" ca="1" si="103"/>
        <v>43781094.521506809</v>
      </c>
      <c r="D191" s="11">
        <f t="shared" ca="1" si="104"/>
        <v>21809729.69151232</v>
      </c>
      <c r="E191" s="11">
        <f t="shared" ca="1" si="105"/>
        <v>11981061.4484051</v>
      </c>
      <c r="F191" s="104">
        <f ca="1">F214-E214</f>
        <v>8507472.3343603313</v>
      </c>
      <c r="G191" s="104">
        <f ca="1">G214-F214</f>
        <v>6332975.0770539343</v>
      </c>
      <c r="H191" s="104">
        <f t="shared" ca="1" si="137"/>
        <v>4192119.2174447775</v>
      </c>
      <c r="I191" s="104">
        <f t="shared" ca="1" si="136"/>
        <v>3106153.0214997828</v>
      </c>
      <c r="J191" s="104">
        <f t="shared" ca="1" si="135"/>
        <v>2165674.5780310631</v>
      </c>
      <c r="K191" s="104">
        <f t="shared" ca="1" si="134"/>
        <v>2026815.8096349537</v>
      </c>
      <c r="L191" s="104">
        <f t="shared" ca="1" si="133"/>
        <v>930833.25543907285</v>
      </c>
      <c r="M191" s="104">
        <f t="shared" ca="1" si="132"/>
        <v>1256653.5035472512</v>
      </c>
      <c r="N191" s="104">
        <f t="shared" ca="1" si="131"/>
        <v>940451.53209277987</v>
      </c>
      <c r="O191" s="104">
        <f t="shared" ca="1" si="129"/>
        <v>639571.62250822783</v>
      </c>
      <c r="P191" s="104">
        <f t="shared" ca="1" si="128"/>
        <v>468867.44004040956</v>
      </c>
      <c r="Q191" s="104">
        <f t="shared" ca="1" si="121"/>
        <v>508251.38483658433</v>
      </c>
      <c r="R191" s="104">
        <f t="shared" ca="1" si="120"/>
        <v>871611.24709269404</v>
      </c>
      <c r="S191" s="104">
        <f t="shared" ca="1" si="119"/>
        <v>209584.03287279606</v>
      </c>
      <c r="T191" s="104">
        <f t="shared" ca="1" si="118"/>
        <v>539296.39132526517</v>
      </c>
      <c r="U191" s="104">
        <f t="shared" ca="1" si="117"/>
        <v>814999.00731390715</v>
      </c>
      <c r="V191" s="7"/>
      <c r="W191" s="7"/>
      <c r="X191" s="7"/>
      <c r="Y191" s="7"/>
      <c r="Z191" s="7"/>
      <c r="AB191" s="40">
        <f t="shared" si="130"/>
        <v>144</v>
      </c>
      <c r="AC191" s="27">
        <f ca="1">M242</f>
        <v>1.0052983347124487</v>
      </c>
      <c r="AD191" s="32">
        <f t="shared" si="122"/>
        <v>4.9698132995760007</v>
      </c>
      <c r="AE191" s="32">
        <f t="shared" ca="1" si="123"/>
        <v>-5.2403627129952204</v>
      </c>
      <c r="AF191" s="32">
        <f t="shared" ca="1" si="124"/>
        <v>1.6573986014298172</v>
      </c>
      <c r="AG191" s="32">
        <f t="shared" ca="1" si="125"/>
        <v>1.0054800035381335</v>
      </c>
      <c r="AH191" s="32">
        <f t="shared" ca="1" si="126"/>
        <v>1.0073112611318762</v>
      </c>
      <c r="AI191" s="32">
        <f t="shared" ca="1" si="127"/>
        <v>1.004100533603786</v>
      </c>
      <c r="AJ191" s="33"/>
    </row>
    <row r="192" spans="1:36" x14ac:dyDescent="0.25">
      <c r="A192" s="17">
        <f t="shared" si="101"/>
        <v>2013</v>
      </c>
      <c r="B192" s="55">
        <f t="shared" ca="1" si="102"/>
        <v>68346020.918078348</v>
      </c>
      <c r="C192" s="11">
        <f t="shared" ca="1" si="103"/>
        <v>42120132.545689687</v>
      </c>
      <c r="D192" s="11">
        <f t="shared" ca="1" si="104"/>
        <v>21517050.272054646</v>
      </c>
      <c r="E192" s="104">
        <f ca="1">E215-D215</f>
        <v>11888392.770611167</v>
      </c>
      <c r="F192" s="104">
        <f ca="1">F215-E215</f>
        <v>8215716.1031246185</v>
      </c>
      <c r="G192" s="104">
        <f ca="1">G215-F215</f>
        <v>6115791.303969115</v>
      </c>
      <c r="H192" s="104">
        <f t="shared" ca="1" si="137"/>
        <v>4048354.2005627751</v>
      </c>
      <c r="I192" s="104">
        <f t="shared" ca="1" si="136"/>
        <v>2999630.2537989616</v>
      </c>
      <c r="J192" s="104">
        <f t="shared" ca="1" si="135"/>
        <v>2091404.6858543456</v>
      </c>
      <c r="K192" s="104">
        <f t="shared" ca="1" si="134"/>
        <v>1957307.9559755623</v>
      </c>
      <c r="L192" s="104">
        <f t="shared" ca="1" si="133"/>
        <v>898911.15309864283</v>
      </c>
      <c r="M192" s="104">
        <f t="shared" ca="1" si="132"/>
        <v>1213557.6842775047</v>
      </c>
      <c r="N192" s="104">
        <f t="shared" ca="1" si="131"/>
        <v>908199.57947048545</v>
      </c>
      <c r="O192" s="104">
        <f t="shared" ca="1" si="129"/>
        <v>617638.07998767495</v>
      </c>
      <c r="P192" s="104">
        <f t="shared" ca="1" si="128"/>
        <v>452788.04631698132</v>
      </c>
      <c r="Q192" s="104">
        <f t="shared" ca="1" si="121"/>
        <v>490821.35359671712</v>
      </c>
      <c r="R192" s="104">
        <f t="shared" ca="1" si="120"/>
        <v>841720.11109367013</v>
      </c>
      <c r="S192" s="104">
        <f t="shared" ca="1" si="119"/>
        <v>202396.53403002024</v>
      </c>
      <c r="T192" s="104">
        <f t="shared" ca="1" si="118"/>
        <v>520801.69907495379</v>
      </c>
      <c r="U192" s="104">
        <f t="shared" ca="1" si="117"/>
        <v>787049.33795389533</v>
      </c>
      <c r="V192" s="7"/>
      <c r="W192" s="7"/>
      <c r="X192" s="7"/>
      <c r="Y192" s="7"/>
      <c r="Z192" s="7"/>
      <c r="AB192" s="40">
        <f t="shared" si="130"/>
        <v>156</v>
      </c>
      <c r="AC192" s="27">
        <f ca="1">N242</f>
        <v>1.0035842409322757</v>
      </c>
      <c r="AD192" s="32">
        <f t="shared" si="122"/>
        <v>5.0498560072495371</v>
      </c>
      <c r="AE192" s="32">
        <f t="shared" ca="1" si="123"/>
        <v>-5.6312085617216248</v>
      </c>
      <c r="AF192" s="32">
        <f t="shared" ca="1" si="124"/>
        <v>1.7289592398646274</v>
      </c>
      <c r="AG192" s="32">
        <f t="shared" ca="1" si="125"/>
        <v>1.004674936127133</v>
      </c>
      <c r="AH192" s="32">
        <f t="shared" ca="1" si="126"/>
        <v>1.0055972650913567</v>
      </c>
      <c r="AI192" s="32">
        <f t="shared" ca="1" si="127"/>
        <v>1.0030724073096255</v>
      </c>
      <c r="AJ192" s="33"/>
    </row>
    <row r="193" spans="1:36" x14ac:dyDescent="0.25">
      <c r="A193" s="17">
        <f t="shared" si="101"/>
        <v>2014</v>
      </c>
      <c r="B193" s="55">
        <f t="shared" ca="1" si="102"/>
        <v>71554744.200233221</v>
      </c>
      <c r="C193" s="11">
        <f t="shared" ca="1" si="103"/>
        <v>42493311.980951771</v>
      </c>
      <c r="D193" s="104">
        <f ca="1">D216-C216</f>
        <v>21385597.275364086</v>
      </c>
      <c r="E193" s="104">
        <f ca="1">E216-D216</f>
        <v>12199192.178067178</v>
      </c>
      <c r="F193" s="104">
        <f ca="1">F216-E216</f>
        <v>8430500.3675704002</v>
      </c>
      <c r="G193" s="104">
        <f ca="1">G216-F216</f>
        <v>6275677.0303304791</v>
      </c>
      <c r="H193" s="104">
        <f t="shared" ca="1" si="137"/>
        <v>4154190.7178266943</v>
      </c>
      <c r="I193" s="104">
        <f t="shared" ca="1" si="136"/>
        <v>3078049.8790129423</v>
      </c>
      <c r="J193" s="104">
        <f t="shared" ca="1" si="135"/>
        <v>2146080.4817887545</v>
      </c>
      <c r="K193" s="104">
        <f t="shared" ca="1" si="134"/>
        <v>2008478.0480699241</v>
      </c>
      <c r="L193" s="104">
        <f t="shared" ca="1" si="133"/>
        <v>922411.47472572327</v>
      </c>
      <c r="M193" s="104">
        <f t="shared" ca="1" si="132"/>
        <v>1245283.8407449722</v>
      </c>
      <c r="N193" s="104">
        <f t="shared" ca="1" si="131"/>
        <v>931942.72933083773</v>
      </c>
      <c r="O193" s="104">
        <f t="shared" ca="1" si="129"/>
        <v>633785.05233171582</v>
      </c>
      <c r="P193" s="104">
        <f t="shared" ca="1" si="128"/>
        <v>464625.32821151614</v>
      </c>
      <c r="Q193" s="104">
        <f t="shared" ca="1" si="121"/>
        <v>503652.94393932819</v>
      </c>
      <c r="R193" s="104">
        <f t="shared" ca="1" si="120"/>
        <v>863725.28175207973</v>
      </c>
      <c r="S193" s="104">
        <f t="shared" ca="1" si="119"/>
        <v>207687.80628705025</v>
      </c>
      <c r="T193" s="104">
        <f t="shared" ca="1" si="118"/>
        <v>534417.06850272417</v>
      </c>
      <c r="U193" s="104">
        <f t="shared" ca="1" si="117"/>
        <v>807625.24527749419</v>
      </c>
      <c r="V193" s="7"/>
      <c r="W193" s="7"/>
      <c r="X193" s="7"/>
      <c r="Y193" s="7"/>
      <c r="Z193" s="7"/>
      <c r="AB193" s="40">
        <f t="shared" si="130"/>
        <v>168</v>
      </c>
      <c r="AC193" s="27">
        <f ca="1">O242</f>
        <v>1.0026182086345534</v>
      </c>
      <c r="AD193" s="32">
        <f t="shared" si="122"/>
        <v>5.1239639794032588</v>
      </c>
      <c r="AE193" s="32">
        <f t="shared" ca="1" si="123"/>
        <v>-5.9452649223269063</v>
      </c>
      <c r="AF193" s="32">
        <f t="shared" ca="1" si="124"/>
        <v>1.7830348046920184</v>
      </c>
      <c r="AG193" s="32">
        <f t="shared" ca="1" si="125"/>
        <v>1.0040354027429328</v>
      </c>
      <c r="AH193" s="32">
        <f t="shared" ca="1" si="126"/>
        <v>1.0042850851498557</v>
      </c>
      <c r="AI193" s="32">
        <f t="shared" ca="1" si="127"/>
        <v>1.0023210401351521</v>
      </c>
      <c r="AJ193" s="33"/>
    </row>
    <row r="194" spans="1:36" x14ac:dyDescent="0.25">
      <c r="A194" s="17">
        <f t="shared" si="101"/>
        <v>2015</v>
      </c>
      <c r="B194" s="55">
        <f ca="1">B75+B172*SQRT(B75)</f>
        <v>59114272.044703916</v>
      </c>
      <c r="C194" s="104">
        <f ca="1">C217-B217</f>
        <v>36405675.201095536</v>
      </c>
      <c r="D194" s="104">
        <f ca="1">D217-C217</f>
        <v>17911319.069896519</v>
      </c>
      <c r="E194" s="104">
        <f ca="1">E217-D217</f>
        <v>10217326.207113251</v>
      </c>
      <c r="F194" s="104">
        <f ca="1">F217-E217</f>
        <v>7060891.4989895821</v>
      </c>
      <c r="G194" s="104">
        <f ca="1">G217-F217</f>
        <v>5256138.148610875</v>
      </c>
      <c r="H194" s="104">
        <f t="shared" ca="1" si="137"/>
        <v>3479305.9303474426</v>
      </c>
      <c r="I194" s="104">
        <f t="shared" ca="1" si="136"/>
        <v>2577993.6274947226</v>
      </c>
      <c r="J194" s="104">
        <f t="shared" ca="1" si="135"/>
        <v>1797430.8486243188</v>
      </c>
      <c r="K194" s="104">
        <f t="shared" ca="1" si="134"/>
        <v>1682183.1394583285</v>
      </c>
      <c r="L194" s="104">
        <f t="shared" ca="1" si="133"/>
        <v>772557.62487304211</v>
      </c>
      <c r="M194" s="104">
        <f t="shared" ca="1" si="132"/>
        <v>1042976.5377590954</v>
      </c>
      <c r="N194" s="104">
        <f t="shared" ca="1" si="131"/>
        <v>780540.4434106648</v>
      </c>
      <c r="O194" s="104">
        <f t="shared" ca="1" si="129"/>
        <v>530821.10113060474</v>
      </c>
      <c r="P194" s="104">
        <f t="shared" ca="1" si="128"/>
        <v>389142.86070179939</v>
      </c>
      <c r="Q194" s="104">
        <f t="shared" ca="1" si="121"/>
        <v>421830.09729555249</v>
      </c>
      <c r="R194" s="104">
        <f t="shared" ca="1" si="120"/>
        <v>723405.51965877414</v>
      </c>
      <c r="S194" s="104">
        <f t="shared" ca="1" si="119"/>
        <v>173947.09707826376</v>
      </c>
      <c r="T194" s="104">
        <f t="shared" ca="1" si="118"/>
        <v>447596.31948077679</v>
      </c>
      <c r="U194" s="104">
        <f t="shared" ca="1" si="117"/>
        <v>676419.42709419131</v>
      </c>
      <c r="V194" s="7"/>
      <c r="W194" s="7"/>
      <c r="X194" s="7"/>
      <c r="Y194" s="7"/>
      <c r="Z194" s="7"/>
      <c r="AB194" s="40">
        <f t="shared" si="130"/>
        <v>180</v>
      </c>
      <c r="AC194" s="27">
        <f ca="1">P242</f>
        <v>1.0028307216017986</v>
      </c>
      <c r="AD194" s="32">
        <f t="shared" si="122"/>
        <v>5.1929568508902104</v>
      </c>
      <c r="AE194" s="32">
        <f t="shared" ca="1" si="123"/>
        <v>-5.867223616861903</v>
      </c>
      <c r="AF194" s="32">
        <f t="shared" ca="1" si="124"/>
        <v>1.7698632095300009</v>
      </c>
      <c r="AG194" s="32">
        <f t="shared" ca="1" si="125"/>
        <v>1.0035189073965936</v>
      </c>
      <c r="AH194" s="32">
        <f t="shared" ca="1" si="126"/>
        <v>1.0032805226198538</v>
      </c>
      <c r="AI194" s="32">
        <f t="shared" ca="1" si="127"/>
        <v>1.001766386409535</v>
      </c>
      <c r="AJ194" s="33"/>
    </row>
    <row r="195" spans="1:36" x14ac:dyDescent="0.25">
      <c r="A195" s="17"/>
      <c r="B195" s="55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B195" s="40">
        <f t="shared" si="130"/>
        <v>192</v>
      </c>
      <c r="AC195" s="27">
        <f ca="1">Q242</f>
        <v>1.0048407625946461</v>
      </c>
      <c r="AD195" s="32">
        <f t="shared" ref="AD195:AD203" si="138">LN(AB195)</f>
        <v>5.2574953720277815</v>
      </c>
      <c r="AE195" s="32">
        <f t="shared" ca="1" si="123"/>
        <v>-5.330683009787724</v>
      </c>
      <c r="AF195" s="32"/>
      <c r="AG195" s="32">
        <f t="shared" ca="1" si="125"/>
        <v>1.0030957715563551</v>
      </c>
      <c r="AH195" s="32">
        <f t="shared" ca="1" si="126"/>
        <v>1.0025114620323787</v>
      </c>
      <c r="AI195" s="32">
        <f t="shared" ca="1" si="127"/>
        <v>1.0013532690414277</v>
      </c>
      <c r="AJ195" s="33"/>
    </row>
    <row r="196" spans="1:36" x14ac:dyDescent="0.25">
      <c r="A196" s="57" t="s">
        <v>121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19"/>
      <c r="M196" s="19"/>
      <c r="N196" s="19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B196" s="40">
        <f t="shared" si="130"/>
        <v>204</v>
      </c>
      <c r="AC196" s="27">
        <f ca="1">R242</f>
        <v>1.0011583822839387</v>
      </c>
      <c r="AD196" s="32">
        <f t="shared" si="138"/>
        <v>5.3181199938442161</v>
      </c>
      <c r="AE196" s="32">
        <f t="shared" ca="1" si="123"/>
        <v>-6.7607308300109583</v>
      </c>
      <c r="AF196" s="32"/>
      <c r="AG196" s="32">
        <f t="shared" ca="1" si="125"/>
        <v>1.0027447586499456</v>
      </c>
      <c r="AH196" s="32">
        <f t="shared" ca="1" si="126"/>
        <v>1.0019226941164519</v>
      </c>
      <c r="AI196" s="32">
        <f t="shared" ca="1" si="127"/>
        <v>1.0010430910216588</v>
      </c>
      <c r="AJ196" s="33"/>
    </row>
    <row r="197" spans="1:36" x14ac:dyDescent="0.25">
      <c r="A197" s="15" t="s">
        <v>72</v>
      </c>
      <c r="B197" s="20">
        <f t="shared" ref="B197:T197" si="139">B8</f>
        <v>12</v>
      </c>
      <c r="C197" s="20">
        <f t="shared" si="139"/>
        <v>24</v>
      </c>
      <c r="D197" s="20">
        <f t="shared" si="139"/>
        <v>36</v>
      </c>
      <c r="E197" s="20">
        <f t="shared" si="139"/>
        <v>48</v>
      </c>
      <c r="F197" s="20">
        <f t="shared" si="139"/>
        <v>60</v>
      </c>
      <c r="G197" s="20">
        <f t="shared" si="139"/>
        <v>72</v>
      </c>
      <c r="H197" s="20">
        <f t="shared" si="139"/>
        <v>84</v>
      </c>
      <c r="I197" s="20">
        <f t="shared" si="139"/>
        <v>96</v>
      </c>
      <c r="J197" s="20">
        <f t="shared" si="139"/>
        <v>108</v>
      </c>
      <c r="K197" s="20">
        <f t="shared" si="139"/>
        <v>120</v>
      </c>
      <c r="L197" s="20">
        <f t="shared" si="139"/>
        <v>132</v>
      </c>
      <c r="M197" s="20">
        <f t="shared" si="139"/>
        <v>144</v>
      </c>
      <c r="N197" s="20">
        <f t="shared" si="139"/>
        <v>156</v>
      </c>
      <c r="O197" s="20">
        <f t="shared" si="139"/>
        <v>168</v>
      </c>
      <c r="P197" s="20">
        <f t="shared" si="139"/>
        <v>180</v>
      </c>
      <c r="Q197" s="20">
        <f t="shared" si="139"/>
        <v>192</v>
      </c>
      <c r="R197" s="20">
        <f t="shared" si="139"/>
        <v>204</v>
      </c>
      <c r="S197" s="20">
        <f t="shared" si="139"/>
        <v>216</v>
      </c>
      <c r="T197" s="20">
        <f t="shared" si="139"/>
        <v>228</v>
      </c>
      <c r="U197" s="20">
        <f>U8</f>
        <v>240</v>
      </c>
      <c r="X197" s="7" t="s">
        <v>99</v>
      </c>
      <c r="Y197" t="s">
        <v>101</v>
      </c>
      <c r="AB197" s="40">
        <f t="shared" si="130"/>
        <v>216</v>
      </c>
      <c r="AC197" s="27">
        <f ca="1">S242</f>
        <v>1.0029772715013037</v>
      </c>
      <c r="AD197" s="32">
        <f t="shared" si="138"/>
        <v>5.3752784076841653</v>
      </c>
      <c r="AE197" s="32">
        <f t="shared" ca="1" si="123"/>
        <v>-5.8167480014751982</v>
      </c>
      <c r="AF197" s="32"/>
      <c r="AG197" s="32">
        <f t="shared" ca="1" si="125"/>
        <v>1.0024503473466475</v>
      </c>
      <c r="AH197" s="32">
        <f t="shared" ca="1" si="126"/>
        <v>1.0014719524395665</v>
      </c>
      <c r="AI197" s="32">
        <f t="shared" ca="1" si="127"/>
        <v>1.0008085035628118</v>
      </c>
      <c r="AJ197" s="33"/>
    </row>
    <row r="198" spans="1:36" x14ac:dyDescent="0.25">
      <c r="A198" s="17">
        <f>A110</f>
        <v>1996</v>
      </c>
      <c r="B198" s="56">
        <f ca="1">SUM($B175:B175)</f>
        <v>336740530.31818837</v>
      </c>
      <c r="C198" s="58">
        <f ca="1">SUM($B175:C175)</f>
        <v>541210385.19043994</v>
      </c>
      <c r="D198" s="58">
        <f ca="1">SUM($B175:D175)</f>
        <v>640907135.53938186</v>
      </c>
      <c r="E198" s="58">
        <f ca="1">SUM($B175:E175)</f>
        <v>698324941.53845847</v>
      </c>
      <c r="F198" s="58">
        <f ca="1">SUM($B175:F175)</f>
        <v>737634572.23580039</v>
      </c>
      <c r="G198" s="58">
        <f ca="1">SUM($B175:G175)</f>
        <v>767754448.07022882</v>
      </c>
      <c r="H198" s="58">
        <f ca="1">SUM($B175:H175)</f>
        <v>787181770.70693648</v>
      </c>
      <c r="I198" s="58">
        <f ca="1">SUM($B175:I175)</f>
        <v>801997355.53888834</v>
      </c>
      <c r="J198" s="58">
        <f ca="1">SUM($B175:J175)</f>
        <v>811901242.64992201</v>
      </c>
      <c r="K198" s="58">
        <f ca="1">SUM($B175:K175)</f>
        <v>821182860.29333556</v>
      </c>
      <c r="L198" s="58">
        <f ca="1">SUM($B175:L175)</f>
        <v>825125270.48114955</v>
      </c>
      <c r="M198" s="58">
        <f ca="1">SUM($B175:M175)</f>
        <v>831728661.52648973</v>
      </c>
      <c r="N198" s="58">
        <f ca="1">SUM($B175:N175)</f>
        <v>836210917.36266589</v>
      </c>
      <c r="O198" s="58">
        <f ca="1">SUM($B175:O175)</f>
        <v>839292605.01269913</v>
      </c>
      <c r="P198" s="58">
        <f ca="1">SUM($B175:P175)</f>
        <v>841689013.69426119</v>
      </c>
      <c r="Q198" s="58">
        <f ca="1">SUM($B175:Q175)</f>
        <v>843967626.45441842</v>
      </c>
      <c r="R198" s="58">
        <f ca="1">SUM($B175:R175)</f>
        <v>847864186.97607601</v>
      </c>
      <c r="S198" s="58">
        <f ca="1">SUM($B175:S175)</f>
        <v>848913055.27955365</v>
      </c>
      <c r="T198" s="58">
        <f ca="1">SUM($B175:T175)</f>
        <v>851463966.89774883</v>
      </c>
      <c r="U198" s="11">
        <f ca="1">SUM($B175:U175)</f>
        <v>855283613.54119134</v>
      </c>
      <c r="X198" s="59">
        <f t="shared" ref="X198:X217" ca="1" si="140">U198*INDEX($AE$169:$AJ$169,INT(RAND()*COUNT($AE$169:$AJ$169))+1)</f>
        <v>975748913.42200625</v>
      </c>
      <c r="Y198" s="43">
        <f ca="1">X198-'Paid Bootstrap'!AS245</f>
        <v>162770376.04200625</v>
      </c>
      <c r="AB198" s="40">
        <f t="shared" si="130"/>
        <v>228</v>
      </c>
      <c r="AC198" s="27">
        <f ca="1">T242</f>
        <v>1.0044859756747653</v>
      </c>
      <c r="AD198" s="32">
        <f t="shared" si="138"/>
        <v>5.4293456289544411</v>
      </c>
      <c r="AE198" s="32">
        <f t="shared" ca="1" si="123"/>
        <v>-5.4067992653764696</v>
      </c>
      <c r="AF198" s="32"/>
      <c r="AG198" s="32">
        <f t="shared" ca="1" si="125"/>
        <v>1.0022009798735898</v>
      </c>
      <c r="AH198" s="32">
        <f t="shared" ca="1" si="126"/>
        <v>1.0011268791878054</v>
      </c>
      <c r="AI198" s="32">
        <f t="shared" ca="1" si="127"/>
        <v>1.0006299057250134</v>
      </c>
      <c r="AJ198" s="33">
        <f ca="1">MAX(+AC198,1)</f>
        <v>1.0044859756747653</v>
      </c>
    </row>
    <row r="199" spans="1:36" x14ac:dyDescent="0.25">
      <c r="A199" s="17">
        <f t="shared" ref="A199:A216" si="141">A111</f>
        <v>1997</v>
      </c>
      <c r="B199" s="56">
        <f ca="1">SUM($B176:B176)</f>
        <v>391290343.17231077</v>
      </c>
      <c r="C199" s="58">
        <f ca="1">SUM($B176:C176)</f>
        <v>629575049.85598779</v>
      </c>
      <c r="D199" s="58">
        <f ca="1">SUM($B176:D176)</f>
        <v>746664896.92306232</v>
      </c>
      <c r="E199" s="58">
        <f ca="1">SUM($B176:E176)</f>
        <v>814296462.04739463</v>
      </c>
      <c r="F199" s="58">
        <f ca="1">SUM($B176:F176)</f>
        <v>859751229.83004713</v>
      </c>
      <c r="G199" s="58">
        <f ca="1">SUM($B176:G176)</f>
        <v>894537668.90666044</v>
      </c>
      <c r="H199" s="58">
        <f ca="1">SUM($B176:H176)</f>
        <v>916565590.68847346</v>
      </c>
      <c r="I199" s="58">
        <f ca="1">SUM($B176:I176)</f>
        <v>932747952.00391352</v>
      </c>
      <c r="J199" s="58">
        <f ca="1">SUM($B176:J176)</f>
        <v>944881776.84675586</v>
      </c>
      <c r="K199" s="58">
        <f ca="1">SUM($B176:K176)</f>
        <v>956517919.39079368</v>
      </c>
      <c r="L199" s="58">
        <f ca="1">SUM($B176:L176)</f>
        <v>961897045.86633253</v>
      </c>
      <c r="M199" s="58">
        <f ca="1">SUM($B176:M176)</f>
        <v>968468044.81827009</v>
      </c>
      <c r="N199" s="58">
        <f ca="1">SUM($B176:N176)</f>
        <v>973613461.44170809</v>
      </c>
      <c r="O199" s="58">
        <f ca="1">SUM($B176:O176)</f>
        <v>977651884.35635734</v>
      </c>
      <c r="P199" s="58">
        <f ca="1">SUM($B176:P176)</f>
        <v>980005300.46614814</v>
      </c>
      <c r="Q199" s="58">
        <f ca="1">SUM($B176:Q176)</f>
        <v>982692948.89907765</v>
      </c>
      <c r="R199" s="58">
        <f ca="1">SUM($B176:R176)</f>
        <v>987758631.77200055</v>
      </c>
      <c r="S199" s="58">
        <f ca="1">SUM($B176:S176)</f>
        <v>988768689.75004506</v>
      </c>
      <c r="T199" s="58">
        <f ca="1">SUM($B176:T176)</f>
        <v>991689055.61979246</v>
      </c>
      <c r="U199" s="105">
        <f t="shared" ref="U199:U205" ca="1" si="142">T199*T$242</f>
        <v>996137748.60023379</v>
      </c>
      <c r="X199" s="59">
        <f t="shared" ca="1" si="140"/>
        <v>1007270451.5454472</v>
      </c>
      <c r="Y199" s="43">
        <f ca="1">X199-'Paid Bootstrap'!AS246</f>
        <v>66804870.175447106</v>
      </c>
      <c r="AB199" s="41">
        <f t="shared" si="130"/>
        <v>240</v>
      </c>
      <c r="AC199" s="34"/>
      <c r="AD199" s="35">
        <f t="shared" si="138"/>
        <v>5.4806389233419912</v>
      </c>
      <c r="AE199" s="35"/>
      <c r="AF199" s="35"/>
      <c r="AG199" s="35">
        <f t="shared" ca="1" si="125"/>
        <v>1.0019879062763402</v>
      </c>
      <c r="AH199" s="35">
        <f t="shared" ca="1" si="126"/>
        <v>1.0008627022652195</v>
      </c>
      <c r="AI199" s="35">
        <f t="shared" ca="1" si="127"/>
        <v>1.0004931053705877</v>
      </c>
      <c r="AJ199" s="37">
        <f t="shared" ref="AJ199:AJ219" ca="1" si="143">+(AJ198-1)*(EXP($AH$170*12)*(1+(RAND()-0.5)*2/5))+1</f>
        <v>1.0031465018105008</v>
      </c>
    </row>
    <row r="200" spans="1:36" x14ac:dyDescent="0.25">
      <c r="A200" s="17">
        <f t="shared" si="141"/>
        <v>1998</v>
      </c>
      <c r="B200" s="56">
        <f ca="1">SUM($B177:B177)</f>
        <v>484343800.25582623</v>
      </c>
      <c r="C200" s="58">
        <f ca="1">SUM($B177:C177)</f>
        <v>791027219.40509701</v>
      </c>
      <c r="D200" s="58">
        <f ca="1">SUM($B177:D177)</f>
        <v>938795851.33301306</v>
      </c>
      <c r="E200" s="58">
        <f ca="1">SUM($B177:E177)</f>
        <v>1023252454.3237907</v>
      </c>
      <c r="F200" s="58">
        <f ca="1">SUM($B177:F177)</f>
        <v>1080517152.9148111</v>
      </c>
      <c r="G200" s="58">
        <f ca="1">SUM($B177:G177)</f>
        <v>1123077567.8626447</v>
      </c>
      <c r="H200" s="58">
        <f ca="1">SUM($B177:H177)</f>
        <v>1152381074.9891214</v>
      </c>
      <c r="I200" s="58">
        <f ca="1">SUM($B177:I177)</f>
        <v>1172728691.1562984</v>
      </c>
      <c r="J200" s="58">
        <f ca="1">SUM($B177:J177)</f>
        <v>1187182870.5177269</v>
      </c>
      <c r="K200" s="58">
        <f ca="1">SUM($B177:K177)</f>
        <v>1200733826.4541318</v>
      </c>
      <c r="L200" s="58">
        <f ca="1">SUM($B177:L177)</f>
        <v>1206979960.7186315</v>
      </c>
      <c r="M200" s="58">
        <f ca="1">SUM($B177:M177)</f>
        <v>1215556283.3099208</v>
      </c>
      <c r="N200" s="58">
        <f ca="1">SUM($B177:N177)</f>
        <v>1222570043.9159875</v>
      </c>
      <c r="O200" s="58">
        <f ca="1">SUM($B177:O177)</f>
        <v>1226848356.9987562</v>
      </c>
      <c r="P200" s="58">
        <f ca="1">SUM($B177:P177)</f>
        <v>1230239400.4827764</v>
      </c>
      <c r="Q200" s="58">
        <f ca="1">SUM($B177:Q177)</f>
        <v>1233703681.8757999</v>
      </c>
      <c r="R200" s="58">
        <f ca="1">SUM($B177:R177)</f>
        <v>1239551775.7213206</v>
      </c>
      <c r="S200" s="58">
        <f ca="1">SUM($B177:S177)</f>
        <v>1241055077.2100501</v>
      </c>
      <c r="T200" s="105">
        <f t="shared" ref="T200:T205" ca="1" si="144">S200*S$242</f>
        <v>1244750035.1229758</v>
      </c>
      <c r="U200" s="105">
        <f t="shared" ca="1" si="142"/>
        <v>1250333953.5017006</v>
      </c>
      <c r="X200" s="59">
        <f t="shared" ca="1" si="140"/>
        <v>1277145903.7389369</v>
      </c>
      <c r="Y200" s="43">
        <f ca="1">X200-'Paid Bootstrap'!AS247</f>
        <v>115256103.74893689</v>
      </c>
      <c r="AB200" s="41">
        <f t="shared" si="130"/>
        <v>252</v>
      </c>
      <c r="AC200" s="36"/>
      <c r="AD200" s="35">
        <f t="shared" si="138"/>
        <v>5.5294290875114234</v>
      </c>
      <c r="AE200" s="36"/>
      <c r="AF200" s="35"/>
      <c r="AG200" s="35">
        <f t="shared" ca="1" si="125"/>
        <v>1.0018044036532079</v>
      </c>
      <c r="AH200" s="35">
        <f t="shared" ca="1" si="126"/>
        <v>1.0006604569562279</v>
      </c>
      <c r="AI200" s="35">
        <f t="shared" ca="1" si="127"/>
        <v>1.0003877316224317</v>
      </c>
      <c r="AJ200" s="37">
        <f t="shared" ca="1" si="143"/>
        <v>1.00199592310799</v>
      </c>
    </row>
    <row r="201" spans="1:36" x14ac:dyDescent="0.25">
      <c r="A201" s="17">
        <f t="shared" si="141"/>
        <v>1999</v>
      </c>
      <c r="B201" s="56">
        <f ca="1">SUM($B178:B178)</f>
        <v>530370757.13752067</v>
      </c>
      <c r="C201" s="58">
        <f ca="1">SUM($B178:C178)</f>
        <v>853945379.25626373</v>
      </c>
      <c r="D201" s="58">
        <f ca="1">SUM($B178:D178)</f>
        <v>1013989683.8093412</v>
      </c>
      <c r="E201" s="58">
        <f ca="1">SUM($B178:E178)</f>
        <v>1104716808.6772494</v>
      </c>
      <c r="F201" s="58">
        <f ca="1">SUM($B178:F178)</f>
        <v>1168460960.8185179</v>
      </c>
      <c r="G201" s="58">
        <f ca="1">SUM($B178:G178)</f>
        <v>1215706594.5302274</v>
      </c>
      <c r="H201" s="58">
        <f ca="1">SUM($B178:H178)</f>
        <v>1247187183.9329755</v>
      </c>
      <c r="I201" s="58">
        <f ca="1">SUM($B178:I178)</f>
        <v>1269882206.7279141</v>
      </c>
      <c r="J201" s="58">
        <f ca="1">SUM($B178:J178)</f>
        <v>1285238723.8396444</v>
      </c>
      <c r="K201" s="58">
        <f ca="1">SUM($B178:K178)</f>
        <v>1300414820.2336783</v>
      </c>
      <c r="L201" s="58">
        <f ca="1">SUM($B178:L178)</f>
        <v>1307079254.5974123</v>
      </c>
      <c r="M201" s="58">
        <f ca="1">SUM($B178:M178)</f>
        <v>1316133057.7540073</v>
      </c>
      <c r="N201" s="58">
        <f ca="1">SUM($B178:N178)</f>
        <v>1322820556.5930884</v>
      </c>
      <c r="O201" s="58">
        <f ca="1">SUM($B178:O178)</f>
        <v>1327477108.6669917</v>
      </c>
      <c r="P201" s="58">
        <f ca="1">SUM($B178:P178)</f>
        <v>1331000668.7104764</v>
      </c>
      <c r="Q201" s="58">
        <f ca="1">SUM($B178:Q178)</f>
        <v>1334891508.9628651</v>
      </c>
      <c r="R201" s="58">
        <f ca="1">SUM($B178:R178)</f>
        <v>1341357561.4296494</v>
      </c>
      <c r="S201" s="105">
        <f ca="1">R201*R$242</f>
        <v>1342911366.2652366</v>
      </c>
      <c r="T201" s="105">
        <f t="shared" ca="1" si="144"/>
        <v>1346909578.0047948</v>
      </c>
      <c r="U201" s="105">
        <f t="shared" ca="1" si="142"/>
        <v>1352951781.6078327</v>
      </c>
      <c r="X201" s="59">
        <f t="shared" ca="1" si="140"/>
        <v>1543512830.0311236</v>
      </c>
      <c r="Y201" s="43">
        <f ca="1">X201-'Paid Bootstrap'!AS248</f>
        <v>276241512.76112366</v>
      </c>
      <c r="AB201" s="41">
        <f t="shared" si="130"/>
        <v>264</v>
      </c>
      <c r="AC201" s="36"/>
      <c r="AD201" s="35">
        <f t="shared" si="138"/>
        <v>5.575949103146316</v>
      </c>
      <c r="AE201" s="36"/>
      <c r="AF201" s="35"/>
      <c r="AG201" s="35">
        <f t="shared" ca="1" si="125"/>
        <v>1.0016452374822871</v>
      </c>
      <c r="AH201" s="35">
        <f t="shared" ca="1" si="126"/>
        <v>1.0005056244878632</v>
      </c>
      <c r="AI201" s="35">
        <f t="shared" ca="1" si="127"/>
        <v>1.0003061423818469</v>
      </c>
      <c r="AJ201" s="37">
        <f t="shared" ca="1" si="143"/>
        <v>1.0016342580518138</v>
      </c>
    </row>
    <row r="202" spans="1:36" x14ac:dyDescent="0.25">
      <c r="A202" s="17">
        <f t="shared" si="141"/>
        <v>2000</v>
      </c>
      <c r="B202" s="56">
        <f ca="1">SUM($B179:B179)</f>
        <v>486732980.58376312</v>
      </c>
      <c r="C202" s="58">
        <f ca="1">SUM($B179:C179)</f>
        <v>788485113.57075715</v>
      </c>
      <c r="D202" s="58">
        <f ca="1">SUM($B179:D179)</f>
        <v>936417151.69189167</v>
      </c>
      <c r="E202" s="58">
        <f ca="1">SUM($B179:E179)</f>
        <v>1020915241.3986871</v>
      </c>
      <c r="F202" s="58">
        <f ca="1">SUM($B179:F179)</f>
        <v>1078101141.3868968</v>
      </c>
      <c r="G202" s="58">
        <f ca="1">SUM($B179:G179)</f>
        <v>1121292628.2530241</v>
      </c>
      <c r="H202" s="58">
        <f ca="1">SUM($B179:H179)</f>
        <v>1149802579.0185032</v>
      </c>
      <c r="I202" s="58">
        <f ca="1">SUM($B179:I179)</f>
        <v>1170771215.4522424</v>
      </c>
      <c r="J202" s="58">
        <f ca="1">SUM($B179:J179)</f>
        <v>1186262568.6821895</v>
      </c>
      <c r="K202" s="58">
        <f ca="1">SUM($B179:K179)</f>
        <v>1200290278.4567518</v>
      </c>
      <c r="L202" s="58">
        <f ca="1">SUM($B179:L179)</f>
        <v>1206828378.8982291</v>
      </c>
      <c r="M202" s="58">
        <f ca="1">SUM($B179:M179)</f>
        <v>1215625307.2233546</v>
      </c>
      <c r="N202" s="58">
        <f ca="1">SUM($B179:N179)</f>
        <v>1221808301.2741537</v>
      </c>
      <c r="O202" s="58">
        <f ca="1">SUM($B179:O179)</f>
        <v>1226176583.0971136</v>
      </c>
      <c r="P202" s="58">
        <f ca="1">SUM($B179:P179)</f>
        <v>1229161840.3741</v>
      </c>
      <c r="Q202" s="58">
        <f ca="1">SUM($B179:Q179)</f>
        <v>1232726739.5474811</v>
      </c>
      <c r="R202" s="105">
        <f ca="1">Q202*Q$242</f>
        <v>1238694077.0377026</v>
      </c>
      <c r="S202" s="105">
        <f ca="1">R202*R$242</f>
        <v>1240128958.3117628</v>
      </c>
      <c r="T202" s="105">
        <f t="shared" ca="1" si="144"/>
        <v>1243821158.9172859</v>
      </c>
      <c r="U202" s="105">
        <f t="shared" ca="1" si="142"/>
        <v>1249400910.3799472</v>
      </c>
      <c r="X202" s="59">
        <f t="shared" ca="1" si="140"/>
        <v>1425376987.7387996</v>
      </c>
      <c r="Y202" s="43">
        <f ca="1">X202-'Paid Bootstrap'!AS249</f>
        <v>237643475.91879964</v>
      </c>
      <c r="AB202" s="41">
        <f>+AB201+12</f>
        <v>276</v>
      </c>
      <c r="AC202" s="36"/>
      <c r="AD202" s="35">
        <f t="shared" si="138"/>
        <v>5.6204008657171496</v>
      </c>
      <c r="AE202" s="36"/>
      <c r="AF202" s="35"/>
      <c r="AG202" s="35">
        <f t="shared" ca="1" si="125"/>
        <v>1.0015062828880674</v>
      </c>
      <c r="AH202" s="35">
        <f t="shared" ca="1" si="126"/>
        <v>1.0003870897570479</v>
      </c>
      <c r="AI202" s="35">
        <f t="shared" ca="1" si="127"/>
        <v>1.0002426631686725</v>
      </c>
      <c r="AJ202" s="37">
        <f t="shared" ca="1" si="143"/>
        <v>1.0010946341814784</v>
      </c>
    </row>
    <row r="203" spans="1:36" x14ac:dyDescent="0.25">
      <c r="A203" s="17">
        <f t="shared" si="141"/>
        <v>2001</v>
      </c>
      <c r="B203" s="56">
        <f ca="1">SUM($B180:B180)</f>
        <v>485452789.61160409</v>
      </c>
      <c r="C203" s="58">
        <f ca="1">SUM($B180:C180)</f>
        <v>794781815.86620808</v>
      </c>
      <c r="D203" s="58">
        <f ca="1">SUM($B180:D180)</f>
        <v>947315583.5454905</v>
      </c>
      <c r="E203" s="58">
        <f ca="1">SUM($B180:E180)</f>
        <v>1033002037.9397893</v>
      </c>
      <c r="F203" s="58">
        <f ca="1">SUM($B180:F180)</f>
        <v>1094112382.9089279</v>
      </c>
      <c r="G203" s="58">
        <f ca="1">SUM($B180:G180)</f>
        <v>1138737200.1340342</v>
      </c>
      <c r="H203" s="58">
        <f ca="1">SUM($B180:H180)</f>
        <v>1168823596.2815633</v>
      </c>
      <c r="I203" s="58">
        <f ca="1">SUM($B180:I180)</f>
        <v>1191427905.2337875</v>
      </c>
      <c r="J203" s="58">
        <f ca="1">SUM($B180:J180)</f>
        <v>1206845446.2989192</v>
      </c>
      <c r="K203" s="58">
        <f ca="1">SUM($B180:K180)</f>
        <v>1221330269.2675669</v>
      </c>
      <c r="L203" s="58">
        <f ca="1">SUM($B180:L180)</f>
        <v>1228133586.8770189</v>
      </c>
      <c r="M203" s="58">
        <f ca="1">SUM($B180:M180)</f>
        <v>1237114130.9899797</v>
      </c>
      <c r="N203" s="58">
        <f ca="1">SUM($B180:N180)</f>
        <v>1243128575.4477675</v>
      </c>
      <c r="O203" s="58">
        <f ca="1">SUM($B180:O180)</f>
        <v>1247594432.4430773</v>
      </c>
      <c r="P203" s="58">
        <f ca="1">SUM($B180:P180)</f>
        <v>1250866492.2202635</v>
      </c>
      <c r="Q203" s="105">
        <f ca="1">P203*P$242</f>
        <v>1254407347.0207574</v>
      </c>
      <c r="R203" s="105">
        <f ca="1">Q203*Q$242</f>
        <v>1260479635.1846647</v>
      </c>
      <c r="S203" s="105">
        <f ca="1">R203*R$242</f>
        <v>1261939752.4633281</v>
      </c>
      <c r="T203" s="105">
        <f t="shared" ca="1" si="144"/>
        <v>1265696889.7246995</v>
      </c>
      <c r="U203" s="105">
        <f t="shared" ca="1" si="142"/>
        <v>1271374775.1836305</v>
      </c>
      <c r="X203" s="59">
        <f t="shared" ca="1" si="140"/>
        <v>1276043665.7351859</v>
      </c>
      <c r="Y203" s="43">
        <f ca="1">X203-'Paid Bootstrap'!AS250</f>
        <v>55024376.70518589</v>
      </c>
      <c r="AB203" s="41">
        <f t="shared" si="130"/>
        <v>288</v>
      </c>
      <c r="AC203" s="36"/>
      <c r="AD203" s="35">
        <f t="shared" si="138"/>
        <v>5.6629604801359461</v>
      </c>
      <c r="AE203" s="36"/>
      <c r="AF203" s="35"/>
      <c r="AG203" s="35">
        <f t="shared" ca="1" si="125"/>
        <v>1.0013842537812532</v>
      </c>
      <c r="AH203" s="35">
        <f t="shared" ca="1" si="126"/>
        <v>1.000296343400306</v>
      </c>
      <c r="AI203" s="35">
        <f t="shared" ca="1" si="127"/>
        <v>1.0001930508548997</v>
      </c>
      <c r="AJ203" s="37">
        <f t="shared" ca="1" si="143"/>
        <v>1.0008246558227598</v>
      </c>
    </row>
    <row r="204" spans="1:36" x14ac:dyDescent="0.25">
      <c r="A204" s="17">
        <f t="shared" si="141"/>
        <v>2002</v>
      </c>
      <c r="B204" s="56">
        <f ca="1">SUM($B181:B181)</f>
        <v>484581032.68674493</v>
      </c>
      <c r="C204" s="58">
        <f ca="1">SUM($B181:C181)</f>
        <v>778216289.7914747</v>
      </c>
      <c r="D204" s="58">
        <f ca="1">SUM($B181:D181)</f>
        <v>922538246.92234397</v>
      </c>
      <c r="E204" s="58">
        <f ca="1">SUM($B181:E181)</f>
        <v>1004678130.2609055</v>
      </c>
      <c r="F204" s="58">
        <f ca="1">SUM($B181:F181)</f>
        <v>1061844665.6172177</v>
      </c>
      <c r="G204" s="58">
        <f ca="1">SUM($B181:G181)</f>
        <v>1103998764.4105475</v>
      </c>
      <c r="H204" s="58">
        <f ca="1">SUM($B181:H181)</f>
        <v>1130991633.9954927</v>
      </c>
      <c r="I204" s="58">
        <f ca="1">SUM($B181:I181)</f>
        <v>1152010136.0313189</v>
      </c>
      <c r="J204" s="58">
        <f ca="1">SUM($B181:J181)</f>
        <v>1166635145.1711237</v>
      </c>
      <c r="K204" s="58">
        <f ca="1">SUM($B181:K181)</f>
        <v>1179606669.4439912</v>
      </c>
      <c r="L204" s="58">
        <f ca="1">SUM($B181:L181)</f>
        <v>1186001576.7142375</v>
      </c>
      <c r="M204" s="58">
        <f ca="1">SUM($B181:M181)</f>
        <v>1193853065.4447744</v>
      </c>
      <c r="N204" s="58">
        <f ca="1">SUM($B181:N181)</f>
        <v>1200423780.1400068</v>
      </c>
      <c r="O204" s="58">
        <f ca="1">SUM($B181:O181)</f>
        <v>1204282341.0959756</v>
      </c>
      <c r="P204" s="105">
        <f t="shared" ref="P204:P217" ca="1" si="145">O204*O$242</f>
        <v>1207435403.5198734</v>
      </c>
      <c r="Q204" s="105">
        <f ca="1">P204*P$242</f>
        <v>1210853316.9993935</v>
      </c>
      <c r="R204" s="105">
        <f ca="1">Q204*Q$242</f>
        <v>1216714770.4439273</v>
      </c>
      <c r="S204" s="105">
        <f ca="1">R204*R$242</f>
        <v>1218124191.2786162</v>
      </c>
      <c r="T204" s="105">
        <f t="shared" ca="1" si="144"/>
        <v>1221750877.7183585</v>
      </c>
      <c r="U204" s="105">
        <f t="shared" ca="1" si="142"/>
        <v>1227231622.4364262</v>
      </c>
      <c r="X204" s="59">
        <f t="shared" ca="1" si="140"/>
        <v>1253548170.1860697</v>
      </c>
      <c r="Y204" s="43">
        <f ca="1">X204-'Paid Bootstrap'!AS251</f>
        <v>118577060.54606986</v>
      </c>
      <c r="AB204" s="41">
        <f t="shared" si="130"/>
        <v>300</v>
      </c>
      <c r="AC204" s="36"/>
      <c r="AD204" s="35">
        <f>LN(AB204)</f>
        <v>5.7037824746562009</v>
      </c>
      <c r="AE204" s="36"/>
      <c r="AF204" s="35"/>
      <c r="AG204" s="35">
        <f t="shared" ca="1" si="125"/>
        <v>1.0012765061283029</v>
      </c>
      <c r="AH204" s="35">
        <f t="shared" ca="1" si="126"/>
        <v>1.0002268709241358</v>
      </c>
      <c r="AI204" s="35">
        <f t="shared" ca="1" si="127"/>
        <v>1.0001541120018331</v>
      </c>
      <c r="AJ204" s="37">
        <f t="shared" ca="1" si="143"/>
        <v>1.0006207067198503</v>
      </c>
    </row>
    <row r="205" spans="1:36" x14ac:dyDescent="0.25">
      <c r="A205" s="17">
        <f t="shared" si="141"/>
        <v>2003</v>
      </c>
      <c r="B205" s="56">
        <f ca="1">SUM($B182:B182)</f>
        <v>327008315.1173082</v>
      </c>
      <c r="C205" s="58">
        <f ca="1">SUM($B182:C182)</f>
        <v>526285070.27058059</v>
      </c>
      <c r="D205" s="58">
        <f ca="1">SUM($B182:D182)</f>
        <v>624300668.80217671</v>
      </c>
      <c r="E205" s="58">
        <f ca="1">SUM($B182:E182)</f>
        <v>679736396.79548085</v>
      </c>
      <c r="F205" s="58">
        <f ca="1">SUM($B182:F182)</f>
        <v>718618497.43528926</v>
      </c>
      <c r="G205" s="58">
        <f ca="1">SUM($B182:G182)</f>
        <v>747870405.63290823</v>
      </c>
      <c r="H205" s="58">
        <f ca="1">SUM($B182:H182)</f>
        <v>767052145.1371361</v>
      </c>
      <c r="I205" s="58">
        <f ca="1">SUM($B182:I182)</f>
        <v>781013728.26519907</v>
      </c>
      <c r="J205" s="58">
        <f ca="1">SUM($B182:J182)</f>
        <v>790928924.33431971</v>
      </c>
      <c r="K205" s="58">
        <f ca="1">SUM($B182:K182)</f>
        <v>800099632.92444658</v>
      </c>
      <c r="L205" s="58">
        <f ca="1">SUM($B182:L182)</f>
        <v>804414671.1275208</v>
      </c>
      <c r="M205" s="58">
        <f ca="1">SUM($B182:M182)</f>
        <v>810049461.39679885</v>
      </c>
      <c r="N205" s="58">
        <f ca="1">SUM($B182:N182)</f>
        <v>814516939.32797956</v>
      </c>
      <c r="O205" s="105">
        <f t="shared" ref="O205:O217" ca="1" si="146">N205*N$242</f>
        <v>817436364.28195083</v>
      </c>
      <c r="P205" s="105">
        <f t="shared" ca="1" si="145"/>
        <v>819576583.22911179</v>
      </c>
      <c r="Q205" s="105">
        <f ca="1">P205*P$242</f>
        <v>821896576.36758673</v>
      </c>
      <c r="R205" s="105">
        <f ca="1">Q205*Q$242</f>
        <v>825875182.57113457</v>
      </c>
      <c r="S205" s="105">
        <f ca="1">R205*R$242</f>
        <v>826831861.7513696</v>
      </c>
      <c r="T205" s="105">
        <f t="shared" ca="1" si="144"/>
        <v>829293564.68973184</v>
      </c>
      <c r="U205" s="105">
        <f t="shared" ca="1" si="142"/>
        <v>833013755.44816935</v>
      </c>
      <c r="X205" s="59">
        <f t="shared" ca="1" si="140"/>
        <v>862925804.26228905</v>
      </c>
      <c r="Y205" s="43">
        <f ca="1">X205-'Paid Bootstrap'!AS252</f>
        <v>85241902.962289095</v>
      </c>
      <c r="AB205" s="41">
        <f t="shared" si="130"/>
        <v>312</v>
      </c>
      <c r="AC205" s="36"/>
      <c r="AD205" s="35">
        <f>LN(AB205)</f>
        <v>5.7430031878094825</v>
      </c>
      <c r="AE205" s="36"/>
      <c r="AF205" s="35"/>
      <c r="AG205" s="35">
        <f t="shared" ca="1" si="125"/>
        <v>1.0011808930352086</v>
      </c>
      <c r="AH205" s="35">
        <f t="shared" ca="1" si="126"/>
        <v>1.0001736850429774</v>
      </c>
      <c r="AI205" s="35">
        <f t="shared" ca="1" si="127"/>
        <v>1.000123428709</v>
      </c>
      <c r="AJ205" s="37">
        <f t="shared" ca="1" si="143"/>
        <v>1.0004749251296001</v>
      </c>
    </row>
    <row r="206" spans="1:36" x14ac:dyDescent="0.25">
      <c r="A206" s="17">
        <f t="shared" si="141"/>
        <v>2004</v>
      </c>
      <c r="B206" s="56">
        <f ca="1">SUM($B183:B183)</f>
        <v>237820048.10988668</v>
      </c>
      <c r="C206" s="58">
        <f ca="1">SUM($B183:C183)</f>
        <v>384107995.07510924</v>
      </c>
      <c r="D206" s="58">
        <f ca="1">SUM($B183:D183)</f>
        <v>458931362.90127993</v>
      </c>
      <c r="E206" s="58">
        <f ca="1">SUM($B183:E183)</f>
        <v>500875706.11791456</v>
      </c>
      <c r="F206" s="58">
        <f ca="1">SUM($B183:F183)</f>
        <v>529052845.36551452</v>
      </c>
      <c r="G206" s="58">
        <f ca="1">SUM($B183:G183)</f>
        <v>550106463.2276125</v>
      </c>
      <c r="H206" s="58">
        <f ca="1">SUM($B183:H183)</f>
        <v>564590469.52521968</v>
      </c>
      <c r="I206" s="58">
        <f ca="1">SUM($B183:I183)</f>
        <v>575961585.80821538</v>
      </c>
      <c r="J206" s="58">
        <f ca="1">SUM($B183:J183)</f>
        <v>583188532.9379487</v>
      </c>
      <c r="K206" s="58">
        <f ca="1">SUM($B183:K183)</f>
        <v>589895061.40129161</v>
      </c>
      <c r="L206" s="58">
        <f ca="1">SUM($B183:L183)</f>
        <v>592721234.62210119</v>
      </c>
      <c r="M206" s="58">
        <f ca="1">SUM($B183:M183)</f>
        <v>597100965.46216428</v>
      </c>
      <c r="N206" s="105">
        <f t="shared" ref="N206:U206" ca="1" si="147">M206*M$242</f>
        <v>600264606.23430908</v>
      </c>
      <c r="O206" s="105">
        <f t="shared" ca="1" si="146"/>
        <v>602416099.20617044</v>
      </c>
      <c r="P206" s="105">
        <f t="shared" ca="1" si="145"/>
        <v>603993350.23870599</v>
      </c>
      <c r="Q206" s="105">
        <f t="shared" ca="1" si="147"/>
        <v>605703087.26256943</v>
      </c>
      <c r="R206" s="105">
        <f t="shared" ca="1" si="147"/>
        <v>608635152.11085176</v>
      </c>
      <c r="S206" s="105">
        <f t="shared" ca="1" si="147"/>
        <v>609340184.28843927</v>
      </c>
      <c r="T206" s="105">
        <f t="shared" ca="1" si="147"/>
        <v>611154355.45372033</v>
      </c>
      <c r="U206" s="105">
        <f t="shared" ca="1" si="147"/>
        <v>613895979.02581263</v>
      </c>
      <c r="X206" s="59">
        <f t="shared" ca="1" si="140"/>
        <v>620756798.81038451</v>
      </c>
      <c r="Y206" s="43">
        <f ca="1">X206-'Paid Bootstrap'!AS253</f>
        <v>58273836.740384579</v>
      </c>
      <c r="AB206" s="41">
        <f t="shared" si="130"/>
        <v>324</v>
      </c>
      <c r="AC206" s="36"/>
      <c r="AD206" s="35">
        <f>LN(AB206)</f>
        <v>5.780743515792329</v>
      </c>
      <c r="AE206" s="36"/>
      <c r="AF206" s="35"/>
      <c r="AG206" s="35">
        <f t="shared" ca="1" si="125"/>
        <v>1.0010956566136211</v>
      </c>
      <c r="AH206" s="35">
        <f t="shared" ca="1" si="126"/>
        <v>1.000132967652285</v>
      </c>
      <c r="AI206" s="35">
        <f t="shared" ca="1" si="127"/>
        <v>1.0000991600139399</v>
      </c>
      <c r="AJ206" s="37">
        <f t="shared" ca="1" si="143"/>
        <v>1.0003368081208923</v>
      </c>
    </row>
    <row r="207" spans="1:36" x14ac:dyDescent="0.25">
      <c r="A207" s="17">
        <f t="shared" si="141"/>
        <v>2005</v>
      </c>
      <c r="B207" s="56">
        <f ca="1">SUM($B184:B184)</f>
        <v>128917512.33134112</v>
      </c>
      <c r="C207" s="58">
        <f ca="1">SUM($B184:C184)</f>
        <v>208775426.78723705</v>
      </c>
      <c r="D207" s="58">
        <f ca="1">SUM($B184:D184)</f>
        <v>247889455.56062162</v>
      </c>
      <c r="E207" s="58">
        <f ca="1">SUM($B184:E184)</f>
        <v>270699079.78743345</v>
      </c>
      <c r="F207" s="58">
        <f ca="1">SUM($B184:F184)</f>
        <v>286343828.3779217</v>
      </c>
      <c r="G207" s="58">
        <f ca="1">SUM($B184:G184)</f>
        <v>297658227.52051204</v>
      </c>
      <c r="H207" s="58">
        <f ca="1">SUM($B184:H184)</f>
        <v>305675022.09455723</v>
      </c>
      <c r="I207" s="58">
        <f ca="1">SUM($B184:I184)</f>
        <v>311440778.61620897</v>
      </c>
      <c r="J207" s="58">
        <f ca="1">SUM($B184:J184)</f>
        <v>315337886.10685241</v>
      </c>
      <c r="K207" s="58">
        <f ca="1">SUM($B184:K184)</f>
        <v>318673117.84067655</v>
      </c>
      <c r="L207" s="58">
        <f ca="1">SUM($B184:L184)</f>
        <v>320475699.46903396</v>
      </c>
      <c r="M207" s="105">
        <f t="shared" ref="M207:U207" ca="1" si="148">L207*L$242</f>
        <v>322760768.15593916</v>
      </c>
      <c r="N207" s="105">
        <f t="shared" ca="1" si="148"/>
        <v>324470862.73767638</v>
      </c>
      <c r="O207" s="105">
        <f t="shared" ca="1" si="146"/>
        <v>325633844.48523158</v>
      </c>
      <c r="P207" s="105">
        <f t="shared" ca="1" si="145"/>
        <v>326486421.82856566</v>
      </c>
      <c r="Q207" s="105">
        <f t="shared" ca="1" si="148"/>
        <v>327410613.99552971</v>
      </c>
      <c r="R207" s="105">
        <f t="shared" ca="1" si="148"/>
        <v>328995531.04884934</v>
      </c>
      <c r="S207" s="105">
        <f t="shared" ca="1" si="148"/>
        <v>329376633.64351135</v>
      </c>
      <c r="T207" s="105">
        <f t="shared" ca="1" si="148"/>
        <v>330357277.30805349</v>
      </c>
      <c r="U207" s="105">
        <f t="shared" ca="1" si="148"/>
        <v>331839252.01803911</v>
      </c>
      <c r="X207" s="59">
        <f t="shared" ca="1" si="140"/>
        <v>332635919.94027132</v>
      </c>
      <c r="Y207" s="43">
        <f ca="1">X207-'Paid Bootstrap'!AS254</f>
        <v>24066518.780271351</v>
      </c>
      <c r="AB207" s="41">
        <f t="shared" si="130"/>
        <v>336</v>
      </c>
      <c r="AC207" s="36"/>
      <c r="AD207" s="35">
        <f>LN(AB207)</f>
        <v>5.8171111599632042</v>
      </c>
      <c r="AE207" s="36"/>
      <c r="AF207" s="35"/>
      <c r="AG207" s="35">
        <f t="shared" ca="1" si="125"/>
        <v>1.001019346331971</v>
      </c>
      <c r="AH207" s="35">
        <f t="shared" ca="1" si="126"/>
        <v>1.0001017957346878</v>
      </c>
      <c r="AI207" s="35">
        <f t="shared" ca="1" si="127"/>
        <v>1.0000798968945297</v>
      </c>
      <c r="AJ207" s="37">
        <f t="shared" ca="1" si="143"/>
        <v>1.0002643593423268</v>
      </c>
    </row>
    <row r="208" spans="1:36" x14ac:dyDescent="0.25">
      <c r="A208" s="17">
        <f t="shared" si="141"/>
        <v>2006</v>
      </c>
      <c r="B208" s="56">
        <f ca="1">SUM($B185:B185)</f>
        <v>110585053.51618624</v>
      </c>
      <c r="C208" s="58">
        <f ca="1">SUM($B185:C185)</f>
        <v>178157324.22669116</v>
      </c>
      <c r="D208" s="58">
        <f ca="1">SUM($B185:D185)</f>
        <v>211421410.9770703</v>
      </c>
      <c r="E208" s="58">
        <f ca="1">SUM($B185:E185)</f>
        <v>230688323.86521316</v>
      </c>
      <c r="F208" s="58">
        <f ca="1">SUM($B185:F185)</f>
        <v>245105330.98902652</v>
      </c>
      <c r="G208" s="58">
        <f ca="1">SUM($B185:G185)</f>
        <v>255022022.91615728</v>
      </c>
      <c r="H208" s="58">
        <f ca="1">SUM($B185:H185)</f>
        <v>261943676.60687193</v>
      </c>
      <c r="I208" s="58">
        <f ca="1">SUM($B185:I185)</f>
        <v>266917139.66505772</v>
      </c>
      <c r="J208" s="58">
        <f ca="1">SUM($B185:J185)</f>
        <v>270270883.88011003</v>
      </c>
      <c r="K208" s="58">
        <f ca="1">SUM($B185:K185)</f>
        <v>273954123.74390519</v>
      </c>
      <c r="L208" s="105">
        <f t="shared" ref="L208:U208" ca="1" si="149">K208*K$242</f>
        <v>275408705.59103107</v>
      </c>
      <c r="M208" s="105">
        <f t="shared" ca="1" si="149"/>
        <v>277372435.79051214</v>
      </c>
      <c r="N208" s="105">
        <f t="shared" ca="1" si="149"/>
        <v>278842047.79533744</v>
      </c>
      <c r="O208" s="105">
        <f t="shared" ca="1" si="146"/>
        <v>279841484.87668508</v>
      </c>
      <c r="P208" s="105">
        <f t="shared" ca="1" si="145"/>
        <v>280574168.26869547</v>
      </c>
      <c r="Q208" s="105">
        <f t="shared" ca="1" si="149"/>
        <v>281368395.62772036</v>
      </c>
      <c r="R208" s="105">
        <f t="shared" ca="1" si="149"/>
        <v>282730433.23259062</v>
      </c>
      <c r="S208" s="105">
        <f t="shared" ca="1" si="149"/>
        <v>283057943.15757757</v>
      </c>
      <c r="T208" s="105">
        <f t="shared" ca="1" si="149"/>
        <v>283900683.50495827</v>
      </c>
      <c r="U208" s="105">
        <f t="shared" ca="1" si="149"/>
        <v>285174255.06521076</v>
      </c>
      <c r="X208" s="59">
        <f t="shared" ca="1" si="140"/>
        <v>286221505.18453813</v>
      </c>
      <c r="Y208" s="43">
        <f ca="1">X208-'Paid Bootstrap'!AS255</f>
        <v>29996416.954538107</v>
      </c>
      <c r="AB208" s="41">
        <f t="shared" si="130"/>
        <v>348</v>
      </c>
      <c r="AC208" s="36"/>
      <c r="AD208" s="35">
        <f>LN(AB208)</f>
        <v>5.8522024797744745</v>
      </c>
      <c r="AE208" s="36"/>
      <c r="AF208" s="35"/>
      <c r="AG208" s="35">
        <f t="shared" ca="1" si="125"/>
        <v>1.0009507566878786</v>
      </c>
      <c r="AH208" s="35">
        <f t="shared" ca="1" si="126"/>
        <v>1.0000779315226116</v>
      </c>
      <c r="AI208" s="35">
        <f t="shared" ca="1" si="127"/>
        <v>1.000064555638416</v>
      </c>
      <c r="AJ208" s="37">
        <f t="shared" ca="1" si="143"/>
        <v>1.0002241161391658</v>
      </c>
    </row>
    <row r="209" spans="1:36" x14ac:dyDescent="0.25">
      <c r="A209" s="17">
        <f t="shared" si="141"/>
        <v>2007</v>
      </c>
      <c r="B209" s="56">
        <f ca="1">SUM($B186:B186)</f>
        <v>98390703.912917346</v>
      </c>
      <c r="C209" s="58">
        <f ca="1">SUM($B186:C186)</f>
        <v>158220865.85803014</v>
      </c>
      <c r="D209" s="58">
        <f ca="1">SUM($B186:D186)</f>
        <v>186483446.5014413</v>
      </c>
      <c r="E209" s="58">
        <f ca="1">SUM($B186:E186)</f>
        <v>204335066.03357595</v>
      </c>
      <c r="F209" s="58">
        <f ca="1">SUM($B186:F186)</f>
        <v>215747010.67666742</v>
      </c>
      <c r="G209" s="58">
        <f ca="1">SUM($B186:G186)</f>
        <v>224313558.67976603</v>
      </c>
      <c r="H209" s="58">
        <f ca="1">SUM($B186:H186)</f>
        <v>229832494.56545874</v>
      </c>
      <c r="I209" s="58">
        <f ca="1">SUM($B186:I186)</f>
        <v>234078661.23177966</v>
      </c>
      <c r="J209" s="58">
        <f ca="1">SUM($B186:J186)</f>
        <v>237103102.85163972</v>
      </c>
      <c r="K209" s="105">
        <f t="shared" ref="K209:U209" ca="1" si="150">J209*J$242</f>
        <v>239876360.14647973</v>
      </c>
      <c r="L209" s="105">
        <f t="shared" ca="1" si="150"/>
        <v>241150003.3180272</v>
      </c>
      <c r="M209" s="105">
        <f t="shared" ca="1" si="150"/>
        <v>242869460.74441582</v>
      </c>
      <c r="N209" s="105">
        <f t="shared" ca="1" si="150"/>
        <v>244156264.43887165</v>
      </c>
      <c r="O209" s="105">
        <f t="shared" ca="1" si="146"/>
        <v>245031379.315745</v>
      </c>
      <c r="P209" s="105">
        <f t="shared" ca="1" si="145"/>
        <v>245672922.588806</v>
      </c>
      <c r="Q209" s="105">
        <f t="shared" ca="1" si="150"/>
        <v>246368354.23775515</v>
      </c>
      <c r="R209" s="105">
        <f t="shared" ca="1" si="150"/>
        <v>247560964.95145378</v>
      </c>
      <c r="S209" s="105">
        <f t="shared" ca="1" si="150"/>
        <v>247847735.18744832</v>
      </c>
      <c r="T209" s="105">
        <f t="shared" ca="1" si="150"/>
        <v>248585645.18608457</v>
      </c>
      <c r="U209" s="105">
        <f t="shared" ca="1" si="150"/>
        <v>249700794.34348518</v>
      </c>
      <c r="X209" s="59">
        <f t="shared" ca="1" si="140"/>
        <v>250617774.68805572</v>
      </c>
      <c r="Y209" s="43">
        <f ca="1">X209-'Paid Bootstrap'!AS256</f>
        <v>27869435.248055726</v>
      </c>
      <c r="AB209" s="41">
        <f t="shared" ref="AB209:AB217" si="151">+AB208+12</f>
        <v>360</v>
      </c>
      <c r="AC209" s="36"/>
      <c r="AD209" s="35">
        <f t="shared" ref="AD209:AD217" si="152">LN(AB209)</f>
        <v>5.8861040314501558</v>
      </c>
      <c r="AE209" s="36"/>
      <c r="AF209" s="35"/>
      <c r="AG209" s="35">
        <f t="shared" ca="1" si="125"/>
        <v>1.0008888791468324</v>
      </c>
      <c r="AH209" s="35">
        <f t="shared" ca="1" si="126"/>
        <v>1.0000596618535655</v>
      </c>
      <c r="AI209" s="35">
        <f t="shared" ca="1" si="127"/>
        <v>1.0000522988989651</v>
      </c>
      <c r="AJ209" s="37">
        <f t="shared" ca="1" si="143"/>
        <v>1.0001429378308819</v>
      </c>
    </row>
    <row r="210" spans="1:36" x14ac:dyDescent="0.25">
      <c r="A210" s="17">
        <f t="shared" si="141"/>
        <v>2008</v>
      </c>
      <c r="B210" s="56">
        <f ca="1">SUM($B187:B187)</f>
        <v>86974887.106635809</v>
      </c>
      <c r="C210" s="58">
        <f ca="1">SUM($B187:C187)</f>
        <v>140854523.88993788</v>
      </c>
      <c r="D210" s="58">
        <f ca="1">SUM($B187:D187)</f>
        <v>167034629.04865485</v>
      </c>
      <c r="E210" s="58">
        <f ca="1">SUM($B187:E187)</f>
        <v>182378626.31023705</v>
      </c>
      <c r="F210" s="58">
        <f ca="1">SUM($B187:F187)</f>
        <v>193051845.11208984</v>
      </c>
      <c r="G210" s="58">
        <f ca="1">SUM($B187:G187)</f>
        <v>200796976.7469154</v>
      </c>
      <c r="H210" s="58">
        <f ca="1">SUM($B187:H187)</f>
        <v>205683143.84018809</v>
      </c>
      <c r="I210" s="58">
        <f ca="1">SUM($B187:I187)</f>
        <v>209532462.68318164</v>
      </c>
      <c r="J210" s="105">
        <f t="shared" ref="J210:U210" ca="1" si="153">I210*I$242</f>
        <v>212184288.93511304</v>
      </c>
      <c r="K210" s="105">
        <f t="shared" ca="1" si="153"/>
        <v>214666085.33533958</v>
      </c>
      <c r="L210" s="105">
        <f t="shared" ca="1" si="153"/>
        <v>215805872.48895165</v>
      </c>
      <c r="M210" s="105">
        <f t="shared" ca="1" si="153"/>
        <v>217344620.17712829</v>
      </c>
      <c r="N210" s="105">
        <f t="shared" ca="1" si="153"/>
        <v>218496184.72277674</v>
      </c>
      <c r="O210" s="105">
        <f t="shared" ca="1" si="146"/>
        <v>219279327.69160619</v>
      </c>
      <c r="P210" s="105">
        <f t="shared" ca="1" si="145"/>
        <v>219853446.72074741</v>
      </c>
      <c r="Q210" s="105">
        <f t="shared" ca="1" si="153"/>
        <v>220475790.62160972</v>
      </c>
      <c r="R210" s="105">
        <f t="shared" ca="1" si="153"/>
        <v>221543061.58187583</v>
      </c>
      <c r="S210" s="105">
        <f t="shared" ca="1" si="153"/>
        <v>221799693.13954183</v>
      </c>
      <c r="T210" s="105">
        <f t="shared" ca="1" si="153"/>
        <v>222460051.04492408</v>
      </c>
      <c r="U210" s="105">
        <f t="shared" ca="1" si="153"/>
        <v>223458001.42251864</v>
      </c>
      <c r="X210" s="59">
        <f t="shared" ca="1" si="140"/>
        <v>223994471.47727203</v>
      </c>
      <c r="Y210" s="43">
        <f ca="1">X210-'Paid Bootstrap'!AS257</f>
        <v>39707074.407272041</v>
      </c>
      <c r="AB210" s="41">
        <f t="shared" si="151"/>
        <v>372</v>
      </c>
      <c r="AC210" s="36"/>
      <c r="AD210" s="35">
        <f t="shared" si="152"/>
        <v>5.9188938542731462</v>
      </c>
      <c r="AE210" s="36"/>
      <c r="AF210" s="35"/>
      <c r="AG210" s="35">
        <f t="shared" ca="1" si="125"/>
        <v>1.0008328647329563</v>
      </c>
      <c r="AH210" s="35">
        <f t="shared" ca="1" si="126"/>
        <v>1.0000456751857476</v>
      </c>
      <c r="AI210" s="35">
        <f t="shared" ca="1" si="127"/>
        <v>1.0000424768817895</v>
      </c>
      <c r="AJ210" s="37">
        <f t="shared" ca="1" si="143"/>
        <v>1.0000994244072441</v>
      </c>
    </row>
    <row r="211" spans="1:36" x14ac:dyDescent="0.25">
      <c r="A211" s="17">
        <f t="shared" si="141"/>
        <v>2009</v>
      </c>
      <c r="B211" s="56">
        <f ca="1">SUM($B188:B188)</f>
        <v>76731661.598099142</v>
      </c>
      <c r="C211" s="58">
        <f ca="1">SUM($B188:C188)</f>
        <v>123517247.5441746</v>
      </c>
      <c r="D211" s="58">
        <f ca="1">SUM($B188:D188)</f>
        <v>147375761.12781823</v>
      </c>
      <c r="E211" s="58">
        <f ca="1">SUM($B188:E188)</f>
        <v>160942795.69335604</v>
      </c>
      <c r="F211" s="58">
        <f ca="1">SUM($B188:F188)</f>
        <v>170294468.08715123</v>
      </c>
      <c r="G211" s="58">
        <f ca="1">SUM($B188:G188)</f>
        <v>177343518.63075644</v>
      </c>
      <c r="H211" s="58">
        <f ca="1">SUM($B188:H188)</f>
        <v>181749888.72593221</v>
      </c>
      <c r="I211" s="105">
        <f t="shared" ref="I211:U211" ca="1" si="154">H211*H$242</f>
        <v>185109996.98741573</v>
      </c>
      <c r="J211" s="105">
        <f t="shared" ca="1" si="154"/>
        <v>187452734.44785592</v>
      </c>
      <c r="K211" s="105">
        <f t="shared" ca="1" si="154"/>
        <v>189645260.21826097</v>
      </c>
      <c r="L211" s="105">
        <f t="shared" ca="1" si="154"/>
        <v>190652197.25259748</v>
      </c>
      <c r="M211" s="105">
        <f t="shared" ca="1" si="154"/>
        <v>192011593.19666868</v>
      </c>
      <c r="N211" s="105">
        <f t="shared" ca="1" si="154"/>
        <v>193028934.88609517</v>
      </c>
      <c r="O211" s="105">
        <f t="shared" ca="1" si="146"/>
        <v>193720797.09562749</v>
      </c>
      <c r="P211" s="105">
        <f t="shared" ca="1" si="145"/>
        <v>194227998.55927584</v>
      </c>
      <c r="Q211" s="105">
        <f t="shared" ca="1" si="154"/>
        <v>194777803.9504717</v>
      </c>
      <c r="R211" s="105">
        <f t="shared" ca="1" si="154"/>
        <v>195720677.05810246</v>
      </c>
      <c r="S211" s="105">
        <f t="shared" ca="1" si="154"/>
        <v>195947396.42300704</v>
      </c>
      <c r="T211" s="105">
        <f t="shared" ca="1" si="154"/>
        <v>196530785.02213192</v>
      </c>
      <c r="U211" s="105">
        <f t="shared" ca="1" si="154"/>
        <v>197412417.34308374</v>
      </c>
      <c r="X211" s="59">
        <f t="shared" ca="1" si="140"/>
        <v>204501147.66171184</v>
      </c>
      <c r="Y211" s="43">
        <f ca="1">X211-'Paid Bootstrap'!AS258</f>
        <v>36245452.731711835</v>
      </c>
      <c r="AB211" s="41">
        <f>+AB210+12</f>
        <v>384</v>
      </c>
      <c r="AC211" s="36"/>
      <c r="AD211" s="35">
        <f t="shared" si="152"/>
        <v>5.9506425525877269</v>
      </c>
      <c r="AE211" s="36"/>
      <c r="AF211" s="35"/>
      <c r="AG211" s="35">
        <f t="shared" ca="1" si="125"/>
        <v>1.0007819946562007</v>
      </c>
      <c r="AH211" s="35">
        <f t="shared" ca="1" si="126"/>
        <v>1.0000349674451665</v>
      </c>
      <c r="AI211" s="35">
        <f t="shared" ca="1" si="127"/>
        <v>1.0000345832711885</v>
      </c>
      <c r="AJ211" s="37">
        <f t="shared" ca="1" si="143"/>
        <v>1.000066014318495</v>
      </c>
    </row>
    <row r="212" spans="1:36" x14ac:dyDescent="0.25">
      <c r="A212" s="17">
        <f t="shared" si="141"/>
        <v>2010</v>
      </c>
      <c r="B212" s="56">
        <f ca="1">SUM($B189:B189)</f>
        <v>70611993.979695365</v>
      </c>
      <c r="C212" s="58">
        <f ca="1">SUM($B189:C189)</f>
        <v>113472978.06622094</v>
      </c>
      <c r="D212" s="58">
        <f ca="1">SUM($B189:D189)</f>
        <v>134874550.44464397</v>
      </c>
      <c r="E212" s="58">
        <f ca="1">SUM($B189:E189)</f>
        <v>146872814.72304884</v>
      </c>
      <c r="F212" s="58">
        <f ca="1">SUM($B189:F189)</f>
        <v>155259149.75104353</v>
      </c>
      <c r="G212" s="58">
        <f ca="1">SUM($B189:G189)</f>
        <v>161472295.81654942</v>
      </c>
      <c r="H212" s="105">
        <f t="shared" ref="H212:U212" ca="1" si="155">G212*G$242</f>
        <v>165604307.3313219</v>
      </c>
      <c r="I212" s="105">
        <f t="shared" ca="1" si="155"/>
        <v>168665923.51773024</v>
      </c>
      <c r="J212" s="105">
        <f t="shared" ca="1" si="155"/>
        <v>170800546.08677271</v>
      </c>
      <c r="K212" s="105">
        <f t="shared" ca="1" si="155"/>
        <v>172798300.88078815</v>
      </c>
      <c r="L212" s="105">
        <f t="shared" ca="1" si="155"/>
        <v>173715787.60535505</v>
      </c>
      <c r="M212" s="105">
        <f t="shared" ca="1" si="155"/>
        <v>174954422.88202581</v>
      </c>
      <c r="N212" s="105">
        <f t="shared" ca="1" si="155"/>
        <v>175881389.97387806</v>
      </c>
      <c r="O212" s="105">
        <f t="shared" ca="1" si="146"/>
        <v>176511791.25104797</v>
      </c>
      <c r="P212" s="105">
        <f t="shared" ca="1" si="145"/>
        <v>176973935.94700196</v>
      </c>
      <c r="Q212" s="105">
        <f t="shared" ca="1" si="155"/>
        <v>177474899.89044246</v>
      </c>
      <c r="R212" s="105">
        <f t="shared" ca="1" si="155"/>
        <v>178334013.74732068</v>
      </c>
      <c r="S212" s="105">
        <f t="shared" ca="1" si="155"/>
        <v>178540592.70946926</v>
      </c>
      <c r="T212" s="105">
        <f t="shared" ca="1" si="155"/>
        <v>179072156.52796903</v>
      </c>
      <c r="U212" s="105">
        <f t="shared" ca="1" si="155"/>
        <v>179875469.86618125</v>
      </c>
      <c r="X212" s="59">
        <f t="shared" ca="1" si="140"/>
        <v>180307308.52290243</v>
      </c>
      <c r="Y212" s="43">
        <f ca="1">X212-'Paid Bootstrap'!AS259</f>
        <v>32691556.922902405</v>
      </c>
      <c r="AB212" s="41">
        <f t="shared" si="151"/>
        <v>396</v>
      </c>
      <c r="AC212" s="36"/>
      <c r="AD212" s="35">
        <f t="shared" si="152"/>
        <v>5.9814142112544806</v>
      </c>
      <c r="AE212" s="36"/>
      <c r="AF212" s="35"/>
      <c r="AG212" s="35">
        <f t="shared" ca="1" si="125"/>
        <v>1.0007356570614006</v>
      </c>
      <c r="AH212" s="35">
        <f t="shared" ca="1" si="126"/>
        <v>1.0000267699452439</v>
      </c>
      <c r="AI212" s="35">
        <f t="shared" ca="1" si="127"/>
        <v>1.0000282220203907</v>
      </c>
      <c r="AJ212" s="37">
        <f t="shared" ca="1" si="143"/>
        <v>1.0000509876800483</v>
      </c>
    </row>
    <row r="213" spans="1:36" x14ac:dyDescent="0.25">
      <c r="A213" s="17">
        <f t="shared" si="141"/>
        <v>2011</v>
      </c>
      <c r="B213" s="56">
        <f ca="1">SUM($B190:B190)</f>
        <v>69827180.950153783</v>
      </c>
      <c r="C213" s="58">
        <f ca="1">SUM($B190:C190)</f>
        <v>111168055.4809868</v>
      </c>
      <c r="D213" s="58">
        <f ca="1">SUM($B190:D190)</f>
        <v>131284511.28235441</v>
      </c>
      <c r="E213" s="58">
        <f ca="1">SUM($B190:E190)</f>
        <v>142563426.01215833</v>
      </c>
      <c r="F213" s="58">
        <f ca="1">SUM($B190:F190)</f>
        <v>150788437.2032676</v>
      </c>
      <c r="G213" s="105">
        <f t="shared" ref="G213:U213" ca="1" si="156">F213*F$242</f>
        <v>156851997.64866981</v>
      </c>
      <c r="H213" s="105">
        <f t="shared" ca="1" si="156"/>
        <v>160865777.57990766</v>
      </c>
      <c r="I213" s="105">
        <f t="shared" ca="1" si="156"/>
        <v>163839790.00998566</v>
      </c>
      <c r="J213" s="105">
        <f t="shared" ca="1" si="156"/>
        <v>165913333.41560268</v>
      </c>
      <c r="K213" s="105">
        <f t="shared" ca="1" si="156"/>
        <v>167853925.32128495</v>
      </c>
      <c r="L213" s="105">
        <f t="shared" ca="1" si="156"/>
        <v>168745159.47905001</v>
      </c>
      <c r="M213" s="105">
        <f t="shared" ca="1" si="156"/>
        <v>169948352.98367849</v>
      </c>
      <c r="N213" s="105">
        <f t="shared" ca="1" si="156"/>
        <v>170848796.24161538</v>
      </c>
      <c r="O213" s="105">
        <f t="shared" ca="1" si="146"/>
        <v>171461159.49033463</v>
      </c>
      <c r="P213" s="105">
        <f t="shared" ca="1" si="145"/>
        <v>171910080.57860276</v>
      </c>
      <c r="Q213" s="105">
        <f t="shared" ca="1" si="156"/>
        <v>172396710.15726355</v>
      </c>
      <c r="R213" s="105">
        <f t="shared" ca="1" si="156"/>
        <v>173231241.70323285</v>
      </c>
      <c r="S213" s="105">
        <f t="shared" ca="1" si="156"/>
        <v>173431909.70464659</v>
      </c>
      <c r="T213" s="105">
        <f t="shared" ca="1" si="156"/>
        <v>173948263.58682689</v>
      </c>
      <c r="U213" s="105">
        <f t="shared" ca="1" si="156"/>
        <v>174728591.26594505</v>
      </c>
      <c r="X213" s="59">
        <f t="shared" ca="1" si="140"/>
        <v>178475441.68212751</v>
      </c>
      <c r="Y213" s="43">
        <f ca="1">X213-'Paid Bootstrap'!AS260</f>
        <v>47694406.742127508</v>
      </c>
      <c r="AB213" s="41">
        <f t="shared" si="151"/>
        <v>408</v>
      </c>
      <c r="AC213" s="36"/>
      <c r="AD213" s="35">
        <f t="shared" si="152"/>
        <v>6.0112671744041615</v>
      </c>
      <c r="AE213" s="36"/>
      <c r="AF213" s="35"/>
      <c r="AG213" s="35">
        <f t="shared" ca="1" si="125"/>
        <v>1.0006933284829791</v>
      </c>
      <c r="AH213" s="35">
        <f t="shared" ca="1" si="126"/>
        <v>1.0000204942043935</v>
      </c>
      <c r="AI213" s="35">
        <f t="shared" ca="1" si="127"/>
        <v>1.000023082198104</v>
      </c>
      <c r="AJ213" s="37">
        <f t="shared" ca="1" si="143"/>
        <v>1.0000389687515452</v>
      </c>
    </row>
    <row r="214" spans="1:36" x14ac:dyDescent="0.25">
      <c r="A214" s="17">
        <f t="shared" si="141"/>
        <v>2012</v>
      </c>
      <c r="B214" s="56">
        <f ca="1">SUM($B191:B191)</f>
        <v>71408874.094043732</v>
      </c>
      <c r="C214" s="58">
        <f ca="1">SUM($B191:C191)</f>
        <v>115189968.61555055</v>
      </c>
      <c r="D214" s="58">
        <f ca="1">SUM($B191:D191)</f>
        <v>136999698.30706286</v>
      </c>
      <c r="E214" s="58">
        <f ca="1">SUM($B191:E191)</f>
        <v>148980759.75546795</v>
      </c>
      <c r="F214" s="105">
        <f t="shared" ref="F214:U214" ca="1" si="157">E214*E$242</f>
        <v>157488232.08982828</v>
      </c>
      <c r="G214" s="105">
        <f t="shared" ca="1" si="157"/>
        <v>163821207.16688222</v>
      </c>
      <c r="H214" s="105">
        <f t="shared" ca="1" si="157"/>
        <v>168013326.38432699</v>
      </c>
      <c r="I214" s="105">
        <f t="shared" ca="1" si="157"/>
        <v>171119479.40582678</v>
      </c>
      <c r="J214" s="105">
        <f t="shared" ca="1" si="157"/>
        <v>173285153.98385784</v>
      </c>
      <c r="K214" s="105">
        <f t="shared" ca="1" si="157"/>
        <v>175311969.79349279</v>
      </c>
      <c r="L214" s="105">
        <f t="shared" ca="1" si="157"/>
        <v>176242803.04893187</v>
      </c>
      <c r="M214" s="105">
        <f t="shared" ca="1" si="157"/>
        <v>177499456.55247912</v>
      </c>
      <c r="N214" s="105">
        <f t="shared" ca="1" si="157"/>
        <v>178439908.0845719</v>
      </c>
      <c r="O214" s="105">
        <f t="shared" ca="1" si="146"/>
        <v>179079479.70708013</v>
      </c>
      <c r="P214" s="105">
        <f t="shared" ca="1" si="145"/>
        <v>179548347.14712054</v>
      </c>
      <c r="Q214" s="105">
        <f t="shared" ca="1" si="157"/>
        <v>180056598.53195712</v>
      </c>
      <c r="R214" s="105">
        <f t="shared" ca="1" si="157"/>
        <v>180928209.77904981</v>
      </c>
      <c r="S214" s="105">
        <f t="shared" ca="1" si="157"/>
        <v>181137793.81192261</v>
      </c>
      <c r="T214" s="105">
        <f t="shared" ca="1" si="157"/>
        <v>181677090.20324787</v>
      </c>
      <c r="U214" s="105">
        <f t="shared" ca="1" si="157"/>
        <v>182492089.21056178</v>
      </c>
      <c r="X214" s="59">
        <f t="shared" ca="1" si="140"/>
        <v>184531596.51955333</v>
      </c>
      <c r="Y214" s="43">
        <f ca="1">X214-'Paid Bootstrap'!AS261</f>
        <v>56258802.749553338</v>
      </c>
      <c r="AB214" s="41">
        <f t="shared" si="151"/>
        <v>420</v>
      </c>
      <c r="AC214" s="36"/>
      <c r="AD214" s="35">
        <f t="shared" si="152"/>
        <v>6.0402547112774139</v>
      </c>
      <c r="AE214" s="36"/>
      <c r="AF214" s="35"/>
      <c r="AG214" s="35">
        <f t="shared" ca="1" si="125"/>
        <v>1.0006545589473259</v>
      </c>
      <c r="AH214" s="35">
        <f t="shared" ca="1" si="126"/>
        <v>1.0000156897001431</v>
      </c>
      <c r="AI214" s="35">
        <f t="shared" ca="1" si="127"/>
        <v>1.0000189188439579</v>
      </c>
      <c r="AJ214" s="37">
        <f t="shared" ca="1" si="143"/>
        <v>1.0000315417952355</v>
      </c>
    </row>
    <row r="215" spans="1:36" x14ac:dyDescent="0.25">
      <c r="A215" s="17">
        <f t="shared" si="141"/>
        <v>2013</v>
      </c>
      <c r="B215" s="56">
        <f ca="1">SUM($B192:B192)</f>
        <v>68346020.918078348</v>
      </c>
      <c r="C215" s="58">
        <f ca="1">SUM($B192:C192)</f>
        <v>110466153.46376804</v>
      </c>
      <c r="D215" s="58">
        <f ca="1">SUM($B192:D192)</f>
        <v>131983203.73582268</v>
      </c>
      <c r="E215" s="105">
        <f t="shared" ref="E215:U215" ca="1" si="158">D215*D$242</f>
        <v>143871596.50643384</v>
      </c>
      <c r="F215" s="105">
        <f t="shared" ca="1" si="158"/>
        <v>152087312.60955846</v>
      </c>
      <c r="G215" s="105">
        <f t="shared" ca="1" si="158"/>
        <v>158203103.91352758</v>
      </c>
      <c r="H215" s="105">
        <f t="shared" ca="1" si="158"/>
        <v>162251458.11409035</v>
      </c>
      <c r="I215" s="105">
        <f t="shared" ca="1" si="158"/>
        <v>165251088.36788931</v>
      </c>
      <c r="J215" s="105">
        <f t="shared" ca="1" si="158"/>
        <v>167342493.05374366</v>
      </c>
      <c r="K215" s="105">
        <f t="shared" ca="1" si="158"/>
        <v>169299801.00971922</v>
      </c>
      <c r="L215" s="105">
        <f t="shared" ca="1" si="158"/>
        <v>170198712.16281787</v>
      </c>
      <c r="M215" s="105">
        <f t="shared" ca="1" si="158"/>
        <v>171412269.84709537</v>
      </c>
      <c r="N215" s="105">
        <f t="shared" ca="1" si="158"/>
        <v>172320469.42656586</v>
      </c>
      <c r="O215" s="105">
        <f t="shared" ca="1" si="146"/>
        <v>172938107.50655353</v>
      </c>
      <c r="P215" s="105">
        <f t="shared" ca="1" si="145"/>
        <v>173390895.55287051</v>
      </c>
      <c r="Q215" s="105">
        <f t="shared" ca="1" si="158"/>
        <v>173881716.90646723</v>
      </c>
      <c r="R215" s="105">
        <f t="shared" ca="1" si="158"/>
        <v>174723437.0175609</v>
      </c>
      <c r="S215" s="105">
        <f t="shared" ca="1" si="158"/>
        <v>174925833.55159092</v>
      </c>
      <c r="T215" s="105">
        <f t="shared" ca="1" si="158"/>
        <v>175446635.25066587</v>
      </c>
      <c r="U215" s="105">
        <f t="shared" ca="1" si="158"/>
        <v>176233684.58861977</v>
      </c>
      <c r="X215" s="59">
        <f t="shared" ca="1" si="140"/>
        <v>176880870.45458347</v>
      </c>
      <c r="Y215" s="43">
        <f ca="1">X215-'Paid Bootstrap'!AS262</f>
        <v>72156514.944583476</v>
      </c>
      <c r="AB215" s="41">
        <f t="shared" si="151"/>
        <v>432</v>
      </c>
      <c r="AC215" s="36"/>
      <c r="AD215" s="35">
        <f t="shared" si="152"/>
        <v>6.0684255882441107</v>
      </c>
      <c r="AE215" s="36"/>
      <c r="AF215" s="35"/>
      <c r="AG215" s="35">
        <f t="shared" ca="1" si="125"/>
        <v>1.0006189599251858</v>
      </c>
      <c r="AH215" s="35">
        <f t="shared" ca="1" si="126"/>
        <v>1.0000120115270568</v>
      </c>
      <c r="AI215" s="35">
        <f t="shared" ca="1" si="127"/>
        <v>1.0000155383301388</v>
      </c>
      <c r="AJ215" s="37">
        <f t="shared" ca="1" si="143"/>
        <v>1.0000212939337421</v>
      </c>
    </row>
    <row r="216" spans="1:36" x14ac:dyDescent="0.25">
      <c r="A216" s="17">
        <f t="shared" si="141"/>
        <v>2014</v>
      </c>
      <c r="B216" s="56">
        <f ca="1">SUM($B193:B193)</f>
        <v>71554744.200233221</v>
      </c>
      <c r="C216" s="58">
        <f ca="1">SUM($B193:C193)</f>
        <v>114048056.18118499</v>
      </c>
      <c r="D216" s="105">
        <f t="shared" ref="D216:U216" ca="1" si="159">C216*C$242</f>
        <v>135433653.45654908</v>
      </c>
      <c r="E216" s="105">
        <f t="shared" ca="1" si="159"/>
        <v>147632845.63461626</v>
      </c>
      <c r="F216" s="105">
        <f t="shared" ca="1" si="159"/>
        <v>156063346.00218666</v>
      </c>
      <c r="G216" s="105">
        <f t="shared" ca="1" si="159"/>
        <v>162339023.03251714</v>
      </c>
      <c r="H216" s="105">
        <f t="shared" ca="1" si="159"/>
        <v>166493213.75034383</v>
      </c>
      <c r="I216" s="105">
        <f t="shared" ca="1" si="159"/>
        <v>169571263.62935677</v>
      </c>
      <c r="J216" s="105">
        <f t="shared" ca="1" si="159"/>
        <v>171717344.11114553</v>
      </c>
      <c r="K216" s="105">
        <f t="shared" ca="1" si="159"/>
        <v>173725822.15921545</v>
      </c>
      <c r="L216" s="105">
        <f t="shared" ca="1" si="159"/>
        <v>174648233.63394117</v>
      </c>
      <c r="M216" s="105">
        <f t="shared" ca="1" si="159"/>
        <v>175893517.47468615</v>
      </c>
      <c r="N216" s="105">
        <f t="shared" ca="1" si="159"/>
        <v>176825460.20401698</v>
      </c>
      <c r="O216" s="105">
        <f t="shared" ca="1" si="146"/>
        <v>177459245.2563487</v>
      </c>
      <c r="P216" s="105">
        <f t="shared" ca="1" si="145"/>
        <v>177923870.58456022</v>
      </c>
      <c r="Q216" s="105">
        <f t="shared" ca="1" si="159"/>
        <v>178427523.52849954</v>
      </c>
      <c r="R216" s="105">
        <f t="shared" ca="1" si="159"/>
        <v>179291248.81025162</v>
      </c>
      <c r="S216" s="105">
        <f t="shared" ca="1" si="159"/>
        <v>179498936.61653867</v>
      </c>
      <c r="T216" s="105">
        <f t="shared" ca="1" si="159"/>
        <v>180033353.6850414</v>
      </c>
      <c r="U216" s="105">
        <f t="shared" ca="1" si="159"/>
        <v>180840978.93031889</v>
      </c>
      <c r="X216" s="59">
        <f t="shared" ca="1" si="140"/>
        <v>182862033.65049374</v>
      </c>
      <c r="Y216" s="43">
        <f ca="1">X216-'Paid Bootstrap'!AS263</f>
        <v>103107433.89049374</v>
      </c>
      <c r="AB216" s="41">
        <f t="shared" si="151"/>
        <v>444</v>
      </c>
      <c r="AC216" s="36"/>
      <c r="AD216" s="35">
        <f t="shared" si="152"/>
        <v>6.0958245624322247</v>
      </c>
      <c r="AE216" s="36"/>
      <c r="AF216" s="35"/>
      <c r="AG216" s="35">
        <f t="shared" ca="1" si="125"/>
        <v>1.000586194527429</v>
      </c>
      <c r="AH216" s="35">
        <f t="shared" ca="1" si="126"/>
        <v>1.0000091956366866</v>
      </c>
      <c r="AI216" s="35">
        <f t="shared" ca="1" si="127"/>
        <v>1.000012787119668</v>
      </c>
      <c r="AJ216" s="37">
        <f t="shared" ca="1" si="143"/>
        <v>1.0000184194693045</v>
      </c>
    </row>
    <row r="217" spans="1:36" x14ac:dyDescent="0.25">
      <c r="A217" s="17">
        <f>A216+1</f>
        <v>2015</v>
      </c>
      <c r="B217" s="56">
        <f ca="1">SUM($B194:B194)</f>
        <v>59114272.044703916</v>
      </c>
      <c r="C217" s="105">
        <f t="shared" ref="C217:U217" ca="1" si="160">B217*B$242</f>
        <v>95519947.245799452</v>
      </c>
      <c r="D217" s="105">
        <f t="shared" ca="1" si="160"/>
        <v>113431266.31569597</v>
      </c>
      <c r="E217" s="105">
        <f t="shared" ca="1" si="160"/>
        <v>123648592.52280922</v>
      </c>
      <c r="F217" s="105">
        <f t="shared" ca="1" si="160"/>
        <v>130709484.0217988</v>
      </c>
      <c r="G217" s="105">
        <f t="shared" ca="1" si="160"/>
        <v>135965622.17040968</v>
      </c>
      <c r="H217" s="105">
        <f t="shared" ca="1" si="160"/>
        <v>139444928.10075712</v>
      </c>
      <c r="I217" s="105">
        <f t="shared" ca="1" si="160"/>
        <v>142022921.72825184</v>
      </c>
      <c r="J217" s="105">
        <f t="shared" ca="1" si="160"/>
        <v>143820352.57687616</v>
      </c>
      <c r="K217" s="105">
        <f t="shared" ca="1" si="160"/>
        <v>145502535.71633449</v>
      </c>
      <c r="L217" s="105">
        <f t="shared" ca="1" si="160"/>
        <v>146275093.34120753</v>
      </c>
      <c r="M217" s="105">
        <f t="shared" ca="1" si="160"/>
        <v>147318069.87896663</v>
      </c>
      <c r="N217" s="105">
        <f t="shared" ca="1" si="160"/>
        <v>148098610.32237729</v>
      </c>
      <c r="O217" s="105">
        <f t="shared" ca="1" si="146"/>
        <v>148629431.4235079</v>
      </c>
      <c r="P217" s="105">
        <f t="shared" ca="1" si="145"/>
        <v>149018574.2842097</v>
      </c>
      <c r="Q217" s="105">
        <f t="shared" ca="1" si="160"/>
        <v>149440404.38150525</v>
      </c>
      <c r="R217" s="105">
        <f t="shared" ca="1" si="160"/>
        <v>150163809.90116403</v>
      </c>
      <c r="S217" s="105">
        <f t="shared" ca="1" si="160"/>
        <v>150337756.99824229</v>
      </c>
      <c r="T217" s="105">
        <f t="shared" ca="1" si="160"/>
        <v>150785353.31772307</v>
      </c>
      <c r="U217" s="105">
        <f t="shared" ca="1" si="160"/>
        <v>151461772.74481726</v>
      </c>
      <c r="X217" s="59">
        <f t="shared" ca="1" si="140"/>
        <v>153154489.36547828</v>
      </c>
      <c r="Y217" s="43">
        <f ca="1">X217-'Paid Bootstrap'!AS264</f>
        <v>124081151.79547828</v>
      </c>
      <c r="AB217" s="41">
        <f t="shared" si="151"/>
        <v>456</v>
      </c>
      <c r="AC217" s="36"/>
      <c r="AD217" s="35">
        <f t="shared" si="152"/>
        <v>6.1224928095143865</v>
      </c>
      <c r="AE217" s="36"/>
      <c r="AF217" s="35"/>
      <c r="AG217" s="35">
        <f t="shared" ca="1" si="125"/>
        <v>1.0005559694790847</v>
      </c>
      <c r="AH217" s="35">
        <f t="shared" ca="1" si="126"/>
        <v>1.0000070398820791</v>
      </c>
      <c r="AI217" s="35">
        <f t="shared" ca="1" si="127"/>
        <v>1.0000105430973938</v>
      </c>
      <c r="AJ217" s="37">
        <f t="shared" ca="1" si="143"/>
        <v>1.0000161324568404</v>
      </c>
    </row>
    <row r="218" spans="1:36" x14ac:dyDescent="0.25">
      <c r="A218" s="1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Z218" s="7"/>
      <c r="AB218" s="41">
        <f>+AB217+12</f>
        <v>468</v>
      </c>
      <c r="AC218" s="36"/>
      <c r="AD218" s="35">
        <f>LN(AB218)</f>
        <v>6.1484682959176471</v>
      </c>
      <c r="AE218" s="36"/>
      <c r="AF218" s="35"/>
      <c r="AG218" s="35">
        <f t="shared" ca="1" si="125"/>
        <v>1.0005280285122742</v>
      </c>
      <c r="AH218" s="35">
        <f t="shared" ca="1" si="126"/>
        <v>1.0000053895060643</v>
      </c>
      <c r="AI218" s="35">
        <f t="shared" ca="1" si="127"/>
        <v>1.0000087088585996</v>
      </c>
      <c r="AJ218" s="37">
        <f t="shared" ca="1" si="143"/>
        <v>1.0000121469049943</v>
      </c>
    </row>
    <row r="219" spans="1:36" x14ac:dyDescent="0.25">
      <c r="A219" s="17"/>
      <c r="S219" s="7"/>
      <c r="T219" s="7"/>
      <c r="U219" s="7"/>
      <c r="V219" s="7"/>
      <c r="W219" s="7"/>
      <c r="X219" s="11">
        <f ca="1">SUM(X198:X217)</f>
        <v>12596512084.617231</v>
      </c>
      <c r="Y219" s="11" t="e">
        <f ca="1">_xll.RiskOutput("Inc TNR")+SUM(Y198:Y217)</f>
        <v>#NAME?</v>
      </c>
      <c r="Z219" s="7"/>
      <c r="AB219" s="100">
        <f>+AB218+12</f>
        <v>480</v>
      </c>
      <c r="AC219" s="101"/>
      <c r="AD219" s="102">
        <f>LN(AB219)</f>
        <v>6.1737861039019366</v>
      </c>
      <c r="AE219" s="101"/>
      <c r="AF219" s="102"/>
      <c r="AG219" s="102">
        <f t="shared" ca="1" si="125"/>
        <v>1.0005021468983828</v>
      </c>
      <c r="AH219" s="102">
        <f t="shared" ca="1" si="126"/>
        <v>1.0000041260315573</v>
      </c>
      <c r="AI219" s="102">
        <f t="shared" ca="1" si="127"/>
        <v>1.0000072064936802</v>
      </c>
      <c r="AJ219" s="103">
        <f t="shared" ca="1" si="143"/>
        <v>1.0000087665343633</v>
      </c>
    </row>
    <row r="220" spans="1:36" x14ac:dyDescent="0.25">
      <c r="A220" s="7" t="s">
        <v>122</v>
      </c>
      <c r="C220" s="7"/>
      <c r="D220" s="7"/>
      <c r="E220" s="7"/>
      <c r="F220" s="7"/>
      <c r="G220" s="7"/>
      <c r="H220" s="7"/>
      <c r="I220" s="7"/>
      <c r="J220" s="7"/>
      <c r="K220" s="7"/>
      <c r="L220" s="19"/>
      <c r="M220" s="19"/>
      <c r="N220" s="19"/>
      <c r="O220" s="7"/>
      <c r="P220" s="7"/>
      <c r="Q220" s="7"/>
      <c r="R220" s="7"/>
      <c r="S220" s="7"/>
      <c r="T220" s="7"/>
      <c r="U220" s="10"/>
      <c r="V220" s="10"/>
      <c r="W220" s="10"/>
      <c r="X220" s="10"/>
      <c r="Y220" s="10"/>
      <c r="Z220" s="10"/>
    </row>
    <row r="221" spans="1:36" x14ac:dyDescent="0.25">
      <c r="A221" s="15" t="s">
        <v>72</v>
      </c>
      <c r="B221" s="20" t="str">
        <f t="shared" ref="B221:T221" si="161">B197&amp;"-"&amp;C197</f>
        <v>12-24</v>
      </c>
      <c r="C221" s="20" t="str">
        <f t="shared" si="161"/>
        <v>24-36</v>
      </c>
      <c r="D221" s="20" t="str">
        <f t="shared" si="161"/>
        <v>36-48</v>
      </c>
      <c r="E221" s="20" t="str">
        <f t="shared" si="161"/>
        <v>48-60</v>
      </c>
      <c r="F221" s="20" t="str">
        <f t="shared" si="161"/>
        <v>60-72</v>
      </c>
      <c r="G221" s="20" t="str">
        <f t="shared" si="161"/>
        <v>72-84</v>
      </c>
      <c r="H221" s="20" t="str">
        <f t="shared" si="161"/>
        <v>84-96</v>
      </c>
      <c r="I221" s="20" t="str">
        <f t="shared" si="161"/>
        <v>96-108</v>
      </c>
      <c r="J221" s="20" t="str">
        <f t="shared" si="161"/>
        <v>108-120</v>
      </c>
      <c r="K221" s="20" t="str">
        <f t="shared" si="161"/>
        <v>120-132</v>
      </c>
      <c r="L221" s="20" t="str">
        <f t="shared" si="161"/>
        <v>132-144</v>
      </c>
      <c r="M221" s="20" t="str">
        <f t="shared" si="161"/>
        <v>144-156</v>
      </c>
      <c r="N221" s="20" t="str">
        <f t="shared" si="161"/>
        <v>156-168</v>
      </c>
      <c r="O221" s="20" t="str">
        <f t="shared" si="161"/>
        <v>168-180</v>
      </c>
      <c r="P221" s="20" t="str">
        <f t="shared" si="161"/>
        <v>180-192</v>
      </c>
      <c r="Q221" s="20" t="str">
        <f t="shared" si="161"/>
        <v>192-204</v>
      </c>
      <c r="R221" s="20" t="str">
        <f t="shared" si="161"/>
        <v>204-216</v>
      </c>
      <c r="S221" s="20" t="str">
        <f t="shared" si="161"/>
        <v>216-228</v>
      </c>
      <c r="T221" s="20" t="str">
        <f t="shared" si="161"/>
        <v>228-240</v>
      </c>
      <c r="U221" s="88" t="str">
        <f>U8&amp;"-Ult"</f>
        <v>240-Ult</v>
      </c>
      <c r="V221" s="10"/>
      <c r="W221" s="10"/>
      <c r="AB221" s="7"/>
    </row>
    <row r="222" spans="1:36" x14ac:dyDescent="0.25">
      <c r="A222" s="17">
        <f>+A198</f>
        <v>1996</v>
      </c>
      <c r="B222" s="78">
        <f ca="1">IF(ISERROR(C198/B198),B$53,C198/B198)</f>
        <v>1.6072029840870259</v>
      </c>
      <c r="C222" s="78">
        <f t="shared" ref="C222:C235" ca="1" si="162">IF(ISERROR(D198/C198),C$53,D198/C198)</f>
        <v>1.1842107119098626</v>
      </c>
      <c r="D222" s="21">
        <f t="shared" ref="D222:D235" ca="1" si="163">IF(ISERROR(E198/D198),D$53,E198/D198)</f>
        <v>1.0895883394257333</v>
      </c>
      <c r="E222" s="21">
        <f t="shared" ref="E222:E235" ca="1" si="164">IF(ISERROR(F198/E198),E$53,F198/E198)</f>
        <v>1.0562913170632859</v>
      </c>
      <c r="F222" s="21">
        <f t="shared" ref="F222:F235" ca="1" si="165">IF(ISERROR(G198/F198),F$53,G198/F198)</f>
        <v>1.0408330587639538</v>
      </c>
      <c r="G222" s="21">
        <f t="shared" ref="G222:G235" ca="1" si="166">IF(ISERROR(H198/G198),G$53,H198/G198)</f>
        <v>1.0253040834677529</v>
      </c>
      <c r="H222" s="21">
        <f t="shared" ref="H222:H234" ca="1" si="167">IF(ISERROR(I198/H198),H$53,I198/H198)</f>
        <v>1.018821046654379</v>
      </c>
      <c r="I222" s="21">
        <f t="shared" ref="I222:I233" ca="1" si="168">IF(ISERROR(J198/I198),I$53,J198/I198)</f>
        <v>1.0123490271415907</v>
      </c>
      <c r="J222" s="21">
        <f t="shared" ref="J222:J232" ca="1" si="169">IF(ISERROR(K198/J198),J$53,K198/J198)</f>
        <v>1.0114319539813976</v>
      </c>
      <c r="K222" s="21">
        <f t="shared" ref="K222:K231" ca="1" si="170">IF(ISERROR(L198/K198),K$53,L198/K198)</f>
        <v>1.0048008919553018</v>
      </c>
      <c r="L222" s="21">
        <f t="shared" ref="L222:L230" ca="1" si="171">IF(ISERROR(M198/L198),L$53,M198/L198)</f>
        <v>1.0080028951743165</v>
      </c>
      <c r="M222" s="21">
        <f t="shared" ref="M222:M229" ca="1" si="172">IF(ISERROR(N198/M198),M$53,N198/M198)</f>
        <v>1.0053890842572983</v>
      </c>
      <c r="N222" s="21">
        <f t="shared" ref="N222:N228" ca="1" si="173">IF(ISERROR(O198/N198),N$53,O198/N198)</f>
        <v>1.0036852994693644</v>
      </c>
      <c r="O222" s="21">
        <f t="shared" ref="O222:O227" ca="1" si="174">IF(ISERROR(P198/O198),O$53,P198/O198)</f>
        <v>1.002855272007938</v>
      </c>
      <c r="P222" s="21">
        <f ca="1">IF(ISERROR(Q198/P198),P$53,Q198/P198)</f>
        <v>1.0027071908069183</v>
      </c>
      <c r="Q222" s="21">
        <f ca="1">IF(ISERROR(R198/Q198),Q$53,R198/Q198)</f>
        <v>1.0046169549631037</v>
      </c>
      <c r="R222" s="21">
        <f ca="1">IF(ISERROR(S198/R198),R$53,S198/R198)</f>
        <v>1.0012370711248206</v>
      </c>
      <c r="S222" s="21">
        <f ca="1">IF(ISERROR(T198/S198),S$53,T198/S198)</f>
        <v>1.0030049150526437</v>
      </c>
      <c r="T222" s="21">
        <f ca="1">IF(ISERROR(U198/T198),T$53,U198/T198)</f>
        <v>1.0044859756747653</v>
      </c>
      <c r="U222" s="87"/>
      <c r="V222" s="7"/>
      <c r="W222" s="7"/>
      <c r="Z222" s="7"/>
      <c r="AA222" s="7"/>
      <c r="AB222" s="7"/>
    </row>
    <row r="223" spans="1:36" x14ac:dyDescent="0.25">
      <c r="A223" s="17">
        <f>+A199</f>
        <v>1997</v>
      </c>
      <c r="B223" s="78">
        <f ca="1">IF(ISERROR(C199/B199),B$53,C199/B199)</f>
        <v>1.6089716008624948</v>
      </c>
      <c r="C223" s="78">
        <f t="shared" ca="1" si="162"/>
        <v>1.1859823496719863</v>
      </c>
      <c r="D223" s="21">
        <f t="shared" ca="1" si="163"/>
        <v>1.0905782036935656</v>
      </c>
      <c r="E223" s="21">
        <f t="shared" ca="1" si="164"/>
        <v>1.0558209078648888</v>
      </c>
      <c r="F223" s="21">
        <f t="shared" ca="1" si="165"/>
        <v>1.0404610518364594</v>
      </c>
      <c r="G223" s="21">
        <f t="shared" ca="1" si="166"/>
        <v>1.0246249236309259</v>
      </c>
      <c r="H223" s="21">
        <f t="shared" ca="1" si="167"/>
        <v>1.0176554318423461</v>
      </c>
      <c r="I223" s="21">
        <f t="shared" ca="1" si="168"/>
        <v>1.0130086855905436</v>
      </c>
      <c r="J223" s="21">
        <f t="shared" ca="1" si="169"/>
        <v>1.0123149189974536</v>
      </c>
      <c r="K223" s="21">
        <f t="shared" ca="1" si="170"/>
        <v>1.0056236546817281</v>
      </c>
      <c r="L223" s="21">
        <f t="shared" ca="1" si="171"/>
        <v>1.0068312913322437</v>
      </c>
      <c r="M223" s="21">
        <f t="shared" ca="1" si="172"/>
        <v>1.0053129441399418</v>
      </c>
      <c r="N223" s="21">
        <f t="shared" ca="1" si="173"/>
        <v>1.0041478708692761</v>
      </c>
      <c r="O223" s="21">
        <f t="shared" ca="1" si="174"/>
        <v>1.0024072127793628</v>
      </c>
      <c r="P223" s="21">
        <f ca="1">IF(ISERROR(Q199/P199),P$53,Q199/P199)</f>
        <v>1.0027424835678451</v>
      </c>
      <c r="Q223" s="21">
        <f ca="1">IF(ISERROR(R199/Q199),Q$53,R199/Q199)</f>
        <v>1.0051548989728665</v>
      </c>
      <c r="R223" s="21">
        <f ca="1">IF(ISERROR(S199/R199),R$53,S199/R199)</f>
        <v>1.0010225757037754</v>
      </c>
      <c r="S223" s="21">
        <f ca="1">IF(ISERROR(T199/S199),S$53,T199/S199)</f>
        <v>1.002953537971035</v>
      </c>
      <c r="T223" s="22"/>
      <c r="U223" s="87"/>
      <c r="V223" s="7"/>
      <c r="W223" s="7"/>
      <c r="Z223" s="7"/>
      <c r="AA223" s="7"/>
      <c r="AB223" s="7"/>
    </row>
    <row r="224" spans="1:36" x14ac:dyDescent="0.25">
      <c r="A224" s="17">
        <f>+A200</f>
        <v>1998</v>
      </c>
      <c r="B224" s="21">
        <f t="shared" ref="B224:B235" ca="1" si="175">IF(ISERROR(C200/B200),B$53,C200/B200)</f>
        <v>1.6331936508473592</v>
      </c>
      <c r="C224" s="21">
        <f t="shared" ca="1" si="162"/>
        <v>1.1868060014913868</v>
      </c>
      <c r="D224" s="21">
        <f t="shared" ca="1" si="163"/>
        <v>1.0899626930294335</v>
      </c>
      <c r="E224" s="21">
        <f t="shared" ca="1" si="164"/>
        <v>1.0559634119117394</v>
      </c>
      <c r="F224" s="21">
        <f t="shared" ca="1" si="165"/>
        <v>1.0393889304144985</v>
      </c>
      <c r="G224" s="21">
        <f t="shared" ca="1" si="166"/>
        <v>1.0260921488996035</v>
      </c>
      <c r="H224" s="21">
        <f t="shared" ca="1" si="167"/>
        <v>1.0176570204152033</v>
      </c>
      <c r="I224" s="21">
        <f t="shared" ca="1" si="168"/>
        <v>1.0123252543153667</v>
      </c>
      <c r="J224" s="21">
        <f t="shared" ca="1" si="169"/>
        <v>1.011414379598061</v>
      </c>
      <c r="K224" s="21">
        <f t="shared" ca="1" si="170"/>
        <v>1.0052019307917268</v>
      </c>
      <c r="L224" s="21">
        <f t="shared" ca="1" si="171"/>
        <v>1.007105604790806</v>
      </c>
      <c r="M224" s="21">
        <f t="shared" ca="1" si="172"/>
        <v>1.005770000700394</v>
      </c>
      <c r="N224" s="21">
        <f t="shared" ca="1" si="173"/>
        <v>1.0034994421007282</v>
      </c>
      <c r="O224" s="21">
        <f t="shared" ca="1" si="174"/>
        <v>1.0027640282229466</v>
      </c>
      <c r="P224" s="21">
        <f ca="1">IF(ISERROR(Q200/P200),P$53,Q200/P200)</f>
        <v>1.0028159408580672</v>
      </c>
      <c r="Q224" s="21">
        <f ca="1">IF(ISERROR(R200/Q200),Q$53,R200/Q200)</f>
        <v>1.0047402742906861</v>
      </c>
      <c r="R224" s="21">
        <f ca="1">IF(ISERROR(S200/R200),R$53,S200/R200)</f>
        <v>1.001212778294682</v>
      </c>
      <c r="S224" s="22"/>
      <c r="T224" s="22"/>
      <c r="U224" s="87"/>
      <c r="V224" s="19"/>
      <c r="W224" s="7"/>
    </row>
    <row r="225" spans="1:23" x14ac:dyDescent="0.25">
      <c r="A225" s="17">
        <f>+A201</f>
        <v>1999</v>
      </c>
      <c r="B225" s="21">
        <f t="shared" ca="1" si="175"/>
        <v>1.610091370544479</v>
      </c>
      <c r="C225" s="21">
        <f t="shared" ca="1" si="162"/>
        <v>1.1874174958268018</v>
      </c>
      <c r="D225" s="21">
        <f t="shared" ca="1" si="163"/>
        <v>1.0894753924192462</v>
      </c>
      <c r="E225" s="21">
        <f t="shared" ca="1" si="164"/>
        <v>1.0577018034310472</v>
      </c>
      <c r="F225" s="21">
        <f t="shared" ca="1" si="165"/>
        <v>1.0404340712235807</v>
      </c>
      <c r="G225" s="21">
        <f t="shared" ca="1" si="166"/>
        <v>1.0258948907116134</v>
      </c>
      <c r="H225" s="21">
        <f t="shared" ca="1" si="167"/>
        <v>1.0181969660106436</v>
      </c>
      <c r="I225" s="21">
        <f t="shared" ca="1" si="168"/>
        <v>1.0120928673780691</v>
      </c>
      <c r="J225" s="21">
        <f t="shared" ca="1" si="169"/>
        <v>1.0118079980882426</v>
      </c>
      <c r="K225" s="21">
        <f t="shared" ca="1" si="170"/>
        <v>1.0051248526701169</v>
      </c>
      <c r="L225" s="21">
        <f t="shared" ca="1" si="171"/>
        <v>1.0069267438257856</v>
      </c>
      <c r="M225" s="21">
        <f t="shared" ca="1" si="172"/>
        <v>1.0050811723022088</v>
      </c>
      <c r="N225" s="21">
        <f t="shared" ca="1" si="173"/>
        <v>1.003520169119458</v>
      </c>
      <c r="O225" s="21">
        <f t="shared" ca="1" si="174"/>
        <v>1.0026543282897156</v>
      </c>
      <c r="P225" s="21">
        <f ca="1">IF(ISERROR(Q201/P201),P$53,Q201/P201)</f>
        <v>1.00292324440089</v>
      </c>
      <c r="Q225" s="21">
        <f ca="1">IF(ISERROR(R201/Q201),Q$53,R201/Q201)</f>
        <v>1.0048438786398515</v>
      </c>
      <c r="R225" s="22"/>
      <c r="S225" s="22"/>
      <c r="T225" s="22"/>
      <c r="U225" s="87"/>
      <c r="V225" s="19"/>
      <c r="W225" s="7"/>
    </row>
    <row r="226" spans="1:23" x14ac:dyDescent="0.25">
      <c r="A226" s="17">
        <f>+A202</f>
        <v>2000</v>
      </c>
      <c r="B226" s="21">
        <f t="shared" ca="1" si="175"/>
        <v>1.6199541535588726</v>
      </c>
      <c r="C226" s="21">
        <f t="shared" ca="1" si="162"/>
        <v>1.1876155117896965</v>
      </c>
      <c r="D226" s="21">
        <f t="shared" ca="1" si="163"/>
        <v>1.0902355211607633</v>
      </c>
      <c r="E226" s="21">
        <f t="shared" ca="1" si="164"/>
        <v>1.0560143464112293</v>
      </c>
      <c r="F226" s="21">
        <f t="shared" ca="1" si="165"/>
        <v>1.0400625555507386</v>
      </c>
      <c r="G226" s="21">
        <f t="shared" ca="1" si="166"/>
        <v>1.0254259682504983</v>
      </c>
      <c r="H226" s="21">
        <f t="shared" ca="1" si="167"/>
        <v>1.0182367276055673</v>
      </c>
      <c r="I226" s="21">
        <f t="shared" ca="1" si="168"/>
        <v>1.0132317510248687</v>
      </c>
      <c r="J226" s="21">
        <f t="shared" ca="1" si="169"/>
        <v>1.0118251305780859</v>
      </c>
      <c r="K226" s="21">
        <f t="shared" ca="1" si="170"/>
        <v>1.0054470993882276</v>
      </c>
      <c r="L226" s="21">
        <f t="shared" ca="1" si="171"/>
        <v>1.0072892952129255</v>
      </c>
      <c r="M226" s="21">
        <f t="shared" ca="1" si="172"/>
        <v>1.0050862663141835</v>
      </c>
      <c r="N226" s="21">
        <f t="shared" ca="1" si="173"/>
        <v>1.00357525957092</v>
      </c>
      <c r="O226" s="21">
        <f t="shared" ca="1" si="174"/>
        <v>1.0024346063349587</v>
      </c>
      <c r="P226" s="21">
        <f ca="1">IF(ISERROR(Q202/P202),P$53,Q202/P202)</f>
        <v>1.0029002683424471</v>
      </c>
      <c r="Q226" s="22"/>
      <c r="R226" s="22"/>
      <c r="T226" s="22"/>
      <c r="U226" s="87"/>
      <c r="V226" s="19"/>
      <c r="W226" s="7"/>
    </row>
    <row r="227" spans="1:23" x14ac:dyDescent="0.25">
      <c r="A227" s="17">
        <f t="shared" ref="A227:A240" si="176">+A203</f>
        <v>2001</v>
      </c>
      <c r="B227" s="21">
        <f t="shared" ca="1" si="175"/>
        <v>1.637196928051621</v>
      </c>
      <c r="C227" s="21">
        <f t="shared" ca="1" si="162"/>
        <v>1.1919190457484745</v>
      </c>
      <c r="D227" s="21">
        <f t="shared" ca="1" si="163"/>
        <v>1.0904518577363655</v>
      </c>
      <c r="E227" s="21">
        <f t="shared" ca="1" si="164"/>
        <v>1.0591580100761626</v>
      </c>
      <c r="F227" s="21">
        <f t="shared" ca="1" si="165"/>
        <v>1.040786319506285</v>
      </c>
      <c r="G227" s="21">
        <f t="shared" ca="1" si="166"/>
        <v>1.0264208424419505</v>
      </c>
      <c r="H227" s="21">
        <f t="shared" ca="1" si="167"/>
        <v>1.0193393673982425</v>
      </c>
      <c r="I227" s="21">
        <f t="shared" ca="1" si="168"/>
        <v>1.0129403894246596</v>
      </c>
      <c r="J227" s="21">
        <f t="shared" ca="1" si="169"/>
        <v>1.0120022186876281</v>
      </c>
      <c r="K227" s="21">
        <f t="shared" ca="1" si="170"/>
        <v>1.0055704159477943</v>
      </c>
      <c r="L227" s="21">
        <f t="shared" ca="1" si="171"/>
        <v>1.0073123512042343</v>
      </c>
      <c r="M227" s="21">
        <f t="shared" ca="1" si="172"/>
        <v>1.0048616730721318</v>
      </c>
      <c r="N227" s="21">
        <f t="shared" ca="1" si="173"/>
        <v>1.0035924337059836</v>
      </c>
      <c r="O227" s="21">
        <f t="shared" ca="1" si="174"/>
        <v>1.0026226950779018</v>
      </c>
      <c r="P227" s="22"/>
      <c r="Q227" s="22"/>
      <c r="R227" s="22"/>
      <c r="S227" s="5"/>
      <c r="T227" s="23"/>
      <c r="U227" s="87"/>
      <c r="V227" s="19"/>
      <c r="W227" s="7"/>
    </row>
    <row r="228" spans="1:23" x14ac:dyDescent="0.25">
      <c r="A228" s="17">
        <f t="shared" si="176"/>
        <v>2002</v>
      </c>
      <c r="B228" s="21">
        <f t="shared" ca="1" si="175"/>
        <v>1.605956975816156</v>
      </c>
      <c r="C228" s="21">
        <f t="shared" ca="1" si="162"/>
        <v>1.1854522438351178</v>
      </c>
      <c r="D228" s="21">
        <f t="shared" ca="1" si="163"/>
        <v>1.0890368324701836</v>
      </c>
      <c r="E228" s="21">
        <f t="shared" ca="1" si="164"/>
        <v>1.0569003481159349</v>
      </c>
      <c r="F228" s="21">
        <f t="shared" ca="1" si="165"/>
        <v>1.0396989316406529</v>
      </c>
      <c r="G228" s="21">
        <f t="shared" ca="1" si="166"/>
        <v>1.0244500903942202</v>
      </c>
      <c r="H228" s="21">
        <f t="shared" ca="1" si="167"/>
        <v>1.0185841357301411</v>
      </c>
      <c r="I228" s="21">
        <f t="shared" ca="1" si="168"/>
        <v>1.0126952087333085</v>
      </c>
      <c r="J228" s="21">
        <f t="shared" ca="1" si="169"/>
        <v>1.011118749787848</v>
      </c>
      <c r="K228" s="21">
        <f t="shared" ca="1" si="170"/>
        <v>1.0054212200014607</v>
      </c>
      <c r="L228" s="21">
        <f t="shared" ca="1" si="171"/>
        <v>1.0066201334675196</v>
      </c>
      <c r="M228" s="21">
        <f t="shared" ca="1" si="172"/>
        <v>1.0055037884354592</v>
      </c>
      <c r="N228" s="21">
        <f t="shared" ca="1" si="173"/>
        <v>1.0032143323214731</v>
      </c>
      <c r="O228" s="22"/>
      <c r="P228" s="22"/>
      <c r="Q228" s="22"/>
      <c r="R228" s="5"/>
      <c r="S228" s="5"/>
      <c r="T228" s="19"/>
      <c r="U228" s="19"/>
      <c r="V228" s="19"/>
      <c r="W228" s="7"/>
    </row>
    <row r="229" spans="1:23" x14ac:dyDescent="0.25">
      <c r="A229" s="17">
        <f t="shared" si="176"/>
        <v>2003</v>
      </c>
      <c r="B229" s="21">
        <f t="shared" ca="1" si="175"/>
        <v>1.6093935412063927</v>
      </c>
      <c r="C229" s="21">
        <f t="shared" ca="1" si="162"/>
        <v>1.1862405074139821</v>
      </c>
      <c r="D229" s="21">
        <f t="shared" ca="1" si="163"/>
        <v>1.0887965218740943</v>
      </c>
      <c r="E229" s="21">
        <f t="shared" ca="1" si="164"/>
        <v>1.0572017341179794</v>
      </c>
      <c r="F229" s="21">
        <f t="shared" ca="1" si="165"/>
        <v>1.0407057545860807</v>
      </c>
      <c r="G229" s="21">
        <f t="shared" ca="1" si="166"/>
        <v>1.0256484804850579</v>
      </c>
      <c r="H229" s="21">
        <f t="shared" ca="1" si="167"/>
        <v>1.0182016088691948</v>
      </c>
      <c r="I229" s="21">
        <f t="shared" ca="1" si="168"/>
        <v>1.0126952903774744</v>
      </c>
      <c r="J229" s="21">
        <f t="shared" ca="1" si="169"/>
        <v>1.0115948580308216</v>
      </c>
      <c r="K229" s="21">
        <f t="shared" ca="1" si="170"/>
        <v>1.0053931260876878</v>
      </c>
      <c r="L229" s="21">
        <f t="shared" ca="1" si="171"/>
        <v>1.0070048327952299</v>
      </c>
      <c r="M229" s="21">
        <f t="shared" ca="1" si="172"/>
        <v>1.0055150680842098</v>
      </c>
      <c r="N229" s="22"/>
      <c r="O229" s="22"/>
      <c r="P229" s="22"/>
      <c r="R229" s="19"/>
      <c r="S229" s="19"/>
      <c r="T229" s="19"/>
      <c r="U229" s="19"/>
      <c r="V229" s="19"/>
      <c r="W229" s="7"/>
    </row>
    <row r="230" spans="1:23" x14ac:dyDescent="0.25">
      <c r="A230" s="17">
        <f t="shared" si="176"/>
        <v>2004</v>
      </c>
      <c r="B230" s="21">
        <f t="shared" ca="1" si="175"/>
        <v>1.6151203320656509</v>
      </c>
      <c r="C230" s="21">
        <f t="shared" ca="1" si="162"/>
        <v>1.1947977360157254</v>
      </c>
      <c r="D230" s="21">
        <f t="shared" ca="1" si="163"/>
        <v>1.0913956783242491</v>
      </c>
      <c r="E230" s="21">
        <f t="shared" ca="1" si="164"/>
        <v>1.0562557514837156</v>
      </c>
      <c r="F230" s="21">
        <f t="shared" ca="1" si="165"/>
        <v>1.039794924167835</v>
      </c>
      <c r="G230" s="21">
        <f t="shared" ca="1" si="166"/>
        <v>1.0263294603241451</v>
      </c>
      <c r="H230" s="21">
        <f t="shared" ca="1" si="167"/>
        <v>1.0201404679971979</v>
      </c>
      <c r="I230" s="21">
        <f t="shared" ca="1" si="168"/>
        <v>1.0125476200284993</v>
      </c>
      <c r="J230" s="21">
        <f t="shared" ca="1" si="169"/>
        <v>1.0114997605140781</v>
      </c>
      <c r="K230" s="21">
        <f t="shared" ca="1" si="170"/>
        <v>1.0047909762358342</v>
      </c>
      <c r="L230" s="21">
        <f t="shared" ca="1" si="171"/>
        <v>1.0073891917215612</v>
      </c>
      <c r="M230" s="22"/>
      <c r="N230" s="22"/>
      <c r="O230" s="22"/>
      <c r="R230" s="19"/>
      <c r="S230" s="19"/>
      <c r="T230" s="19"/>
      <c r="U230" s="19"/>
      <c r="V230" s="19"/>
      <c r="W230" s="7"/>
    </row>
    <row r="231" spans="1:23" x14ac:dyDescent="0.25">
      <c r="A231" s="17">
        <f t="shared" si="176"/>
        <v>2005</v>
      </c>
      <c r="B231" s="21">
        <f t="shared" ca="1" si="175"/>
        <v>1.6194497009114384</v>
      </c>
      <c r="C231" s="21">
        <f t="shared" ca="1" si="162"/>
        <v>1.1873497727931634</v>
      </c>
      <c r="D231" s="21">
        <f t="shared" ca="1" si="163"/>
        <v>1.0920153064809717</v>
      </c>
      <c r="E231" s="21">
        <f t="shared" ca="1" si="164"/>
        <v>1.0577938743004716</v>
      </c>
      <c r="F231" s="21">
        <f t="shared" ca="1" si="165"/>
        <v>1.0395133333471305</v>
      </c>
      <c r="G231" s="21">
        <f t="shared" ca="1" si="166"/>
        <v>1.0269328842035543</v>
      </c>
      <c r="H231" s="21">
        <f t="shared" ca="1" si="167"/>
        <v>1.0188623737790004</v>
      </c>
      <c r="I231" s="21">
        <f t="shared" ca="1" si="168"/>
        <v>1.0125131574226054</v>
      </c>
      <c r="J231" s="21">
        <f t="shared" ca="1" si="169"/>
        <v>1.0105766921158785</v>
      </c>
      <c r="K231" s="21">
        <f t="shared" ca="1" si="170"/>
        <v>1.0056565223969052</v>
      </c>
      <c r="L231" s="19"/>
      <c r="M231" s="19"/>
      <c r="N231" s="19"/>
      <c r="O231" s="22"/>
      <c r="P231" s="22"/>
      <c r="R231" s="19"/>
      <c r="S231" s="19"/>
      <c r="T231" s="19"/>
      <c r="U231" s="23"/>
      <c r="V231" s="19"/>
      <c r="W231" s="7"/>
    </row>
    <row r="232" spans="1:23" x14ac:dyDescent="0.25">
      <c r="A232" s="17">
        <f t="shared" si="176"/>
        <v>2006</v>
      </c>
      <c r="B232" s="21">
        <f t="shared" ca="1" si="175"/>
        <v>1.611043432742151</v>
      </c>
      <c r="C232" s="21">
        <f t="shared" ca="1" si="162"/>
        <v>1.186711867697638</v>
      </c>
      <c r="D232" s="21">
        <f t="shared" ca="1" si="163"/>
        <v>1.0911303769996712</v>
      </c>
      <c r="E232" s="21">
        <f t="shared" ca="1" si="164"/>
        <v>1.0624956082833084</v>
      </c>
      <c r="F232" s="21">
        <f t="shared" ca="1" si="165"/>
        <v>1.0404588993928277</v>
      </c>
      <c r="G232" s="21">
        <f t="shared" ca="1" si="166"/>
        <v>1.0271413959138356</v>
      </c>
      <c r="H232" s="21">
        <f t="shared" ca="1" si="167"/>
        <v>1.0189867651038969</v>
      </c>
      <c r="I232" s="21">
        <f t="shared" ca="1" si="168"/>
        <v>1.0125647390769315</v>
      </c>
      <c r="J232" s="21">
        <f t="shared" ca="1" si="169"/>
        <v>1.0136279565557236</v>
      </c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7"/>
    </row>
    <row r="233" spans="1:23" x14ac:dyDescent="0.25">
      <c r="A233" s="17">
        <f t="shared" si="176"/>
        <v>2007</v>
      </c>
      <c r="B233" s="21">
        <f t="shared" ca="1" si="175"/>
        <v>1.6080875485764048</v>
      </c>
      <c r="C233" s="21">
        <f t="shared" ca="1" si="162"/>
        <v>1.1786273920961277</v>
      </c>
      <c r="D233" s="21">
        <f t="shared" ca="1" si="163"/>
        <v>1.0957276362435562</v>
      </c>
      <c r="E233" s="21">
        <f t="shared" ca="1" si="164"/>
        <v>1.0558491739309017</v>
      </c>
      <c r="F233" s="21">
        <f t="shared" ca="1" si="165"/>
        <v>1.0397064505145659</v>
      </c>
      <c r="G233" s="21">
        <f t="shared" ca="1" si="166"/>
        <v>1.024603666038626</v>
      </c>
      <c r="H233" s="21">
        <f t="shared" ca="1" si="167"/>
        <v>1.0184750492933956</v>
      </c>
      <c r="I233" s="21">
        <f t="shared" ca="1" si="168"/>
        <v>1.0129206208030441</v>
      </c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7"/>
    </row>
    <row r="234" spans="1:23" x14ac:dyDescent="0.25">
      <c r="A234" s="17">
        <f t="shared" si="176"/>
        <v>2008</v>
      </c>
      <c r="B234" s="21">
        <f t="shared" ca="1" si="175"/>
        <v>1.6194849867093566</v>
      </c>
      <c r="C234" s="21">
        <f t="shared" ca="1" si="162"/>
        <v>1.1858662713536543</v>
      </c>
      <c r="D234" s="21">
        <f t="shared" ca="1" si="163"/>
        <v>1.0918611748292786</v>
      </c>
      <c r="E234" s="21">
        <f t="shared" ca="1" si="164"/>
        <v>1.0585223116205349</v>
      </c>
      <c r="F234" s="21">
        <f t="shared" ca="1" si="165"/>
        <v>1.0401194385390544</v>
      </c>
      <c r="G234" s="21">
        <f t="shared" ca="1" si="166"/>
        <v>1.0243338678322393</v>
      </c>
      <c r="H234" s="21">
        <f t="shared" ca="1" si="167"/>
        <v>1.0187147997211887</v>
      </c>
      <c r="I234" s="19"/>
      <c r="R234" s="55"/>
      <c r="T234" s="19"/>
      <c r="U234" s="19"/>
      <c r="V234" s="19"/>
      <c r="W234" s="7"/>
    </row>
    <row r="235" spans="1:23" x14ac:dyDescent="0.25">
      <c r="A235" s="17">
        <f t="shared" si="176"/>
        <v>2009</v>
      </c>
      <c r="B235" s="21">
        <f t="shared" ca="1" si="175"/>
        <v>1.6097298686313664</v>
      </c>
      <c r="C235" s="21">
        <f t="shared" ca="1" si="162"/>
        <v>1.1931593688979418</v>
      </c>
      <c r="D235" s="21">
        <f t="shared" ca="1" si="163"/>
        <v>1.092057435101361</v>
      </c>
      <c r="E235" s="21">
        <f t="shared" ca="1" si="164"/>
        <v>1.0581055669718382</v>
      </c>
      <c r="F235" s="21">
        <f t="shared" ca="1" si="165"/>
        <v>1.0413933031576676</v>
      </c>
      <c r="G235" s="21">
        <f t="shared" ca="1" si="166"/>
        <v>1.0248465245823288</v>
      </c>
      <c r="H235" s="21"/>
      <c r="I235" s="19"/>
      <c r="L235" s="19"/>
      <c r="M235" s="19"/>
      <c r="N235" s="19"/>
      <c r="O235" s="19"/>
      <c r="P235" s="19"/>
      <c r="Q235" s="19"/>
      <c r="R235" s="56"/>
      <c r="S235" s="19"/>
      <c r="T235" s="19"/>
      <c r="U235" s="19"/>
      <c r="V235" s="19"/>
      <c r="W235" s="7"/>
    </row>
    <row r="236" spans="1:23" x14ac:dyDescent="0.25">
      <c r="A236" s="17">
        <f t="shared" si="176"/>
        <v>2010</v>
      </c>
      <c r="B236" s="21">
        <f ca="1">IF(ISERROR(C212/B212),B$53,C212/B212)</f>
        <v>1.6069929720275333</v>
      </c>
      <c r="C236" s="21">
        <f ca="1">IF(ISERROR(D212/C212),C$53,D212/C212)</f>
        <v>1.1886050118992508</v>
      </c>
      <c r="D236" s="21">
        <f ca="1">IF(ISERROR(E212/D212),D$53,E212/D212)</f>
        <v>1.0889586970918526</v>
      </c>
      <c r="E236" s="21">
        <f ca="1">IF(ISERROR(F212/E212),E$53,F212/E212)</f>
        <v>1.0570993008053151</v>
      </c>
      <c r="F236" s="21">
        <f ca="1">IF(ISERROR(G212/F212),F$53,G212/F212)</f>
        <v>1.0400179060330332</v>
      </c>
      <c r="G236" s="21"/>
      <c r="H236" s="21"/>
      <c r="L236" s="19"/>
      <c r="M236" s="19"/>
      <c r="N236" s="19"/>
      <c r="O236" s="19"/>
      <c r="P236" s="19"/>
      <c r="Q236" s="19"/>
      <c r="R236" s="56"/>
      <c r="S236" s="19"/>
      <c r="T236" s="19"/>
      <c r="U236" s="19"/>
      <c r="V236" s="19"/>
      <c r="W236" s="7"/>
    </row>
    <row r="237" spans="1:23" x14ac:dyDescent="0.25">
      <c r="A237" s="17">
        <f t="shared" si="176"/>
        <v>2011</v>
      </c>
      <c r="B237" s="21">
        <f ca="1">IF(ISERROR(C213/B213),B$53,C213/B213)</f>
        <v>1.5920455898161527</v>
      </c>
      <c r="C237" s="21">
        <f ca="1">IF(ISERROR(D213/C213),C$53,D213/C213)</f>
        <v>1.1809553627103619</v>
      </c>
      <c r="D237" s="21">
        <f ca="1">IF(ISERROR(E213/D213),D$53,E213/D213)</f>
        <v>1.0859119984500403</v>
      </c>
      <c r="E237" s="21">
        <f ca="1">IF(ISERROR(F213/E213),E$53,F213/E213)</f>
        <v>1.0576936976136349</v>
      </c>
      <c r="F237" s="21"/>
      <c r="G237" s="21"/>
      <c r="L237" s="19"/>
      <c r="M237" s="19"/>
      <c r="N237" s="19"/>
      <c r="O237" s="19"/>
      <c r="P237" s="19"/>
      <c r="Q237" s="19"/>
      <c r="R237" s="56"/>
      <c r="S237" s="19"/>
      <c r="T237" s="19"/>
      <c r="U237" s="19"/>
      <c r="V237" s="19"/>
      <c r="W237" s="7"/>
    </row>
    <row r="238" spans="1:23" x14ac:dyDescent="0.25">
      <c r="A238" s="17">
        <f t="shared" si="176"/>
        <v>2012</v>
      </c>
      <c r="B238" s="21">
        <f ca="1">IF(ISERROR(C214/B214),B$53,C214/B214)</f>
        <v>1.613104394614151</v>
      </c>
      <c r="C238" s="21">
        <f ca="1">IF(ISERROR(D214/C214),C$53,D214/C214)</f>
        <v>1.1893370573292092</v>
      </c>
      <c r="D238" s="21">
        <f ca="1">IF(ISERROR(E214/D214),D$53,E214/D214)</f>
        <v>1.0874531958570555</v>
      </c>
      <c r="E238" s="21"/>
      <c r="L238" s="19"/>
      <c r="M238" s="19"/>
      <c r="N238" s="19"/>
      <c r="O238" s="19"/>
      <c r="U238" s="19"/>
      <c r="V238" s="19"/>
      <c r="W238" s="7"/>
    </row>
    <row r="239" spans="1:23" x14ac:dyDescent="0.25">
      <c r="A239" s="17">
        <f t="shared" si="176"/>
        <v>2013</v>
      </c>
      <c r="B239" s="21">
        <f ca="1">IF(ISERROR(C215/B215),B$53,C215/B215)</f>
        <v>1.6162777580888898</v>
      </c>
      <c r="C239" s="21">
        <f ca="1">IF(ISERROR(D215/C215),C$53,D215/C215)</f>
        <v>1.1947840999018042</v>
      </c>
      <c r="D239" s="21"/>
      <c r="L239" s="19"/>
      <c r="M239" s="19"/>
      <c r="N239" s="19"/>
      <c r="O239" s="19"/>
      <c r="P239" s="19"/>
      <c r="Q239" s="19"/>
      <c r="R239" s="19"/>
      <c r="S239" s="19"/>
      <c r="U239" s="19"/>
      <c r="V239" s="19"/>
      <c r="W239" s="7"/>
    </row>
    <row r="240" spans="1:23" x14ac:dyDescent="0.25">
      <c r="A240" s="17">
        <f t="shared" si="176"/>
        <v>2014</v>
      </c>
      <c r="B240" s="21">
        <f ca="1">IF(ISERROR(C216/B216),B$53,C216/B216)</f>
        <v>1.5938573669139504</v>
      </c>
      <c r="C240" s="21"/>
      <c r="L240" s="19"/>
      <c r="M240" s="19"/>
      <c r="N240" s="19"/>
      <c r="O240" s="19"/>
      <c r="P240" s="19"/>
      <c r="Q240" s="19"/>
      <c r="R240" s="19"/>
      <c r="U240" s="19"/>
      <c r="V240" s="19"/>
      <c r="W240" s="7"/>
    </row>
    <row r="241" spans="1:27" x14ac:dyDescent="0.25">
      <c r="A241" s="17"/>
      <c r="B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7"/>
      <c r="W241" s="7"/>
    </row>
    <row r="242" spans="1:27" x14ac:dyDescent="0.25">
      <c r="A242" s="17" t="s">
        <v>87</v>
      </c>
      <c r="B242" s="19">
        <f ca="1">SUM(C198:C216)/SUM(B198:B216)</f>
        <v>1.6158525503547521</v>
      </c>
      <c r="C242" s="19">
        <f ca="1">SUM(D198:D215)/SUM(C198:C215)</f>
        <v>1.1875139129192116</v>
      </c>
      <c r="D242" s="19">
        <f ca="1">SUM(E$198:E214)/SUM(D$198:D214)</f>
        <v>1.0900750431426633</v>
      </c>
      <c r="E242" s="19">
        <f ca="1">SUM(F$198:F213)/SUM(E$198:E213)</f>
        <v>1.0571045036172739</v>
      </c>
      <c r="F242" s="19">
        <f ca="1">SUM(G$198:G212)/SUM(F$198:F212)</f>
        <v>1.0402123701118298</v>
      </c>
      <c r="G242" s="19">
        <f ca="1">SUM(H$198:H211)/SUM(G$198:G211)</f>
        <v>1.0255896003328453</v>
      </c>
      <c r="H242" s="19">
        <f ca="1">SUM(I$198:I210)/SUM(H$198:H210)</f>
        <v>1.0184875395800124</v>
      </c>
      <c r="I242" s="19">
        <f ca="1">SUM(J$198:J209)/SUM(I$198:I209)</f>
        <v>1.0126559207961061</v>
      </c>
      <c r="J242" s="19">
        <f ca="1">SUM(K$198:K208)/SUM(J$198:J208)</f>
        <v>1.0116964192432998</v>
      </c>
      <c r="K242" s="19">
        <f ca="1">SUM(L$198:L207)/SUM(K$198:K207)</f>
        <v>1.0053095818644644</v>
      </c>
      <c r="L242" s="19">
        <f ca="1">SUM(M$198:M206)/SUM(L$198:L206)</f>
        <v>1.0071302401108451</v>
      </c>
      <c r="M242" s="19">
        <f ca="1">IF(ISERROR(SUM(N$198:N205)/SUM(M$198:M205)),1,SUM(N$198:N205)/SUM(M$198:M205))</f>
        <v>1.0052983347124487</v>
      </c>
      <c r="N242" s="19">
        <f ca="1">IF(ISERROR(SUM(O$198:O204)/SUM(N$198:N204)),1,SUM(O$198:O204)/SUM(N$198:N204))</f>
        <v>1.0035842409322757</v>
      </c>
      <c r="O242" s="19">
        <f ca="1">IF(ISERROR(SUM(P$198:P203)/SUM(O$198:O203)),1,SUM(P$198:P203)/SUM(O$198:O203))</f>
        <v>1.0026182086345534</v>
      </c>
      <c r="P242" s="19">
        <f ca="1">IF(ISERROR(SUM(Q$198:Q202)/SUM(P$198:P202)),1,SUM(Q$198:Q202)/SUM(P$198:P202))</f>
        <v>1.0028307216017986</v>
      </c>
      <c r="Q242" s="19">
        <f ca="1">IF(ISERROR(SUM(R$198:R201)/SUM(Q$198:Q201)),1,SUM(R$198:R201)/SUM(Q$198:Q201))</f>
        <v>1.0048407625946461</v>
      </c>
      <c r="R242" s="19">
        <f ca="1">IF(ISERROR(SUM(S$198:S200)/SUM(R$198:R200)),1,SUM(S$198:S200)/SUM(R$198:R200))</f>
        <v>1.0011583822839387</v>
      </c>
      <c r="S242" s="19">
        <f ca="1">IF(ISERROR(SUM(T$198:T199)/SUM(S$198:S199)),1,SUM(T$198:T199)/SUM(S$198:S199))</f>
        <v>1.0029772715013037</v>
      </c>
      <c r="T242" s="19">
        <f ca="1">IF(ISERROR(SUM(U$198:U198)/SUM(T$198:T198)),1,SUM(U$198:U198)/SUM(T$198:T198))</f>
        <v>1.0044859756747653</v>
      </c>
      <c r="U242" s="19"/>
      <c r="V242" s="7"/>
      <c r="W242" s="7"/>
    </row>
    <row r="243" spans="1:27" x14ac:dyDescent="0.25">
      <c r="A243" s="17"/>
      <c r="B243" s="7"/>
      <c r="C243" s="7"/>
      <c r="U243" s="7"/>
      <c r="V243" s="7"/>
      <c r="W243" s="7"/>
    </row>
    <row r="244" spans="1:27" x14ac:dyDescent="0.25">
      <c r="A244" t="s">
        <v>141</v>
      </c>
      <c r="W244" s="7"/>
      <c r="X244" s="7" t="s">
        <v>99</v>
      </c>
      <c r="Y244" t="s">
        <v>101</v>
      </c>
      <c r="Z244" t="s">
        <v>100</v>
      </c>
      <c r="AA244" t="s">
        <v>70</v>
      </c>
    </row>
    <row r="245" spans="1:27" x14ac:dyDescent="0.25">
      <c r="A245">
        <f t="shared" ref="A245:A264" si="177">A9</f>
        <v>1996</v>
      </c>
      <c r="B245" s="43">
        <f t="shared" ref="B245:B264" ca="1" si="178">B198</f>
        <v>336740530.31818837</v>
      </c>
      <c r="C245" s="43">
        <f t="shared" ref="C245:C263" ca="1" si="179">C198</f>
        <v>541210385.19043994</v>
      </c>
      <c r="D245" s="43">
        <f t="shared" ref="D245:D262" ca="1" si="180">D198</f>
        <v>640907135.53938186</v>
      </c>
      <c r="E245" s="43">
        <f t="shared" ref="E245:E261" ca="1" si="181">E198</f>
        <v>698324941.53845847</v>
      </c>
      <c r="F245" s="43">
        <f t="shared" ref="F245:F260" ca="1" si="182">F198</f>
        <v>737634572.23580039</v>
      </c>
      <c r="G245" s="43">
        <f t="shared" ref="G245:G259" ca="1" si="183">G198</f>
        <v>767754448.07022882</v>
      </c>
      <c r="H245" s="43">
        <f t="shared" ref="H245:H258" ca="1" si="184">H198</f>
        <v>787181770.70693648</v>
      </c>
      <c r="I245" s="43">
        <f t="shared" ref="I245:I257" ca="1" si="185">I198</f>
        <v>801997355.53888834</v>
      </c>
      <c r="J245" s="43">
        <f t="shared" ref="J245:J256" ca="1" si="186">J198</f>
        <v>811901242.64992201</v>
      </c>
      <c r="K245" s="43">
        <f t="shared" ref="K245:K256" ca="1" si="187">K198</f>
        <v>821182860.29333556</v>
      </c>
      <c r="L245" s="43">
        <f t="shared" ref="L245:L254" ca="1" si="188">L198</f>
        <v>825125270.48114955</v>
      </c>
      <c r="M245" s="43">
        <f t="shared" ref="M245:M253" ca="1" si="189">M198</f>
        <v>831728661.52648973</v>
      </c>
      <c r="N245" s="43">
        <f t="shared" ref="N245:N252" ca="1" si="190">N198</f>
        <v>836210917.36266589</v>
      </c>
      <c r="O245" s="43">
        <f t="shared" ref="O245:O251" ca="1" si="191">O198</f>
        <v>839292605.01269913</v>
      </c>
      <c r="P245" s="43">
        <f t="shared" ref="P245:P250" ca="1" si="192">P198</f>
        <v>841689013.69426119</v>
      </c>
      <c r="Q245" s="43">
        <f t="shared" ref="Q245:T246" ca="1" si="193">Q198</f>
        <v>843967626.45441842</v>
      </c>
      <c r="R245" s="43">
        <f t="shared" ca="1" si="193"/>
        <v>847864186.97607601</v>
      </c>
      <c r="S245" s="43">
        <f t="shared" ca="1" si="193"/>
        <v>848913055.27955365</v>
      </c>
      <c r="T245" s="43">
        <f t="shared" ca="1" si="193"/>
        <v>851463966.89774883</v>
      </c>
      <c r="U245" s="106">
        <f ca="1">T245+Monte_Carlo_Algorithm(U175/$C$105,$C$105)</f>
        <v>854548318.3860625</v>
      </c>
      <c r="W245" s="7"/>
      <c r="X245" s="59">
        <f t="shared" ref="X245:X264" ca="1" si="194">U245*INDEX($AE$169:$AJ$169,INT(RAND()*COUNT($AE$169:$AJ$169))+1)</f>
        <v>974910053.14536548</v>
      </c>
      <c r="Y245" s="43" t="e">
        <f ca="1">_xll.RiskOutput(CONCATENATE(A245," / Inc TNR"))+X245-'Paid Bootstrap'!AS245</f>
        <v>#NAME?</v>
      </c>
      <c r="Z245" s="43">
        <f>INDEX($B$9:$U$28,A245-(Inputs!$I$2-Inputs!$I$3)-1,Inputs!$I$2+1-A245)</f>
        <v>852402162.38</v>
      </c>
      <c r="AA245" s="43">
        <f t="shared" ref="AA245:AA264" ca="1" si="195">X245-Z245</f>
        <v>122507890.76536548</v>
      </c>
    </row>
    <row r="246" spans="1:27" x14ac:dyDescent="0.25">
      <c r="A246">
        <f t="shared" si="177"/>
        <v>1997</v>
      </c>
      <c r="B246" s="43">
        <f t="shared" ca="1" si="178"/>
        <v>391290343.17231077</v>
      </c>
      <c r="C246" s="43">
        <f t="shared" ca="1" si="179"/>
        <v>629575049.85598779</v>
      </c>
      <c r="D246" s="43">
        <f t="shared" ca="1" si="180"/>
        <v>746664896.92306232</v>
      </c>
      <c r="E246" s="43">
        <f t="shared" ca="1" si="181"/>
        <v>814296462.04739463</v>
      </c>
      <c r="F246" s="43">
        <f t="shared" ca="1" si="182"/>
        <v>859751229.83004713</v>
      </c>
      <c r="G246" s="43">
        <f t="shared" ca="1" si="183"/>
        <v>894537668.90666044</v>
      </c>
      <c r="H246" s="43">
        <f t="shared" ca="1" si="184"/>
        <v>916565590.68847346</v>
      </c>
      <c r="I246" s="43">
        <f t="shared" ca="1" si="185"/>
        <v>932747952.00391352</v>
      </c>
      <c r="J246" s="43">
        <f t="shared" ca="1" si="186"/>
        <v>944881776.84675586</v>
      </c>
      <c r="K246" s="43">
        <f t="shared" ca="1" si="187"/>
        <v>956517919.39079368</v>
      </c>
      <c r="L246" s="43">
        <f t="shared" ca="1" si="188"/>
        <v>961897045.86633253</v>
      </c>
      <c r="M246" s="43">
        <f t="shared" ca="1" si="189"/>
        <v>968468044.81827009</v>
      </c>
      <c r="N246" s="43">
        <f t="shared" ca="1" si="190"/>
        <v>973613461.44170809</v>
      </c>
      <c r="O246" s="43">
        <f t="shared" ca="1" si="191"/>
        <v>977651884.35635734</v>
      </c>
      <c r="P246" s="43">
        <f t="shared" ca="1" si="192"/>
        <v>980005300.46614814</v>
      </c>
      <c r="Q246" s="43">
        <f t="shared" ca="1" si="193"/>
        <v>982692948.89907765</v>
      </c>
      <c r="R246" s="43">
        <f t="shared" ca="1" si="193"/>
        <v>987758631.77200055</v>
      </c>
      <c r="S246" s="43">
        <f t="shared" ca="1" si="193"/>
        <v>988768689.75004506</v>
      </c>
      <c r="T246" s="43">
        <f t="shared" ca="1" si="193"/>
        <v>991689055.61979246</v>
      </c>
      <c r="U246" s="106">
        <f t="shared" ref="U246:U255" ca="1" si="196">T246+Monte_Carlo_Algorithm(U176/$C$105,$C$105)</f>
        <v>997747074.96530831</v>
      </c>
      <c r="W246" s="7"/>
      <c r="X246" s="59">
        <f t="shared" ca="1" si="194"/>
        <v>1001411118.0013005</v>
      </c>
      <c r="Y246" s="43" t="e">
        <f ca="1">_xll.RiskOutput(CONCATENATE(A246," / Inc TNR"))+X246-'Paid Bootstrap'!AS246</f>
        <v>#NAME?</v>
      </c>
      <c r="Z246" s="43">
        <f>INDEX($B$9:$U$28,A246-(Inputs!$I$2-Inputs!$I$3)-1,Inputs!$I$2+1-A246)</f>
        <v>991326435.37000012</v>
      </c>
      <c r="AA246" s="43">
        <f t="shared" ca="1" si="195"/>
        <v>10084682.63130033</v>
      </c>
    </row>
    <row r="247" spans="1:27" x14ac:dyDescent="0.25">
      <c r="A247">
        <f t="shared" si="177"/>
        <v>1998</v>
      </c>
      <c r="B247" s="43">
        <f t="shared" ca="1" si="178"/>
        <v>484343800.25582623</v>
      </c>
      <c r="C247" s="43">
        <f t="shared" ca="1" si="179"/>
        <v>791027219.40509701</v>
      </c>
      <c r="D247" s="43">
        <f t="shared" ca="1" si="180"/>
        <v>938795851.33301306</v>
      </c>
      <c r="E247" s="43">
        <f t="shared" ca="1" si="181"/>
        <v>1023252454.3237907</v>
      </c>
      <c r="F247" s="43">
        <f t="shared" ca="1" si="182"/>
        <v>1080517152.9148111</v>
      </c>
      <c r="G247" s="43">
        <f t="shared" ca="1" si="183"/>
        <v>1123077567.8626447</v>
      </c>
      <c r="H247" s="43">
        <f t="shared" ca="1" si="184"/>
        <v>1152381074.9891214</v>
      </c>
      <c r="I247" s="43">
        <f t="shared" ca="1" si="185"/>
        <v>1172728691.1562984</v>
      </c>
      <c r="J247" s="43">
        <f t="shared" ca="1" si="186"/>
        <v>1187182870.5177269</v>
      </c>
      <c r="K247" s="43">
        <f t="shared" ca="1" si="187"/>
        <v>1200733826.4541318</v>
      </c>
      <c r="L247" s="43">
        <f t="shared" ca="1" si="188"/>
        <v>1206979960.7186315</v>
      </c>
      <c r="M247" s="43">
        <f t="shared" ca="1" si="189"/>
        <v>1215556283.3099208</v>
      </c>
      <c r="N247" s="43">
        <f t="shared" ca="1" si="190"/>
        <v>1222570043.9159875</v>
      </c>
      <c r="O247" s="43">
        <f t="shared" ca="1" si="191"/>
        <v>1226848356.9987562</v>
      </c>
      <c r="P247" s="43">
        <f t="shared" ca="1" si="192"/>
        <v>1230239400.4827764</v>
      </c>
      <c r="Q247" s="43">
        <f ca="1">Q200</f>
        <v>1233703681.8757999</v>
      </c>
      <c r="R247" s="43">
        <f ca="1">R200</f>
        <v>1239551775.7213206</v>
      </c>
      <c r="S247" s="43">
        <f ca="1">S200</f>
        <v>1241055077.2100501</v>
      </c>
      <c r="T247" s="106">
        <f t="shared" ref="T247:T255" ca="1" si="197">S247+Monte_Carlo_Algorithm(T177/$C$105,$C$105)</f>
        <v>1241272320.6957691</v>
      </c>
      <c r="U247" s="106">
        <f t="shared" ca="1" si="196"/>
        <v>1245567464.3346093</v>
      </c>
      <c r="W247" s="7"/>
      <c r="X247" s="59">
        <f t="shared" ca="1" si="194"/>
        <v>1421003607.0798233</v>
      </c>
      <c r="Y247" s="43" t="e">
        <f ca="1">_xll.RiskOutput(CONCATENATE(A247," / Inc TNR"))+X247-'Paid Bootstrap'!AS247</f>
        <v>#NAME?</v>
      </c>
      <c r="Z247" s="43">
        <f>INDEX($B$9:$U$28,A247-(Inputs!$I$2-Inputs!$I$3)-1,Inputs!$I$2+1-A247)</f>
        <v>1238388712.99</v>
      </c>
      <c r="AA247" s="43">
        <f t="shared" ca="1" si="195"/>
        <v>182614894.08982325</v>
      </c>
    </row>
    <row r="248" spans="1:27" x14ac:dyDescent="0.25">
      <c r="A248">
        <f t="shared" si="177"/>
        <v>1999</v>
      </c>
      <c r="B248" s="43">
        <f t="shared" ca="1" si="178"/>
        <v>530370757.13752067</v>
      </c>
      <c r="C248" s="43">
        <f t="shared" ca="1" si="179"/>
        <v>853945379.25626373</v>
      </c>
      <c r="D248" s="43">
        <f t="shared" ca="1" si="180"/>
        <v>1013989683.8093412</v>
      </c>
      <c r="E248" s="43">
        <f t="shared" ca="1" si="181"/>
        <v>1104716808.6772494</v>
      </c>
      <c r="F248" s="43">
        <f t="shared" ca="1" si="182"/>
        <v>1168460960.8185179</v>
      </c>
      <c r="G248" s="43">
        <f t="shared" ca="1" si="183"/>
        <v>1215706594.5302274</v>
      </c>
      <c r="H248" s="43">
        <f t="shared" ca="1" si="184"/>
        <v>1247187183.9329755</v>
      </c>
      <c r="I248" s="43">
        <f t="shared" ca="1" si="185"/>
        <v>1269882206.7279141</v>
      </c>
      <c r="J248" s="43">
        <f t="shared" ca="1" si="186"/>
        <v>1285238723.8396444</v>
      </c>
      <c r="K248" s="43">
        <f t="shared" ca="1" si="187"/>
        <v>1300414820.2336783</v>
      </c>
      <c r="L248" s="43">
        <f t="shared" ca="1" si="188"/>
        <v>1307079254.5974123</v>
      </c>
      <c r="M248" s="43">
        <f t="shared" ca="1" si="189"/>
        <v>1316133057.7540073</v>
      </c>
      <c r="N248" s="43">
        <f t="shared" ca="1" si="190"/>
        <v>1322820556.5930884</v>
      </c>
      <c r="O248" s="43">
        <f t="shared" ca="1" si="191"/>
        <v>1327477108.6669917</v>
      </c>
      <c r="P248" s="43">
        <f t="shared" ca="1" si="192"/>
        <v>1331000668.7104764</v>
      </c>
      <c r="Q248" s="43">
        <f ca="1">Q201</f>
        <v>1334891508.9628651</v>
      </c>
      <c r="R248" s="43">
        <f ca="1">R201</f>
        <v>1341357561.4296494</v>
      </c>
      <c r="S248" s="106">
        <f t="shared" ref="S248:S255" ca="1" si="198">R248+Monte_Carlo_Algorithm(S178/$C$105,$C$105)</f>
        <v>1341654113.3726723</v>
      </c>
      <c r="T248" s="106">
        <f t="shared" ca="1" si="197"/>
        <v>1350450923.9994106</v>
      </c>
      <c r="U248" s="106">
        <f t="shared" ca="1" si="196"/>
        <v>1363924320.5479591</v>
      </c>
      <c r="W248" s="7"/>
      <c r="X248" s="59">
        <f t="shared" ca="1" si="194"/>
        <v>1556030833.1575725</v>
      </c>
      <c r="Y248" s="43" t="e">
        <f ca="1">_xll.RiskOutput(CONCATENATE(A248," / Inc TNR"))+X248-'Paid Bootstrap'!AS248</f>
        <v>#NAME?</v>
      </c>
      <c r="Z248" s="43">
        <f>INDEX($B$9:$U$28,A248-(Inputs!$I$2-Inputs!$I$3)-1,Inputs!$I$2+1-A248)</f>
        <v>1342469212.27</v>
      </c>
      <c r="AA248" s="43">
        <f t="shared" ca="1" si="195"/>
        <v>213561620.88757253</v>
      </c>
    </row>
    <row r="249" spans="1:27" x14ac:dyDescent="0.25">
      <c r="A249">
        <f t="shared" si="177"/>
        <v>2000</v>
      </c>
      <c r="B249" s="43">
        <f t="shared" ca="1" si="178"/>
        <v>486732980.58376312</v>
      </c>
      <c r="C249" s="43">
        <f t="shared" ca="1" si="179"/>
        <v>788485113.57075715</v>
      </c>
      <c r="D249" s="43">
        <f t="shared" ca="1" si="180"/>
        <v>936417151.69189167</v>
      </c>
      <c r="E249" s="43">
        <f t="shared" ca="1" si="181"/>
        <v>1020915241.3986871</v>
      </c>
      <c r="F249" s="43">
        <f t="shared" ca="1" si="182"/>
        <v>1078101141.3868968</v>
      </c>
      <c r="G249" s="43">
        <f t="shared" ca="1" si="183"/>
        <v>1121292628.2530241</v>
      </c>
      <c r="H249" s="43">
        <f t="shared" ca="1" si="184"/>
        <v>1149802579.0185032</v>
      </c>
      <c r="I249" s="43">
        <f t="shared" ca="1" si="185"/>
        <v>1170771215.4522424</v>
      </c>
      <c r="J249" s="43">
        <f t="shared" ca="1" si="186"/>
        <v>1186262568.6821895</v>
      </c>
      <c r="K249" s="43">
        <f t="shared" ca="1" si="187"/>
        <v>1200290278.4567518</v>
      </c>
      <c r="L249" s="43">
        <f t="shared" ca="1" si="188"/>
        <v>1206828378.8982291</v>
      </c>
      <c r="M249" s="43">
        <f t="shared" ca="1" si="189"/>
        <v>1215625307.2233546</v>
      </c>
      <c r="N249" s="43">
        <f t="shared" ca="1" si="190"/>
        <v>1221808301.2741537</v>
      </c>
      <c r="O249" s="43">
        <f t="shared" ca="1" si="191"/>
        <v>1226176583.0971136</v>
      </c>
      <c r="P249" s="43">
        <f t="shared" ca="1" si="192"/>
        <v>1229161840.3741</v>
      </c>
      <c r="Q249" s="43">
        <f ca="1">Q202</f>
        <v>1232726739.5474811</v>
      </c>
      <c r="R249" s="106">
        <f t="shared" ref="R249:R255" ca="1" si="199">Q249+Monte_Carlo_Algorithm(R179/$C$105,$C$105)</f>
        <v>1235893459.9104567</v>
      </c>
      <c r="S249" s="106">
        <f t="shared" ca="1" si="198"/>
        <v>1236345006.5363636</v>
      </c>
      <c r="T249" s="106">
        <f t="shared" ca="1" si="197"/>
        <v>1237274775.1389849</v>
      </c>
      <c r="U249" s="106">
        <f t="shared" ca="1" si="196"/>
        <v>1237554164.7305245</v>
      </c>
      <c r="W249" s="7"/>
      <c r="X249" s="59">
        <f t="shared" ca="1" si="194"/>
        <v>1242098855.2966197</v>
      </c>
      <c r="Y249" s="43" t="e">
        <f ca="1">_xll.RiskOutput(CONCATENATE(A249," / Inc TNR"))+X249-'Paid Bootstrap'!AS249</f>
        <v>#NAME?</v>
      </c>
      <c r="Z249" s="43">
        <f>INDEX($B$9:$U$28,A249-(Inputs!$I$2-Inputs!$I$3)-1,Inputs!$I$2+1-A249)</f>
        <v>1240338196.8199999</v>
      </c>
      <c r="AA249" s="43">
        <f t="shared" ca="1" si="195"/>
        <v>1760658.4766197205</v>
      </c>
    </row>
    <row r="250" spans="1:27" x14ac:dyDescent="0.25">
      <c r="A250">
        <f t="shared" si="177"/>
        <v>2001</v>
      </c>
      <c r="B250" s="43">
        <f t="shared" ca="1" si="178"/>
        <v>485452789.61160409</v>
      </c>
      <c r="C250" s="43">
        <f t="shared" ca="1" si="179"/>
        <v>794781815.86620808</v>
      </c>
      <c r="D250" s="43">
        <f t="shared" ca="1" si="180"/>
        <v>947315583.5454905</v>
      </c>
      <c r="E250" s="43">
        <f t="shared" ca="1" si="181"/>
        <v>1033002037.9397893</v>
      </c>
      <c r="F250" s="43">
        <f t="shared" ca="1" si="182"/>
        <v>1094112382.9089279</v>
      </c>
      <c r="G250" s="43">
        <f t="shared" ca="1" si="183"/>
        <v>1138737200.1340342</v>
      </c>
      <c r="H250" s="43">
        <f t="shared" ca="1" si="184"/>
        <v>1168823596.2815633</v>
      </c>
      <c r="I250" s="43">
        <f t="shared" ca="1" si="185"/>
        <v>1191427905.2337875</v>
      </c>
      <c r="J250" s="43">
        <f t="shared" ca="1" si="186"/>
        <v>1206845446.2989192</v>
      </c>
      <c r="K250" s="43">
        <f t="shared" ca="1" si="187"/>
        <v>1221330269.2675669</v>
      </c>
      <c r="L250" s="43">
        <f t="shared" ca="1" si="188"/>
        <v>1228133586.8770189</v>
      </c>
      <c r="M250" s="43">
        <f t="shared" ca="1" si="189"/>
        <v>1237114130.9899797</v>
      </c>
      <c r="N250" s="43">
        <f t="shared" ca="1" si="190"/>
        <v>1243128575.4477675</v>
      </c>
      <c r="O250" s="43">
        <f t="shared" ca="1" si="191"/>
        <v>1247594432.4430773</v>
      </c>
      <c r="P250" s="43">
        <f t="shared" ca="1" si="192"/>
        <v>1250866492.2202635</v>
      </c>
      <c r="Q250" s="106">
        <f t="shared" ref="Q250:Q255" ca="1" si="200">P250+Monte_Carlo_Algorithm(Q180/$C$105,$C$105)</f>
        <v>1252034109.9495046</v>
      </c>
      <c r="R250" s="106">
        <f t="shared" ca="1" si="199"/>
        <v>1254596007.6312213</v>
      </c>
      <c r="S250" s="106">
        <f t="shared" ca="1" si="198"/>
        <v>1254827390.3489382</v>
      </c>
      <c r="T250" s="106">
        <f t="shared" ca="1" si="197"/>
        <v>1255892139.5200005</v>
      </c>
      <c r="U250" s="106">
        <f t="shared" ca="1" si="196"/>
        <v>1261655017.0980799</v>
      </c>
      <c r="W250" s="7"/>
      <c r="X250" s="59">
        <f t="shared" ca="1" si="194"/>
        <v>1266288213.6217415</v>
      </c>
      <c r="Y250" s="43" t="e">
        <f ca="1">_xll.RiskOutput(CONCATENATE(A250," / Inc TNR"))+X250-'Paid Bootstrap'!AS250</f>
        <v>#NAME?</v>
      </c>
      <c r="Z250" s="43">
        <f>INDEX($B$9:$U$28,A250-(Inputs!$I$2-Inputs!$I$3)-1,Inputs!$I$2+1-A250)</f>
        <v>1277665698.03</v>
      </c>
      <c r="AA250" s="43">
        <f t="shared" ca="1" si="195"/>
        <v>-11377484.408258438</v>
      </c>
    </row>
    <row r="251" spans="1:27" x14ac:dyDescent="0.25">
      <c r="A251">
        <f t="shared" si="177"/>
        <v>2002</v>
      </c>
      <c r="B251" s="43">
        <f t="shared" ca="1" si="178"/>
        <v>484581032.68674493</v>
      </c>
      <c r="C251" s="43">
        <f t="shared" ca="1" si="179"/>
        <v>778216289.7914747</v>
      </c>
      <c r="D251" s="43">
        <f t="shared" ca="1" si="180"/>
        <v>922538246.92234397</v>
      </c>
      <c r="E251" s="43">
        <f t="shared" ca="1" si="181"/>
        <v>1004678130.2609055</v>
      </c>
      <c r="F251" s="43">
        <f t="shared" ca="1" si="182"/>
        <v>1061844665.6172177</v>
      </c>
      <c r="G251" s="43">
        <f t="shared" ca="1" si="183"/>
        <v>1103998764.4105475</v>
      </c>
      <c r="H251" s="43">
        <f t="shared" ca="1" si="184"/>
        <v>1130991633.9954927</v>
      </c>
      <c r="I251" s="43">
        <f t="shared" ca="1" si="185"/>
        <v>1152010136.0313189</v>
      </c>
      <c r="J251" s="43">
        <f t="shared" ca="1" si="186"/>
        <v>1166635145.1711237</v>
      </c>
      <c r="K251" s="43">
        <f t="shared" ca="1" si="187"/>
        <v>1179606669.4439912</v>
      </c>
      <c r="L251" s="43">
        <f t="shared" ca="1" si="188"/>
        <v>1186001576.7142375</v>
      </c>
      <c r="M251" s="43">
        <f t="shared" ca="1" si="189"/>
        <v>1193853065.4447744</v>
      </c>
      <c r="N251" s="43">
        <f t="shared" ca="1" si="190"/>
        <v>1200423780.1400068</v>
      </c>
      <c r="O251" s="43">
        <f t="shared" ca="1" si="191"/>
        <v>1204282341.0959756</v>
      </c>
      <c r="P251" s="106">
        <f ca="1">O251+Monte_Carlo_Algorithm(P181/$C$105,$C$105)</f>
        <v>1205736121.8031185</v>
      </c>
      <c r="Q251" s="106">
        <f t="shared" ca="1" si="200"/>
        <v>1208940272.9653716</v>
      </c>
      <c r="R251" s="106">
        <f t="shared" ca="1" si="199"/>
        <v>1219387401.7067556</v>
      </c>
      <c r="S251" s="106">
        <f t="shared" ca="1" si="198"/>
        <v>1226545590.1489217</v>
      </c>
      <c r="T251" s="106">
        <f t="shared" ca="1" si="197"/>
        <v>1232931013.02163</v>
      </c>
      <c r="U251" s="106">
        <f t="shared" ca="1" si="196"/>
        <v>1238398644.4160085</v>
      </c>
      <c r="W251" s="7"/>
      <c r="X251" s="59">
        <f t="shared" ca="1" si="194"/>
        <v>1264954655.8999417</v>
      </c>
      <c r="Y251" s="43" t="e">
        <f ca="1">_xll.RiskOutput(CONCATENATE(A251," / Inc TNR"))+X251-'Paid Bootstrap'!AS251</f>
        <v>#NAME?</v>
      </c>
      <c r="Z251" s="43">
        <f>INDEX($B$9:$U$28,A251-(Inputs!$I$2-Inputs!$I$3)-1,Inputs!$I$2+1-A251)</f>
        <v>1196444589.6399999</v>
      </c>
      <c r="AA251" s="43">
        <f t="shared" ca="1" si="195"/>
        <v>68510066.259941816</v>
      </c>
    </row>
    <row r="252" spans="1:27" x14ac:dyDescent="0.25">
      <c r="A252">
        <f t="shared" si="177"/>
        <v>2003</v>
      </c>
      <c r="B252" s="43">
        <f t="shared" ca="1" si="178"/>
        <v>327008315.1173082</v>
      </c>
      <c r="C252" s="43">
        <f t="shared" ca="1" si="179"/>
        <v>526285070.27058059</v>
      </c>
      <c r="D252" s="43">
        <f t="shared" ca="1" si="180"/>
        <v>624300668.80217671</v>
      </c>
      <c r="E252" s="43">
        <f t="shared" ca="1" si="181"/>
        <v>679736396.79548085</v>
      </c>
      <c r="F252" s="43">
        <f t="shared" ca="1" si="182"/>
        <v>718618497.43528926</v>
      </c>
      <c r="G252" s="43">
        <f t="shared" ca="1" si="183"/>
        <v>747870405.63290823</v>
      </c>
      <c r="H252" s="43">
        <f t="shared" ca="1" si="184"/>
        <v>767052145.1371361</v>
      </c>
      <c r="I252" s="43">
        <f t="shared" ca="1" si="185"/>
        <v>781013728.26519907</v>
      </c>
      <c r="J252" s="43">
        <f t="shared" ca="1" si="186"/>
        <v>790928924.33431971</v>
      </c>
      <c r="K252" s="43">
        <f t="shared" ca="1" si="187"/>
        <v>800099632.92444658</v>
      </c>
      <c r="L252" s="43">
        <f t="shared" ca="1" si="188"/>
        <v>804414671.1275208</v>
      </c>
      <c r="M252" s="43">
        <f t="shared" ca="1" si="189"/>
        <v>810049461.39679885</v>
      </c>
      <c r="N252" s="43">
        <f t="shared" ca="1" si="190"/>
        <v>814516939.32797956</v>
      </c>
      <c r="O252" s="106">
        <f ca="1">N252+Monte_Carlo_Algorithm(O182/$C$105,$C$105)</f>
        <v>814560249.32096815</v>
      </c>
      <c r="P252" s="106">
        <f ca="1">O252+Monte_Carlo_Algorithm(P182/$C$105,$C$105)</f>
        <v>814928402.06323111</v>
      </c>
      <c r="Q252" s="106">
        <f t="shared" ca="1" si="200"/>
        <v>820926530.32658947</v>
      </c>
      <c r="R252" s="106">
        <f t="shared" ca="1" si="199"/>
        <v>821336256.76685178</v>
      </c>
      <c r="S252" s="106">
        <f t="shared" ca="1" si="198"/>
        <v>822257536.36451006</v>
      </c>
      <c r="T252" s="106">
        <f t="shared" ca="1" si="197"/>
        <v>823479385.45983374</v>
      </c>
      <c r="U252" s="106">
        <f t="shared" ca="1" si="196"/>
        <v>831547360.38634968</v>
      </c>
      <c r="X252" s="59">
        <f t="shared" ca="1" si="194"/>
        <v>833543709.83509016</v>
      </c>
      <c r="Y252" s="43" t="e">
        <f ca="1">_xll.RiskOutput(CONCATENATE(A252," / Inc TNR"))+X252-'Paid Bootstrap'!AS252</f>
        <v>#NAME?</v>
      </c>
      <c r="Z252" s="43">
        <f>INDEX($B$9:$U$28,A252-(Inputs!$I$2-Inputs!$I$3)-1,Inputs!$I$2+1-A252)</f>
        <v>815600380.29999995</v>
      </c>
      <c r="AA252" s="43">
        <f t="shared" ca="1" si="195"/>
        <v>17943329.535090208</v>
      </c>
    </row>
    <row r="253" spans="1:27" x14ac:dyDescent="0.25">
      <c r="A253">
        <f t="shared" si="177"/>
        <v>2004</v>
      </c>
      <c r="B253" s="43">
        <f t="shared" ca="1" si="178"/>
        <v>237820048.10988668</v>
      </c>
      <c r="C253" s="43">
        <f t="shared" ca="1" si="179"/>
        <v>384107995.07510924</v>
      </c>
      <c r="D253" s="43">
        <f t="shared" ca="1" si="180"/>
        <v>458931362.90127993</v>
      </c>
      <c r="E253" s="43">
        <f t="shared" ca="1" si="181"/>
        <v>500875706.11791456</v>
      </c>
      <c r="F253" s="43">
        <f t="shared" ca="1" si="182"/>
        <v>529052845.36551452</v>
      </c>
      <c r="G253" s="43">
        <f t="shared" ca="1" si="183"/>
        <v>550106463.2276125</v>
      </c>
      <c r="H253" s="43">
        <f t="shared" ca="1" si="184"/>
        <v>564590469.52521968</v>
      </c>
      <c r="I253" s="43">
        <f t="shared" ca="1" si="185"/>
        <v>575961585.80821538</v>
      </c>
      <c r="J253" s="43">
        <f t="shared" ca="1" si="186"/>
        <v>583188532.9379487</v>
      </c>
      <c r="K253" s="43">
        <f t="shared" ca="1" si="187"/>
        <v>589895061.40129161</v>
      </c>
      <c r="L253" s="43">
        <f t="shared" ca="1" si="188"/>
        <v>592721234.62210119</v>
      </c>
      <c r="M253" s="43">
        <f t="shared" ca="1" si="189"/>
        <v>597100965.46216428</v>
      </c>
      <c r="N253" s="106">
        <f ca="1">M253+Monte_Carlo_Algorithm(N183/$C$105,$C$105)</f>
        <v>597878877.07360661</v>
      </c>
      <c r="O253" s="106">
        <f ca="1">N253+Monte_Carlo_Algorithm(O183/$C$105,$C$105)</f>
        <v>597988748.04554117</v>
      </c>
      <c r="P253" s="106">
        <f ca="1">O253+Monte_Carlo_Algorithm(P183/$C$105,$C$105)</f>
        <v>600020131.34465134</v>
      </c>
      <c r="Q253" s="106">
        <f t="shared" ca="1" si="200"/>
        <v>601006722.02762675</v>
      </c>
      <c r="R253" s="106">
        <f t="shared" ca="1" si="199"/>
        <v>607926371.26035225</v>
      </c>
      <c r="S253" s="106">
        <f t="shared" ca="1" si="198"/>
        <v>607985638.01817656</v>
      </c>
      <c r="T253" s="106">
        <f t="shared" ca="1" si="197"/>
        <v>608128229.60553992</v>
      </c>
      <c r="U253" s="106">
        <f t="shared" ca="1" si="196"/>
        <v>608672311.24325967</v>
      </c>
      <c r="X253" s="59">
        <f t="shared" ca="1" si="194"/>
        <v>610133590.16843057</v>
      </c>
      <c r="Y253" s="43" t="e">
        <f ca="1">_xll.RiskOutput(CONCATENATE(A253," / Inc TNR"))+X253-'Paid Bootstrap'!AS253</f>
        <v>#NAME?</v>
      </c>
      <c r="Z253" s="43">
        <f>INDEX($B$9:$U$28,A253-(Inputs!$I$2-Inputs!$I$3)-1,Inputs!$I$2+1-A253)</f>
        <v>599857885.06999993</v>
      </c>
      <c r="AA253" s="43">
        <f t="shared" ca="1" si="195"/>
        <v>10275705.098430634</v>
      </c>
    </row>
    <row r="254" spans="1:27" x14ac:dyDescent="0.25">
      <c r="A254">
        <f t="shared" si="177"/>
        <v>2005</v>
      </c>
      <c r="B254" s="43">
        <f t="shared" ca="1" si="178"/>
        <v>128917512.33134112</v>
      </c>
      <c r="C254" s="43">
        <f t="shared" ca="1" si="179"/>
        <v>208775426.78723705</v>
      </c>
      <c r="D254" s="43">
        <f t="shared" ca="1" si="180"/>
        <v>247889455.56062162</v>
      </c>
      <c r="E254" s="43">
        <f t="shared" ca="1" si="181"/>
        <v>270699079.78743345</v>
      </c>
      <c r="F254" s="43">
        <f t="shared" ca="1" si="182"/>
        <v>286343828.3779217</v>
      </c>
      <c r="G254" s="43">
        <f t="shared" ca="1" si="183"/>
        <v>297658227.52051204</v>
      </c>
      <c r="H254" s="43">
        <f t="shared" ca="1" si="184"/>
        <v>305675022.09455723</v>
      </c>
      <c r="I254" s="43">
        <f t="shared" ca="1" si="185"/>
        <v>311440778.61620897</v>
      </c>
      <c r="J254" s="43">
        <f t="shared" ca="1" si="186"/>
        <v>315337886.10685241</v>
      </c>
      <c r="K254" s="43">
        <f t="shared" ca="1" si="187"/>
        <v>318673117.84067655</v>
      </c>
      <c r="L254" s="43">
        <f t="shared" ca="1" si="188"/>
        <v>320475699.46903396</v>
      </c>
      <c r="M254" s="106">
        <f ca="1">L254+Monte_Carlo_Algorithm(M184/$C$105,$C$105)</f>
        <v>324296964.93912059</v>
      </c>
      <c r="N254" s="106">
        <f ca="1">M254+Monte_Carlo_Algorithm(N184/$C$105,$C$105)</f>
        <v>325553539.0791868</v>
      </c>
      <c r="O254" s="106">
        <f ca="1">N254+Monte_Carlo_Algorithm(O184/$C$105,$C$105)</f>
        <v>325641937.27386719</v>
      </c>
      <c r="P254" s="106">
        <f ca="1">O254+Monte_Carlo_Algorithm(P184/$C$105,$C$105)</f>
        <v>326011301.69318664</v>
      </c>
      <c r="Q254" s="106">
        <f t="shared" ca="1" si="200"/>
        <v>326347303.34858155</v>
      </c>
      <c r="R254" s="106">
        <f t="shared" ca="1" si="199"/>
        <v>326414338.77658612</v>
      </c>
      <c r="S254" s="106">
        <f t="shared" ca="1" si="198"/>
        <v>326414338.77658612</v>
      </c>
      <c r="T254" s="106">
        <f t="shared" ca="1" si="197"/>
        <v>326414338.79640222</v>
      </c>
      <c r="U254" s="106">
        <f t="shared" ca="1" si="196"/>
        <v>330870893.16525698</v>
      </c>
      <c r="X254" s="59">
        <f t="shared" ca="1" si="194"/>
        <v>332085955.80220515</v>
      </c>
      <c r="Y254" s="43" t="e">
        <f ca="1">_xll.RiskOutput(CONCATENATE(A254," / Inc TNR"))+X254-'Paid Bootstrap'!AS254</f>
        <v>#NAME?</v>
      </c>
      <c r="Z254" s="43">
        <f>INDEX($B$9:$U$28,A254-(Inputs!$I$2-Inputs!$I$3)-1,Inputs!$I$2+1-A254)</f>
        <v>324678850.15999997</v>
      </c>
      <c r="AA254" s="43">
        <f t="shared" ca="1" si="195"/>
        <v>7407105.6422051787</v>
      </c>
    </row>
    <row r="255" spans="1:27" x14ac:dyDescent="0.25">
      <c r="A255">
        <f t="shared" si="177"/>
        <v>2006</v>
      </c>
      <c r="B255" s="43">
        <f t="shared" ca="1" si="178"/>
        <v>110585053.51618624</v>
      </c>
      <c r="C255" s="43">
        <f t="shared" ca="1" si="179"/>
        <v>178157324.22669116</v>
      </c>
      <c r="D255" s="43">
        <f t="shared" ca="1" si="180"/>
        <v>211421410.9770703</v>
      </c>
      <c r="E255" s="43">
        <f t="shared" ca="1" si="181"/>
        <v>230688323.86521316</v>
      </c>
      <c r="F255" s="43">
        <f t="shared" ca="1" si="182"/>
        <v>245105330.98902652</v>
      </c>
      <c r="G255" s="43">
        <f t="shared" ca="1" si="183"/>
        <v>255022022.91615728</v>
      </c>
      <c r="H255" s="43">
        <f t="shared" ca="1" si="184"/>
        <v>261943676.60687193</v>
      </c>
      <c r="I255" s="43">
        <f t="shared" ca="1" si="185"/>
        <v>266917139.66505772</v>
      </c>
      <c r="J255" s="43">
        <f t="shared" ca="1" si="186"/>
        <v>270270883.88011003</v>
      </c>
      <c r="K255" s="43">
        <f t="shared" ca="1" si="187"/>
        <v>273954123.74390519</v>
      </c>
      <c r="L255" s="106">
        <f ca="1">K255+Monte_Carlo_Algorithm(L185/$C$105,$C$105)</f>
        <v>273961937.51112455</v>
      </c>
      <c r="M255" s="106">
        <f ca="1">L255+Monte_Carlo_Algorithm(M185/$C$105,$C$105)</f>
        <v>279261106.68262124</v>
      </c>
      <c r="N255" s="106">
        <f ca="1">M255+Monte_Carlo_Algorithm(N185/$C$105,$C$105)</f>
        <v>280897209.39451116</v>
      </c>
      <c r="O255" s="106">
        <f ca="1">N255+Monte_Carlo_Algorithm(O185/$C$105,$C$105)</f>
        <v>281070963.58969945</v>
      </c>
      <c r="P255" s="106">
        <f ca="1">O255+Monte_Carlo_Algorithm(P185/$C$105,$C$105)</f>
        <v>284312835.0304597</v>
      </c>
      <c r="Q255" s="106">
        <f t="shared" ca="1" si="200"/>
        <v>284845409.38094598</v>
      </c>
      <c r="R255" s="106">
        <f t="shared" ca="1" si="199"/>
        <v>293111249.75736916</v>
      </c>
      <c r="S255" s="106">
        <f t="shared" ca="1" si="198"/>
        <v>293111268.86524117</v>
      </c>
      <c r="T255" s="106">
        <f t="shared" ca="1" si="197"/>
        <v>293140021.32424402</v>
      </c>
      <c r="U255" s="106">
        <f t="shared" ca="1" si="196"/>
        <v>293274496.73348761</v>
      </c>
      <c r="X255" s="59">
        <f t="shared" ca="1" si="194"/>
        <v>296552093.48968798</v>
      </c>
      <c r="Y255" s="43" t="e">
        <f ca="1">_xll.RiskOutput(CONCATENATE(A255," / Inc TNR"))+X255-'Paid Bootstrap'!AS255</f>
        <v>#NAME?</v>
      </c>
      <c r="Z255" s="43">
        <f>INDEX($B$9:$U$28,A255-(Inputs!$I$2-Inputs!$I$3)-1,Inputs!$I$2+1-A255)</f>
        <v>272653223.23000002</v>
      </c>
      <c r="AA255" s="43">
        <f t="shared" ca="1" si="195"/>
        <v>23898870.25968796</v>
      </c>
    </row>
    <row r="256" spans="1:27" x14ac:dyDescent="0.25">
      <c r="A256">
        <f t="shared" si="177"/>
        <v>2007</v>
      </c>
      <c r="B256" s="43">
        <f t="shared" ca="1" si="178"/>
        <v>98390703.912917346</v>
      </c>
      <c r="C256" s="43">
        <f t="shared" ca="1" si="179"/>
        <v>158220865.85803014</v>
      </c>
      <c r="D256" s="43">
        <f t="shared" ca="1" si="180"/>
        <v>186483446.5014413</v>
      </c>
      <c r="E256" s="43">
        <f t="shared" ca="1" si="181"/>
        <v>204335066.03357595</v>
      </c>
      <c r="F256" s="43">
        <f t="shared" ca="1" si="182"/>
        <v>215747010.67666742</v>
      </c>
      <c r="G256" s="43">
        <f t="shared" ca="1" si="183"/>
        <v>224313558.67976603</v>
      </c>
      <c r="H256" s="43">
        <f t="shared" ca="1" si="184"/>
        <v>229832494.56545874</v>
      </c>
      <c r="I256" s="43">
        <f t="shared" ca="1" si="185"/>
        <v>234078661.23177966</v>
      </c>
      <c r="J256" s="43">
        <f t="shared" ca="1" si="186"/>
        <v>237103102.85163972</v>
      </c>
      <c r="K256" s="43">
        <f t="shared" ca="1" si="187"/>
        <v>239876360.14647973</v>
      </c>
      <c r="L256" s="106">
        <f t="shared" ref="L256:U264" ca="1" si="201">K256+Monte_Carlo_Algorithm(L186/$C$105,$C$105)</f>
        <v>240731317.27309379</v>
      </c>
      <c r="M256" s="106">
        <f t="shared" ca="1" si="201"/>
        <v>246518060.39115816</v>
      </c>
      <c r="N256" s="106">
        <f t="shared" ca="1" si="201"/>
        <v>246584004.15429026</v>
      </c>
      <c r="O256" s="106">
        <f t="shared" ca="1" si="201"/>
        <v>246595490.57004115</v>
      </c>
      <c r="P256" s="106">
        <f t="shared" ca="1" si="201"/>
        <v>246633857.67462361</v>
      </c>
      <c r="Q256" s="106">
        <f t="shared" ca="1" si="201"/>
        <v>246634837.26818645</v>
      </c>
      <c r="R256" s="106">
        <f t="shared" ca="1" si="201"/>
        <v>248387083.99359763</v>
      </c>
      <c r="S256" s="106">
        <f t="shared" ca="1" si="201"/>
        <v>248387083.99359962</v>
      </c>
      <c r="T256" s="106">
        <f t="shared" ca="1" si="201"/>
        <v>248424668.34523326</v>
      </c>
      <c r="U256" s="106">
        <f t="shared" ca="1" si="201"/>
        <v>250001409.46127924</v>
      </c>
      <c r="X256" s="59">
        <f ca="1">U256*INDEX($AE$169:$AJ$169,INT(RAND()*COUNT($AE$169:$AJ$169))+1)</f>
        <v>252795391.95148003</v>
      </c>
      <c r="Y256" s="43" t="e">
        <f ca="1">_xll.RiskOutput(CONCATENATE(A256," / Inc TNR"))+X256-'Paid Bootstrap'!AS256</f>
        <v>#NAME?</v>
      </c>
      <c r="Z256" s="43">
        <f>INDEX($B$9:$U$28,A256-(Inputs!$I$2-Inputs!$I$3)-1,Inputs!$I$2+1-A256)</f>
        <v>236632376.44</v>
      </c>
      <c r="AA256" s="43">
        <f ca="1">X256-Z256</f>
        <v>16163015.511480033</v>
      </c>
    </row>
    <row r="257" spans="1:28" x14ac:dyDescent="0.25">
      <c r="A257">
        <f t="shared" si="177"/>
        <v>2008</v>
      </c>
      <c r="B257" s="43">
        <f t="shared" ca="1" si="178"/>
        <v>86974887.106635809</v>
      </c>
      <c r="C257" s="43">
        <f t="shared" ca="1" si="179"/>
        <v>140854523.88993788</v>
      </c>
      <c r="D257" s="43">
        <f t="shared" ca="1" si="180"/>
        <v>167034629.04865485</v>
      </c>
      <c r="E257" s="43">
        <f t="shared" ca="1" si="181"/>
        <v>182378626.31023705</v>
      </c>
      <c r="F257" s="43">
        <f t="shared" ca="1" si="182"/>
        <v>193051845.11208984</v>
      </c>
      <c r="G257" s="43">
        <f t="shared" ca="1" si="183"/>
        <v>200796976.7469154</v>
      </c>
      <c r="H257" s="43">
        <f t="shared" ca="1" si="184"/>
        <v>205683143.84018809</v>
      </c>
      <c r="I257" s="43">
        <f t="shared" ca="1" si="185"/>
        <v>209532462.68318164</v>
      </c>
      <c r="J257" s="106">
        <f t="shared" ref="J257:J264" ca="1" si="202">I257+Monte_Carlo_Algorithm(J187/$C$105,$C$105)</f>
        <v>231579875.97042519</v>
      </c>
      <c r="K257" s="106">
        <f t="shared" ref="K257:K264" ca="1" si="203">J257+Monte_Carlo_Algorithm(K187/$C$105,$C$105)</f>
        <v>232404794.12469769</v>
      </c>
      <c r="L257" s="106">
        <f t="shared" ca="1" si="201"/>
        <v>232527863.20896474</v>
      </c>
      <c r="M257" s="106">
        <f t="shared" ca="1" si="201"/>
        <v>233511261.70019713</v>
      </c>
      <c r="N257" s="106">
        <f t="shared" ca="1" si="201"/>
        <v>233666023.79715192</v>
      </c>
      <c r="O257" s="106">
        <f t="shared" ca="1" si="201"/>
        <v>233666285.57419226</v>
      </c>
      <c r="P257" s="106">
        <f t="shared" ca="1" si="201"/>
        <v>235499254.46302658</v>
      </c>
      <c r="Q257" s="106">
        <f t="shared" ca="1" si="201"/>
        <v>235575631.92511737</v>
      </c>
      <c r="R257" s="106">
        <f t="shared" ca="1" si="201"/>
        <v>237200706.18769759</v>
      </c>
      <c r="S257" s="106">
        <f t="shared" ca="1" si="201"/>
        <v>237200706.18813425</v>
      </c>
      <c r="T257" s="106">
        <f t="shared" ca="1" si="201"/>
        <v>237200820.4443433</v>
      </c>
      <c r="U257" s="106">
        <f t="shared" ca="1" si="201"/>
        <v>239330239.02456379</v>
      </c>
      <c r="X257" s="59">
        <f t="shared" ca="1" si="194"/>
        <v>244462396.27025095</v>
      </c>
      <c r="Y257" s="43" t="e">
        <f ca="1">_xll.RiskOutput(CONCATENATE(A257," / Inc TNR"))+X257-'Paid Bootstrap'!AS257</f>
        <v>#NAME?</v>
      </c>
      <c r="Z257" s="43">
        <f>INDEX($B$9:$U$28,A257-(Inputs!$I$2-Inputs!$I$3)-1,Inputs!$I$2+1-A257)</f>
        <v>209805789.06999999</v>
      </c>
      <c r="AA257" s="43">
        <f t="shared" ca="1" si="195"/>
        <v>34656607.200250953</v>
      </c>
    </row>
    <row r="258" spans="1:28" x14ac:dyDescent="0.25">
      <c r="A258">
        <f t="shared" si="177"/>
        <v>2009</v>
      </c>
      <c r="B258" s="43">
        <f t="shared" ca="1" si="178"/>
        <v>76731661.598099142</v>
      </c>
      <c r="C258" s="43">
        <f t="shared" ca="1" si="179"/>
        <v>123517247.5441746</v>
      </c>
      <c r="D258" s="43">
        <f t="shared" ca="1" si="180"/>
        <v>147375761.12781823</v>
      </c>
      <c r="E258" s="43">
        <f t="shared" ca="1" si="181"/>
        <v>160942795.69335604</v>
      </c>
      <c r="F258" s="43">
        <f t="shared" ca="1" si="182"/>
        <v>170294468.08715123</v>
      </c>
      <c r="G258" s="43">
        <f t="shared" ca="1" si="183"/>
        <v>177343518.63075644</v>
      </c>
      <c r="H258" s="43">
        <f t="shared" ca="1" si="184"/>
        <v>181749888.72593221</v>
      </c>
      <c r="I258" s="106">
        <f t="shared" ref="I258:I264" ca="1" si="204">H258+Monte_Carlo_Algorithm(I188/$C$105,$C$105)</f>
        <v>192087903.55297887</v>
      </c>
      <c r="J258" s="106">
        <f t="shared" ca="1" si="202"/>
        <v>192293317.12085706</v>
      </c>
      <c r="K258" s="106">
        <f t="shared" ca="1" si="203"/>
        <v>192312255.08510822</v>
      </c>
      <c r="L258" s="106">
        <f t="shared" ca="1" si="201"/>
        <v>192925303.38322058</v>
      </c>
      <c r="M258" s="106">
        <f t="shared" ca="1" si="201"/>
        <v>193496439.64202806</v>
      </c>
      <c r="N258" s="106">
        <f t="shared" ca="1" si="201"/>
        <v>194120507.16470489</v>
      </c>
      <c r="O258" s="106">
        <f t="shared" ca="1" si="201"/>
        <v>194134508.18283209</v>
      </c>
      <c r="P258" s="106">
        <f t="shared" ca="1" si="201"/>
        <v>194151231.38446146</v>
      </c>
      <c r="Q258" s="106">
        <f t="shared" ca="1" si="201"/>
        <v>195164179.57927799</v>
      </c>
      <c r="R258" s="106">
        <f t="shared" ca="1" si="201"/>
        <v>196133381.53187743</v>
      </c>
      <c r="S258" s="106">
        <f t="shared" ca="1" si="201"/>
        <v>196135792.85506195</v>
      </c>
      <c r="T258" s="106">
        <f t="shared" ca="1" si="201"/>
        <v>196135963.16443986</v>
      </c>
      <c r="U258" s="106">
        <f t="shared" ca="1" si="201"/>
        <v>196137668.32476154</v>
      </c>
      <c r="X258" s="59">
        <f t="shared" ca="1" si="194"/>
        <v>223763338.52185372</v>
      </c>
      <c r="Y258" s="43" t="e">
        <f ca="1">_xll.RiskOutput(CONCATENATE(A258," / Inc TNR"))+X258-'Paid Bootstrap'!AS258</f>
        <v>#NAME?</v>
      </c>
      <c r="Z258" s="43">
        <f>INDEX($B$9:$U$28,A258-(Inputs!$I$2-Inputs!$I$3)-1,Inputs!$I$2+1-A258)</f>
        <v>180723353.93000001</v>
      </c>
      <c r="AA258" s="43">
        <f t="shared" ca="1" si="195"/>
        <v>43039984.591853708</v>
      </c>
    </row>
    <row r="259" spans="1:28" x14ac:dyDescent="0.25">
      <c r="A259">
        <f t="shared" si="177"/>
        <v>2010</v>
      </c>
      <c r="B259" s="43">
        <f t="shared" ca="1" si="178"/>
        <v>70611993.979695365</v>
      </c>
      <c r="C259" s="43">
        <f t="shared" ca="1" si="179"/>
        <v>113472978.06622094</v>
      </c>
      <c r="D259" s="43">
        <f t="shared" ca="1" si="180"/>
        <v>134874550.44464397</v>
      </c>
      <c r="E259" s="43">
        <f t="shared" ca="1" si="181"/>
        <v>146872814.72304884</v>
      </c>
      <c r="F259" s="43">
        <f t="shared" ca="1" si="182"/>
        <v>155259149.75104353</v>
      </c>
      <c r="G259" s="43">
        <f t="shared" ca="1" si="183"/>
        <v>161472295.81654942</v>
      </c>
      <c r="H259" s="106">
        <f t="shared" ref="H259:H264" ca="1" si="205">G259+Monte_Carlo_Algorithm(H189/$C$105,$C$105)</f>
        <v>161642645.00779599</v>
      </c>
      <c r="I259" s="106">
        <f t="shared" ca="1" si="204"/>
        <v>166222013.98718777</v>
      </c>
      <c r="J259" s="106">
        <f t="shared" ca="1" si="202"/>
        <v>166331069.0368202</v>
      </c>
      <c r="K259" s="106">
        <f t="shared" ca="1" si="203"/>
        <v>180209785.83172524</v>
      </c>
      <c r="L259" s="106">
        <f t="shared" ca="1" si="201"/>
        <v>182131428.71258745</v>
      </c>
      <c r="M259" s="106">
        <f t="shared" ca="1" si="201"/>
        <v>182192623.90751123</v>
      </c>
      <c r="N259" s="106">
        <f t="shared" ca="1" si="201"/>
        <v>183525330.00792578</v>
      </c>
      <c r="O259" s="106">
        <f t="shared" ca="1" si="201"/>
        <v>183597732.82586485</v>
      </c>
      <c r="P259" s="106">
        <f t="shared" ca="1" si="201"/>
        <v>184292078.07819319</v>
      </c>
      <c r="Q259" s="106">
        <f t="shared" ca="1" si="201"/>
        <v>184292082.68199992</v>
      </c>
      <c r="R259" s="106">
        <f t="shared" ca="1" si="201"/>
        <v>184576030.75662458</v>
      </c>
      <c r="S259" s="106">
        <f t="shared" ca="1" si="201"/>
        <v>184736835.09604746</v>
      </c>
      <c r="T259" s="106">
        <f t="shared" ca="1" si="201"/>
        <v>184856175.31810266</v>
      </c>
      <c r="U259" s="106">
        <f t="shared" ca="1" si="201"/>
        <v>185022288.10825124</v>
      </c>
      <c r="X259" s="59">
        <f t="shared" ca="1" si="194"/>
        <v>185466483.06390357</v>
      </c>
      <c r="Y259" s="43" t="e">
        <f ca="1">_xll.RiskOutput(CONCATENATE(A259," / Inc TNR"))+X259-'Paid Bootstrap'!AS259</f>
        <v>#NAME?</v>
      </c>
      <c r="Z259" s="43">
        <f>INDEX($B$9:$U$28,A259-(Inputs!$I$2-Inputs!$I$3)-1,Inputs!$I$2+1-A259)</f>
        <v>160451386.60000002</v>
      </c>
      <c r="AA259" s="43">
        <f t="shared" ca="1" si="195"/>
        <v>25015096.463903546</v>
      </c>
    </row>
    <row r="260" spans="1:28" x14ac:dyDescent="0.25">
      <c r="A260">
        <f t="shared" si="177"/>
        <v>2011</v>
      </c>
      <c r="B260" s="43">
        <f t="shared" ca="1" si="178"/>
        <v>69827180.950153783</v>
      </c>
      <c r="C260" s="43">
        <f t="shared" ca="1" si="179"/>
        <v>111168055.4809868</v>
      </c>
      <c r="D260" s="43">
        <f t="shared" ca="1" si="180"/>
        <v>131284511.28235441</v>
      </c>
      <c r="E260" s="43">
        <f t="shared" ca="1" si="181"/>
        <v>142563426.01215833</v>
      </c>
      <c r="F260" s="43">
        <f t="shared" ca="1" si="182"/>
        <v>150788437.2032676</v>
      </c>
      <c r="G260" s="106">
        <f ca="1">F260+Monte_Carlo_Algorithm(G190/$C$105,$C$105)</f>
        <v>154182414.87608176</v>
      </c>
      <c r="H260" s="106">
        <f t="shared" ca="1" si="205"/>
        <v>165128652.60155401</v>
      </c>
      <c r="I260" s="106">
        <f t="shared" ca="1" si="204"/>
        <v>165290311.75506699</v>
      </c>
      <c r="J260" s="106">
        <f t="shared" ca="1" si="202"/>
        <v>167011986.67370963</v>
      </c>
      <c r="K260" s="106">
        <f t="shared" ca="1" si="203"/>
        <v>167059536.05645335</v>
      </c>
      <c r="L260" s="106">
        <f t="shared" ca="1" si="201"/>
        <v>167166611.45366216</v>
      </c>
      <c r="M260" s="106">
        <f t="shared" ca="1" si="201"/>
        <v>173429717.67023474</v>
      </c>
      <c r="N260" s="106">
        <f t="shared" ca="1" si="201"/>
        <v>173573632.61051056</v>
      </c>
      <c r="O260" s="106">
        <f t="shared" ca="1" si="201"/>
        <v>174988484.91965935</v>
      </c>
      <c r="P260" s="106">
        <f t="shared" ca="1" si="201"/>
        <v>174988485.00094128</v>
      </c>
      <c r="Q260" s="106">
        <f t="shared" ca="1" si="201"/>
        <v>174988561.21786028</v>
      </c>
      <c r="R260" s="106">
        <f t="shared" ca="1" si="201"/>
        <v>180868292.42123374</v>
      </c>
      <c r="S260" s="106">
        <f t="shared" ca="1" si="201"/>
        <v>180868292.47306207</v>
      </c>
      <c r="T260" s="106">
        <f t="shared" ca="1" si="201"/>
        <v>184503428.08507678</v>
      </c>
      <c r="U260" s="106">
        <f t="shared" ca="1" si="201"/>
        <v>185973825.18589559</v>
      </c>
      <c r="X260" s="59">
        <f t="shared" ca="1" si="194"/>
        <v>186420304.55805972</v>
      </c>
      <c r="Y260" s="43" t="e">
        <f ca="1">_xll.RiskOutput(CONCATENATE(A260," / Inc TNR"))+X260-'Paid Bootstrap'!AS260</f>
        <v>#NAME?</v>
      </c>
      <c r="Z260" s="43">
        <f>INDEX($B$9:$U$28,A260-(Inputs!$I$2-Inputs!$I$3)-1,Inputs!$I$2+1-A260)</f>
        <v>150437071.94</v>
      </c>
      <c r="AA260" s="43">
        <f t="shared" ca="1" si="195"/>
        <v>35983232.618059725</v>
      </c>
    </row>
    <row r="261" spans="1:28" x14ac:dyDescent="0.25">
      <c r="A261">
        <f t="shared" si="177"/>
        <v>2012</v>
      </c>
      <c r="B261" s="43">
        <f t="shared" ca="1" si="178"/>
        <v>71408874.094043732</v>
      </c>
      <c r="C261" s="43">
        <f t="shared" ca="1" si="179"/>
        <v>115189968.61555055</v>
      </c>
      <c r="D261" s="43">
        <f t="shared" ca="1" si="180"/>
        <v>136999698.30706286</v>
      </c>
      <c r="E261" s="43">
        <f t="shared" ca="1" si="181"/>
        <v>148980759.75546795</v>
      </c>
      <c r="F261" s="106">
        <f ca="1">E261+Monte_Carlo_Algorithm(F191/$C$105,$C$105)</f>
        <v>152826094.09323415</v>
      </c>
      <c r="G261" s="106">
        <f ca="1">F261+Monte_Carlo_Algorithm(G191/$C$105,$C$105)</f>
        <v>155863774.67003331</v>
      </c>
      <c r="H261" s="106">
        <f t="shared" ca="1" si="205"/>
        <v>157942259.67807329</v>
      </c>
      <c r="I261" s="106">
        <f t="shared" ca="1" si="204"/>
        <v>160659316.89519688</v>
      </c>
      <c r="J261" s="106">
        <f t="shared" ca="1" si="202"/>
        <v>162545523.70331365</v>
      </c>
      <c r="K261" s="106">
        <f t="shared" ca="1" si="203"/>
        <v>164237227.84797075</v>
      </c>
      <c r="L261" s="106">
        <f t="shared" ca="1" si="201"/>
        <v>164468182.37928361</v>
      </c>
      <c r="M261" s="106">
        <f t="shared" ca="1" si="201"/>
        <v>167343256.43016335</v>
      </c>
      <c r="N261" s="106">
        <f t="shared" ca="1" si="201"/>
        <v>167383573.57355216</v>
      </c>
      <c r="O261" s="106">
        <f t="shared" ca="1" si="201"/>
        <v>170061220.0921078</v>
      </c>
      <c r="P261" s="106">
        <f t="shared" ca="1" si="201"/>
        <v>170075799.74095106</v>
      </c>
      <c r="Q261" s="106">
        <f t="shared" ca="1" si="201"/>
        <v>170077927.39378268</v>
      </c>
      <c r="R261" s="106">
        <f t="shared" ca="1" si="201"/>
        <v>173013521.63597777</v>
      </c>
      <c r="S261" s="106">
        <f t="shared" ca="1" si="201"/>
        <v>173015737.79385123</v>
      </c>
      <c r="T261" s="106">
        <f t="shared" ca="1" si="201"/>
        <v>174021046.936452</v>
      </c>
      <c r="U261" s="106">
        <f t="shared" ca="1" si="201"/>
        <v>174670690.49537745</v>
      </c>
      <c r="X261" s="59">
        <f t="shared" ca="1" si="194"/>
        <v>199272771.93102422</v>
      </c>
      <c r="Y261" s="43" t="e">
        <f ca="1">_xll.RiskOutput(CONCATENATE(A261," / Inc TNR"))+X261-'Paid Bootstrap'!AS261</f>
        <v>#NAME?</v>
      </c>
      <c r="Z261" s="43">
        <f>INDEX($B$9:$U$28,A261-(Inputs!$I$2-Inputs!$I$3)-1,Inputs!$I$2+1-A261)</f>
        <v>149966321.76999998</v>
      </c>
      <c r="AA261" s="43">
        <f t="shared" ca="1" si="195"/>
        <v>49306450.161024243</v>
      </c>
    </row>
    <row r="262" spans="1:28" x14ac:dyDescent="0.25">
      <c r="A262">
        <f t="shared" si="177"/>
        <v>2013</v>
      </c>
      <c r="B262" s="43">
        <f t="shared" ca="1" si="178"/>
        <v>68346020.918078348</v>
      </c>
      <c r="C262" s="43">
        <f t="shared" ca="1" si="179"/>
        <v>110466153.46376804</v>
      </c>
      <c r="D262" s="43">
        <f t="shared" ca="1" si="180"/>
        <v>131983203.73582268</v>
      </c>
      <c r="E262" s="106">
        <f ca="1">D262+Monte_Carlo_Algorithm(E192/$C$105,$C$105)</f>
        <v>143314878.71094567</v>
      </c>
      <c r="F262" s="106">
        <f ca="1">E262+Monte_Carlo_Algorithm(F192/$C$105,$C$105)</f>
        <v>150669715.88956785</v>
      </c>
      <c r="G262" s="106">
        <f ca="1">F262+Monte_Carlo_Algorithm(G192/$C$105,$C$105)</f>
        <v>158532880.42684379</v>
      </c>
      <c r="H262" s="106">
        <f t="shared" ca="1" si="205"/>
        <v>163386776.51227379</v>
      </c>
      <c r="I262" s="106">
        <f t="shared" ca="1" si="204"/>
        <v>164776825.49613786</v>
      </c>
      <c r="J262" s="106">
        <f t="shared" ca="1" si="202"/>
        <v>172690862.4033356</v>
      </c>
      <c r="K262" s="106">
        <f t="shared" ca="1" si="203"/>
        <v>173247432.92448908</v>
      </c>
      <c r="L262" s="106">
        <f t="shared" ca="1" si="201"/>
        <v>173260184.74882206</v>
      </c>
      <c r="M262" s="106">
        <f t="shared" ca="1" si="201"/>
        <v>173510929.33208901</v>
      </c>
      <c r="N262" s="106">
        <f t="shared" ca="1" si="201"/>
        <v>173513352.79054675</v>
      </c>
      <c r="O262" s="106">
        <f t="shared" ca="1" si="201"/>
        <v>177592043.51590008</v>
      </c>
      <c r="P262" s="106">
        <f t="shared" ca="1" si="201"/>
        <v>177592084.06674221</v>
      </c>
      <c r="Q262" s="106">
        <f t="shared" ca="1" si="201"/>
        <v>177596888.82918972</v>
      </c>
      <c r="R262" s="106">
        <f t="shared" ca="1" si="201"/>
        <v>177743451.6059911</v>
      </c>
      <c r="S262" s="106">
        <f t="shared" ca="1" si="201"/>
        <v>177743451.74961284</v>
      </c>
      <c r="T262" s="106">
        <f t="shared" ca="1" si="201"/>
        <v>179097941.36152899</v>
      </c>
      <c r="U262" s="106">
        <f t="shared" ca="1" si="201"/>
        <v>179134179.58989629</v>
      </c>
      <c r="X262" s="59">
        <f t="shared" ca="1" si="194"/>
        <v>179564238.58317927</v>
      </c>
      <c r="Y262" s="43" t="e">
        <f ca="1">_xll.RiskOutput(CONCATENATE(A262," / Inc TNR"))+X262-'Paid Bootstrap'!AS262</f>
        <v>#NAME?</v>
      </c>
      <c r="Z262" s="43">
        <f>INDEX($B$9:$U$28,A262-(Inputs!$I$2-Inputs!$I$3)-1,Inputs!$I$2+1-A262)</f>
        <v>131225914.50999999</v>
      </c>
      <c r="AA262" s="43">
        <f t="shared" ca="1" si="195"/>
        <v>48338324.073179275</v>
      </c>
    </row>
    <row r="263" spans="1:28" x14ac:dyDescent="0.25">
      <c r="A263">
        <f t="shared" si="177"/>
        <v>2014</v>
      </c>
      <c r="B263" s="43">
        <f t="shared" ca="1" si="178"/>
        <v>71554744.200233221</v>
      </c>
      <c r="C263" s="43">
        <f t="shared" ca="1" si="179"/>
        <v>114048056.18118499</v>
      </c>
      <c r="D263" s="106">
        <f ca="1">C263+Monte_Carlo_Algorithm(D193/$C$105,$C$105)</f>
        <v>125621029.07493958</v>
      </c>
      <c r="E263" s="106">
        <f ca="1">D263+Monte_Carlo_Algorithm(E193/$C$105,$C$105)</f>
        <v>132336117.11017051</v>
      </c>
      <c r="F263" s="106">
        <f ca="1">E263+Monte_Carlo_Algorithm(F193/$C$105,$C$105)</f>
        <v>140873824.24613512</v>
      </c>
      <c r="G263" s="106">
        <f ca="1">F263+Monte_Carlo_Algorithm(G193/$C$105,$C$105)</f>
        <v>141659228.30210051</v>
      </c>
      <c r="H263" s="106">
        <f t="shared" ca="1" si="205"/>
        <v>147069559.28089032</v>
      </c>
      <c r="I263" s="106">
        <f t="shared" ca="1" si="204"/>
        <v>148892850.57534483</v>
      </c>
      <c r="J263" s="106">
        <f t="shared" ca="1" si="202"/>
        <v>148947181.91429493</v>
      </c>
      <c r="K263" s="106">
        <f t="shared" ca="1" si="203"/>
        <v>149241701.87753725</v>
      </c>
      <c r="L263" s="106">
        <f t="shared" ca="1" si="201"/>
        <v>149403844.0214158</v>
      </c>
      <c r="M263" s="106">
        <f t="shared" ca="1" si="201"/>
        <v>149794795.00537065</v>
      </c>
      <c r="N263" s="106">
        <f t="shared" ca="1" si="201"/>
        <v>152096549.02731848</v>
      </c>
      <c r="O263" s="106">
        <f t="shared" ca="1" si="201"/>
        <v>152182408.8256872</v>
      </c>
      <c r="P263" s="106">
        <f t="shared" ca="1" si="201"/>
        <v>152234395.28058413</v>
      </c>
      <c r="Q263" s="106">
        <f t="shared" ca="1" si="201"/>
        <v>152234395.28442517</v>
      </c>
      <c r="R263" s="106">
        <f t="shared" ca="1" si="201"/>
        <v>152234425.52012974</v>
      </c>
      <c r="S263" s="106">
        <f t="shared" ca="1" si="201"/>
        <v>152237501.98158625</v>
      </c>
      <c r="T263" s="106">
        <f t="shared" ca="1" si="201"/>
        <v>152237502.20428586</v>
      </c>
      <c r="U263" s="106">
        <f t="shared" ca="1" si="201"/>
        <v>152255067.92076346</v>
      </c>
      <c r="X263" s="59">
        <f t="shared" ca="1" si="194"/>
        <v>173699945.53218898</v>
      </c>
      <c r="Y263" s="43" t="e">
        <f ca="1">_xll.RiskOutput(CONCATENATE(A263," / Inc TNR"))+X263-'Paid Bootstrap'!AS263</f>
        <v>#NAME?</v>
      </c>
      <c r="Z263" s="43">
        <f>INDEX($B$9:$U$28,A263-(Inputs!$I$2-Inputs!$I$3)-1,Inputs!$I$2+1-A263)</f>
        <v>112728166.76000001</v>
      </c>
      <c r="AA263" s="43">
        <f t="shared" ca="1" si="195"/>
        <v>60971778.772188976</v>
      </c>
    </row>
    <row r="264" spans="1:28" x14ac:dyDescent="0.25">
      <c r="A264">
        <f t="shared" si="177"/>
        <v>2015</v>
      </c>
      <c r="B264" s="43">
        <f t="shared" ca="1" si="178"/>
        <v>59114272.044703916</v>
      </c>
      <c r="C264" s="106">
        <f ca="1">B264+Monte_Carlo_Algorithm(C194/$C$105,$C$105)</f>
        <v>105110477.85614492</v>
      </c>
      <c r="D264" s="106">
        <f ca="1">C264+Monte_Carlo_Algorithm(D194/$C$105,$C$105)</f>
        <v>121437243.75003153</v>
      </c>
      <c r="E264" s="106">
        <f ca="1">D264+Monte_Carlo_Algorithm(E194/$C$105,$C$105)</f>
        <v>134183122.05397394</v>
      </c>
      <c r="F264" s="106">
        <f ca="1">E264+Monte_Carlo_Algorithm(F194/$C$105,$C$105)</f>
        <v>146295502.81970841</v>
      </c>
      <c r="G264" s="106">
        <f ca="1">F264+Monte_Carlo_Algorithm(G194/$C$105,$C$105)</f>
        <v>150922985.65262049</v>
      </c>
      <c r="H264" s="106">
        <f t="shared" ca="1" si="205"/>
        <v>154200934.72017506</v>
      </c>
      <c r="I264" s="106">
        <f t="shared" ca="1" si="204"/>
        <v>154353568.86744326</v>
      </c>
      <c r="J264" s="106">
        <f t="shared" ca="1" si="202"/>
        <v>155134258.15866038</v>
      </c>
      <c r="K264" s="106">
        <f t="shared" ca="1" si="203"/>
        <v>155966849.76129004</v>
      </c>
      <c r="L264" s="106">
        <f t="shared" ca="1" si="201"/>
        <v>156294784.8358618</v>
      </c>
      <c r="M264" s="106">
        <f t="shared" ca="1" si="201"/>
        <v>156298972.25001639</v>
      </c>
      <c r="N264" s="106">
        <f t="shared" ca="1" si="201"/>
        <v>157552832.3349613</v>
      </c>
      <c r="O264" s="106">
        <f t="shared" ca="1" si="201"/>
        <v>157575404.47866455</v>
      </c>
      <c r="P264" s="106">
        <f t="shared" ca="1" si="201"/>
        <v>157575453.13887039</v>
      </c>
      <c r="Q264" s="106">
        <f t="shared" ca="1" si="201"/>
        <v>157575589.46918234</v>
      </c>
      <c r="R264" s="106">
        <f t="shared" ca="1" si="201"/>
        <v>164843394.07282856</v>
      </c>
      <c r="S264" s="106">
        <f t="shared" ca="1" si="201"/>
        <v>164845482.69955543</v>
      </c>
      <c r="T264" s="106">
        <f t="shared" ca="1" si="201"/>
        <v>168725287.78953007</v>
      </c>
      <c r="U264" s="106">
        <f t="shared" ca="1" si="201"/>
        <v>168735075.81171709</v>
      </c>
      <c r="X264" s="59">
        <f t="shared" ca="1" si="194"/>
        <v>170620836.56929258</v>
      </c>
      <c r="Y264" s="43" t="e">
        <f ca="1">_xll.RiskOutput(CONCATENATE(A264," / Inc TNR"))+X264-'Paid Bootstrap'!AS264</f>
        <v>#NAME?</v>
      </c>
      <c r="Z264" s="43">
        <f>INDEX($B$9:$U$28,A264-(Inputs!$I$2-Inputs!$I$3)-1,Inputs!$I$2+1-A264)</f>
        <v>58675317.569999993</v>
      </c>
      <c r="AA264" s="43">
        <f t="shared" ca="1" si="195"/>
        <v>111945518.99929258</v>
      </c>
      <c r="AB264" s="43"/>
    </row>
    <row r="265" spans="1:28" x14ac:dyDescent="0.25">
      <c r="X265" s="7"/>
    </row>
    <row r="266" spans="1:28" x14ac:dyDescent="0.25">
      <c r="X266" s="11">
        <f ca="1">SUM(X245:X264)</f>
        <v>12615078392.479013</v>
      </c>
      <c r="Y266" s="11" t="e">
        <f ca="1">_xll.RiskOutput("Inc TNR Process")+SUM(Y245:Y264)</f>
        <v>#NAME?</v>
      </c>
      <c r="Z266" s="11">
        <f>SUM(Z245:Z264)</f>
        <v>11542471044.85</v>
      </c>
      <c r="AA266" s="11">
        <f ca="1">SUM(AA245:AA264)</f>
        <v>1072607347.6290119</v>
      </c>
    </row>
    <row r="269" spans="1:28" x14ac:dyDescent="0.25">
      <c r="Y269" s="11" t="e">
        <f ca="1">_xll.RiskOutput("Inc TNR Process No Tail")+SUM(U245:U264)-'Paid Bootstrap'!AS266</f>
        <v>#NAME?</v>
      </c>
    </row>
    <row r="273" spans="23:24" x14ac:dyDescent="0.25">
      <c r="W273" s="7"/>
    </row>
    <row r="274" spans="23:24" x14ac:dyDescent="0.25">
      <c r="W274" s="7"/>
    </row>
    <row r="275" spans="23:24" x14ac:dyDescent="0.25">
      <c r="W275" s="10"/>
      <c r="X275" s="7"/>
    </row>
  </sheetData>
  <phoneticPr fontId="4" type="noConversion"/>
  <printOptions horizontalCentered="1"/>
  <pageMargins left="0.5" right="0.5" top="0.69" bottom="0.65" header="0.5" footer="0.5"/>
  <pageSetup scale="45" fitToHeight="0" orientation="landscape" r:id="rId1"/>
  <headerFooter alignWithMargins="0">
    <oddFooter>&amp;L&amp;F&amp;CPage &amp;P of &amp;N&amp;R&amp;A</oddFooter>
  </headerFooter>
  <rowBreaks count="3" manualBreakCount="3">
    <brk id="76" max="20" man="1"/>
    <brk id="151" max="20" man="1"/>
    <brk id="219" max="20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E275"/>
  <sheetViews>
    <sheetView zoomScaleNormal="100" workbookViewId="0">
      <pane xSplit="1" ySplit="8" topLeftCell="B251" activePane="bottomRight" state="frozen"/>
      <selection activeCell="AP224" sqref="AP224"/>
      <selection pane="topRight" activeCell="AP224" sqref="AP224"/>
      <selection pane="bottomLeft" activeCell="AP224" sqref="AP224"/>
      <selection pane="bottomRight" activeCell="B266" sqref="B266"/>
    </sheetView>
  </sheetViews>
  <sheetFormatPr defaultRowHeight="13.2" x14ac:dyDescent="0.25"/>
  <cols>
    <col min="1" max="1" width="18.77734375" customWidth="1"/>
    <col min="2" max="2" width="14.109375" customWidth="1"/>
    <col min="3" max="3" width="12.44140625" bestFit="1" customWidth="1"/>
    <col min="4" max="4" width="20.6640625" bestFit="1" customWidth="1"/>
    <col min="5" max="21" width="14.109375" customWidth="1"/>
    <col min="22" max="30" width="20.6640625" bestFit="1" customWidth="1"/>
    <col min="31" max="41" width="21.77734375" bestFit="1" customWidth="1"/>
    <col min="42" max="42" width="13.44140625" customWidth="1"/>
    <col min="43" max="44" width="22.44140625" bestFit="1" customWidth="1"/>
    <col min="45" max="45" width="14.109375" bestFit="1" customWidth="1"/>
    <col min="46" max="46" width="15.109375" customWidth="1"/>
    <col min="47" max="47" width="12.109375" customWidth="1"/>
    <col min="48" max="48" width="11.44140625" customWidth="1"/>
    <col min="49" max="49" width="12.44140625" customWidth="1"/>
    <col min="50" max="50" width="14.44140625" customWidth="1"/>
    <col min="51" max="52" width="11.44140625" customWidth="1"/>
    <col min="53" max="56" width="11.44140625" bestFit="1" customWidth="1"/>
    <col min="58" max="62" width="10.109375" bestFit="1" customWidth="1"/>
    <col min="64" max="64" width="11.44140625" bestFit="1" customWidth="1"/>
    <col min="65" max="65" width="11" bestFit="1" customWidth="1"/>
    <col min="66" max="68" width="11.44140625" bestFit="1" customWidth="1"/>
  </cols>
  <sheetData>
    <row r="1" spans="1:52" x14ac:dyDescent="0.25">
      <c r="A1" s="12" t="str">
        <f>"Paid "&amp;Inputs!D3</f>
        <v>Paid Bootstrap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</row>
    <row r="2" spans="1:52" x14ac:dyDescent="0.25">
      <c r="A2" s="12" t="str">
        <f>+Inputs!D4</f>
        <v>Group S03, Loss Sensitive WC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</row>
    <row r="3" spans="1:52" x14ac:dyDescent="0.25">
      <c r="A3" s="12" t="s">
        <v>73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</row>
    <row r="4" spans="1:52" x14ac:dyDescent="0.25">
      <c r="A4" s="13">
        <f>+Inputs!D5</f>
        <v>42369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</row>
    <row r="5" spans="1:52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</row>
    <row r="6" spans="1:52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</row>
    <row r="7" spans="1:52" x14ac:dyDescent="0.25">
      <c r="A7" s="7" t="s">
        <v>76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</row>
    <row r="8" spans="1:52" x14ac:dyDescent="0.25">
      <c r="A8" s="15" t="s">
        <v>61</v>
      </c>
      <c r="B8" s="16">
        <v>12</v>
      </c>
      <c r="C8" s="16">
        <f t="shared" ref="C8:AO8" si="0">+B8+12</f>
        <v>24</v>
      </c>
      <c r="D8" s="16">
        <f t="shared" si="0"/>
        <v>36</v>
      </c>
      <c r="E8" s="16">
        <f t="shared" si="0"/>
        <v>48</v>
      </c>
      <c r="F8" s="16">
        <f t="shared" si="0"/>
        <v>60</v>
      </c>
      <c r="G8" s="16">
        <f t="shared" si="0"/>
        <v>72</v>
      </c>
      <c r="H8" s="16">
        <f t="shared" si="0"/>
        <v>84</v>
      </c>
      <c r="I8" s="16">
        <f t="shared" si="0"/>
        <v>96</v>
      </c>
      <c r="J8" s="16">
        <f t="shared" si="0"/>
        <v>108</v>
      </c>
      <c r="K8" s="16">
        <f t="shared" si="0"/>
        <v>120</v>
      </c>
      <c r="L8" s="16">
        <f t="shared" si="0"/>
        <v>132</v>
      </c>
      <c r="M8" s="16">
        <f t="shared" si="0"/>
        <v>144</v>
      </c>
      <c r="N8" s="16">
        <f t="shared" si="0"/>
        <v>156</v>
      </c>
      <c r="O8" s="16">
        <f t="shared" si="0"/>
        <v>168</v>
      </c>
      <c r="P8" s="16">
        <f t="shared" si="0"/>
        <v>180</v>
      </c>
      <c r="Q8" s="16">
        <f t="shared" si="0"/>
        <v>192</v>
      </c>
      <c r="R8" s="16">
        <f t="shared" si="0"/>
        <v>204</v>
      </c>
      <c r="S8" s="16">
        <f t="shared" si="0"/>
        <v>216</v>
      </c>
      <c r="T8" s="16">
        <f t="shared" si="0"/>
        <v>228</v>
      </c>
      <c r="U8" s="16">
        <f t="shared" si="0"/>
        <v>240</v>
      </c>
      <c r="V8" s="16">
        <f t="shared" si="0"/>
        <v>252</v>
      </c>
      <c r="W8" s="16">
        <f t="shared" si="0"/>
        <v>264</v>
      </c>
      <c r="X8" s="16">
        <f t="shared" si="0"/>
        <v>276</v>
      </c>
      <c r="Y8" s="16">
        <f t="shared" si="0"/>
        <v>288</v>
      </c>
      <c r="Z8" s="16">
        <f t="shared" si="0"/>
        <v>300</v>
      </c>
      <c r="AA8" s="16">
        <f t="shared" si="0"/>
        <v>312</v>
      </c>
      <c r="AB8" s="16">
        <f t="shared" si="0"/>
        <v>324</v>
      </c>
      <c r="AC8" s="16">
        <f t="shared" si="0"/>
        <v>336</v>
      </c>
      <c r="AD8" s="16">
        <f t="shared" si="0"/>
        <v>348</v>
      </c>
      <c r="AE8" s="16">
        <f t="shared" si="0"/>
        <v>360</v>
      </c>
      <c r="AF8" s="16">
        <f t="shared" si="0"/>
        <v>372</v>
      </c>
      <c r="AG8" s="16">
        <f t="shared" si="0"/>
        <v>384</v>
      </c>
      <c r="AH8" s="16">
        <f t="shared" si="0"/>
        <v>396</v>
      </c>
      <c r="AI8" s="16">
        <f t="shared" si="0"/>
        <v>408</v>
      </c>
      <c r="AJ8" s="16">
        <f t="shared" si="0"/>
        <v>420</v>
      </c>
      <c r="AK8" s="16">
        <f t="shared" si="0"/>
        <v>432</v>
      </c>
      <c r="AL8" s="16">
        <f t="shared" si="0"/>
        <v>444</v>
      </c>
      <c r="AM8" s="16">
        <f t="shared" si="0"/>
        <v>456</v>
      </c>
      <c r="AN8" s="16">
        <f t="shared" si="0"/>
        <v>468</v>
      </c>
      <c r="AO8" s="16">
        <f t="shared" si="0"/>
        <v>480</v>
      </c>
      <c r="AP8" s="16"/>
      <c r="AQ8" s="16"/>
      <c r="AR8" s="16"/>
      <c r="AS8" s="7"/>
      <c r="AT8" s="7"/>
      <c r="AU8" s="7"/>
      <c r="AV8" s="7"/>
      <c r="AW8" s="7"/>
      <c r="AX8" s="7"/>
      <c r="AY8" s="7"/>
      <c r="AZ8" s="7"/>
    </row>
    <row r="9" spans="1:52" x14ac:dyDescent="0.25">
      <c r="A9" s="17">
        <f>+Inputs!B37</f>
        <v>1996</v>
      </c>
      <c r="B9" s="54">
        <f>+Inputs!C37</f>
        <v>170878252.12</v>
      </c>
      <c r="C9" s="5">
        <f>+Inputs!D37</f>
        <v>382805146.90999997</v>
      </c>
      <c r="D9" s="5">
        <f>+Inputs!E37</f>
        <v>504029745.48000002</v>
      </c>
      <c r="E9" s="5">
        <f>+Inputs!F37</f>
        <v>579955422</v>
      </c>
      <c r="F9" s="5">
        <f>+Inputs!G37</f>
        <v>631583269.23000002</v>
      </c>
      <c r="G9" s="5">
        <f>+Inputs!H37</f>
        <v>669156646.3499999</v>
      </c>
      <c r="H9" s="5">
        <f>+Inputs!I37</f>
        <v>692973350.31000006</v>
      </c>
      <c r="I9" s="5">
        <f>+Inputs!J37</f>
        <v>712527025.69000006</v>
      </c>
      <c r="J9" s="5">
        <f>+Inputs!K37</f>
        <v>726453277.33999991</v>
      </c>
      <c r="K9" s="5">
        <f>+Inputs!L37</f>
        <v>738412164.06000006</v>
      </c>
      <c r="L9" s="5">
        <f>+Inputs!M37</f>
        <v>748359496.75</v>
      </c>
      <c r="M9" s="5">
        <f>+Inputs!N37</f>
        <v>758610719.88000011</v>
      </c>
      <c r="N9" s="5">
        <f>+Inputs!O37</f>
        <v>765969567.10000002</v>
      </c>
      <c r="O9" s="5">
        <f>+Inputs!P37</f>
        <v>774243266.13</v>
      </c>
      <c r="P9" s="5">
        <f>+Inputs!Q37</f>
        <v>781521096.99000001</v>
      </c>
      <c r="Q9" s="5">
        <f>+Inputs!R37</f>
        <v>788235141.21000004</v>
      </c>
      <c r="R9" s="5">
        <f>+Inputs!S37</f>
        <v>793874514.32999992</v>
      </c>
      <c r="S9" s="5">
        <f>+Inputs!T37</f>
        <v>800110177.36000001</v>
      </c>
      <c r="T9" s="5">
        <f>+Inputs!U37</f>
        <v>805772059.5999999</v>
      </c>
      <c r="U9" s="5">
        <f>+Inputs!V37</f>
        <v>812978537.38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</row>
    <row r="10" spans="1:52" x14ac:dyDescent="0.25">
      <c r="A10" s="17">
        <f>+Inputs!B38</f>
        <v>1997</v>
      </c>
      <c r="B10" s="5">
        <f>+Inputs!C38</f>
        <v>202964473.63</v>
      </c>
      <c r="C10" s="5">
        <f>+Inputs!D38</f>
        <v>455702385.88999999</v>
      </c>
      <c r="D10" s="5">
        <f>+Inputs!E38</f>
        <v>593403105.93000007</v>
      </c>
      <c r="E10" s="5">
        <f>+Inputs!F38</f>
        <v>685259002.92000008</v>
      </c>
      <c r="F10" s="5">
        <f>+Inputs!G38</f>
        <v>741290142.04999995</v>
      </c>
      <c r="G10" s="5">
        <f>+Inputs!H38</f>
        <v>782510808.75999999</v>
      </c>
      <c r="H10" s="5">
        <f>+Inputs!I38</f>
        <v>816158251.86000001</v>
      </c>
      <c r="I10" s="5">
        <f>+Inputs!J38</f>
        <v>838071096.14999998</v>
      </c>
      <c r="J10" s="5">
        <f>+Inputs!K38</f>
        <v>853367294.64999998</v>
      </c>
      <c r="K10" s="5">
        <f>+Inputs!L38</f>
        <v>866576787.90999997</v>
      </c>
      <c r="L10" s="5">
        <f>+Inputs!M38</f>
        <v>879323043.96000004</v>
      </c>
      <c r="M10" s="5">
        <f>+Inputs!N38</f>
        <v>889402048.97000003</v>
      </c>
      <c r="N10" s="5">
        <f>+Inputs!O38</f>
        <v>898238395.33000004</v>
      </c>
      <c r="O10" s="5">
        <f>+Inputs!P38</f>
        <v>906029100.69000006</v>
      </c>
      <c r="P10" s="5">
        <f>+Inputs!Q38</f>
        <v>913064444.18000007</v>
      </c>
      <c r="Q10" s="5">
        <f>+Inputs!R38</f>
        <v>919813447.25999999</v>
      </c>
      <c r="R10" s="5">
        <f>+Inputs!S38</f>
        <v>926525371.8499999</v>
      </c>
      <c r="S10" s="5">
        <f>+Inputs!T38</f>
        <v>933411699.53999996</v>
      </c>
      <c r="T10" s="5">
        <f>+Inputs!U38</f>
        <v>940465581.37000012</v>
      </c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</row>
    <row r="11" spans="1:52" x14ac:dyDescent="0.25">
      <c r="A11" s="17">
        <f>+Inputs!B39</f>
        <v>1998</v>
      </c>
      <c r="B11" s="5">
        <f>+Inputs!C39</f>
        <v>219019293.75999999</v>
      </c>
      <c r="C11" s="5">
        <f>+Inputs!D39</f>
        <v>513301436.09999996</v>
      </c>
      <c r="D11" s="5">
        <f>+Inputs!E39</f>
        <v>696026715.39999998</v>
      </c>
      <c r="E11" s="5">
        <f>+Inputs!F39</f>
        <v>812924713.96000004</v>
      </c>
      <c r="F11" s="5">
        <f>+Inputs!G39</f>
        <v>890039002.93000007</v>
      </c>
      <c r="G11" s="5">
        <f>+Inputs!H39</f>
        <v>947909295.50999999</v>
      </c>
      <c r="H11" s="5">
        <f>+Inputs!I39</f>
        <v>986734013.9000001</v>
      </c>
      <c r="I11" s="5">
        <f>+Inputs!J39</f>
        <v>1015026601.8399999</v>
      </c>
      <c r="J11" s="5">
        <f>+Inputs!K39</f>
        <v>1041725317.1300001</v>
      </c>
      <c r="K11" s="5">
        <f>+Inputs!L39</f>
        <v>1063404595.96</v>
      </c>
      <c r="L11" s="5">
        <f>+Inputs!M39</f>
        <v>1082521248.4100001</v>
      </c>
      <c r="M11" s="5">
        <f>+Inputs!N39</f>
        <v>1097202766.3699999</v>
      </c>
      <c r="N11" s="5">
        <f>+Inputs!O39</f>
        <v>1108220427.71</v>
      </c>
      <c r="O11" s="5">
        <f>+Inputs!P39</f>
        <v>1120535127.0699999</v>
      </c>
      <c r="P11" s="5">
        <f>+Inputs!Q39</f>
        <v>1130946080.1300001</v>
      </c>
      <c r="Q11" s="5">
        <f>+Inputs!R39</f>
        <v>1142879244.8800001</v>
      </c>
      <c r="R11" s="5">
        <f>+Inputs!S39</f>
        <v>1152614249.96</v>
      </c>
      <c r="S11" s="5">
        <f>+Inputs!T39</f>
        <v>1161889799.99</v>
      </c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</row>
    <row r="12" spans="1:52" x14ac:dyDescent="0.25">
      <c r="A12" s="17">
        <f>+Inputs!B40</f>
        <v>1999</v>
      </c>
      <c r="B12" s="5">
        <f>+Inputs!C40</f>
        <v>233185376.00999999</v>
      </c>
      <c r="C12" s="5">
        <f>+Inputs!D40</f>
        <v>568164167.47000003</v>
      </c>
      <c r="D12" s="5">
        <f>+Inputs!E40</f>
        <v>778144493.8499999</v>
      </c>
      <c r="E12" s="5">
        <f>+Inputs!F40</f>
        <v>897865518.07000017</v>
      </c>
      <c r="F12" s="5">
        <f>+Inputs!G40</f>
        <v>985085309.06000006</v>
      </c>
      <c r="G12" s="5">
        <f>+Inputs!H40</f>
        <v>1047061459.4200001</v>
      </c>
      <c r="H12" s="5">
        <f>+Inputs!I40</f>
        <v>1092450098.4000001</v>
      </c>
      <c r="I12" s="5">
        <f>+Inputs!J40</f>
        <v>1126350233.1199999</v>
      </c>
      <c r="J12" s="5">
        <f>+Inputs!K40</f>
        <v>1146219867.4099998</v>
      </c>
      <c r="K12" s="5">
        <f>+Inputs!L40</f>
        <v>1168090730.96</v>
      </c>
      <c r="L12" s="5">
        <f>+Inputs!M40</f>
        <v>1185453245.78</v>
      </c>
      <c r="M12" s="5">
        <f>+Inputs!N40</f>
        <v>1199289147.99</v>
      </c>
      <c r="N12" s="5">
        <f>+Inputs!O40</f>
        <v>1213863144.9000001</v>
      </c>
      <c r="O12" s="5">
        <f>+Inputs!P40</f>
        <v>1228355115.01</v>
      </c>
      <c r="P12" s="5">
        <f>+Inputs!Q40</f>
        <v>1241167066.47</v>
      </c>
      <c r="Q12" s="5">
        <f>+Inputs!R40</f>
        <v>1256456247.9300001</v>
      </c>
      <c r="R12" s="5">
        <f>+Inputs!S40</f>
        <v>1267271317.27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</row>
    <row r="13" spans="1:52" x14ac:dyDescent="0.25">
      <c r="A13" s="17">
        <f>+Inputs!B41</f>
        <v>2000</v>
      </c>
      <c r="B13" s="5">
        <f>+Inputs!C41</f>
        <v>221565337.06999999</v>
      </c>
      <c r="C13" s="5">
        <f>+Inputs!D41</f>
        <v>550640287.90999997</v>
      </c>
      <c r="D13" s="5">
        <f>+Inputs!E41</f>
        <v>745887705.35000002</v>
      </c>
      <c r="E13" s="5">
        <f>+Inputs!F41</f>
        <v>874494546.18000007</v>
      </c>
      <c r="F13" s="5">
        <f>+Inputs!G41</f>
        <v>958303218.79000008</v>
      </c>
      <c r="G13" s="5">
        <f>+Inputs!H41</f>
        <v>1010871556</v>
      </c>
      <c r="H13" s="5">
        <f>+Inputs!I41</f>
        <v>1052410804.5999999</v>
      </c>
      <c r="I13" s="5">
        <f>+Inputs!J41</f>
        <v>1085556274.79</v>
      </c>
      <c r="J13" s="5">
        <f>+Inputs!K41</f>
        <v>1101859860.9099998</v>
      </c>
      <c r="K13" s="5">
        <f>+Inputs!L41</f>
        <v>1118666333.0599999</v>
      </c>
      <c r="L13" s="5">
        <f>+Inputs!M41</f>
        <v>1133061164.8900001</v>
      </c>
      <c r="M13" s="5">
        <f>+Inputs!N41</f>
        <v>1139569126.6700001</v>
      </c>
      <c r="N13" s="5">
        <f>+Inputs!O41</f>
        <v>1153080945.49</v>
      </c>
      <c r="O13" s="5">
        <f>+Inputs!P41</f>
        <v>1169441798.05</v>
      </c>
      <c r="P13" s="5">
        <f>+Inputs!Q41</f>
        <v>1180144344.5799999</v>
      </c>
      <c r="Q13" s="5">
        <f>+Inputs!R41</f>
        <v>1187733511.8199999</v>
      </c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8"/>
      <c r="AQ13" s="8"/>
      <c r="AR13" s="7"/>
      <c r="AS13" s="7"/>
      <c r="AT13" s="7"/>
      <c r="AU13" s="7"/>
      <c r="AV13" s="7"/>
      <c r="AW13" s="7"/>
      <c r="AX13" s="7"/>
      <c r="AY13" s="7"/>
      <c r="AZ13" s="7"/>
    </row>
    <row r="14" spans="1:52" x14ac:dyDescent="0.25">
      <c r="A14" s="17">
        <f>+Inputs!B42</f>
        <v>2001</v>
      </c>
      <c r="B14" s="5">
        <f>+Inputs!C42</f>
        <v>238659302.15000001</v>
      </c>
      <c r="C14" s="5">
        <f>+Inputs!D42</f>
        <v>589063255.29999995</v>
      </c>
      <c r="D14" s="5">
        <f>+Inputs!E42</f>
        <v>801812223.22000003</v>
      </c>
      <c r="E14" s="5">
        <f>+Inputs!F42</f>
        <v>937103098.23000002</v>
      </c>
      <c r="F14" s="5">
        <f>+Inputs!G42</f>
        <v>1016695014.6099999</v>
      </c>
      <c r="G14" s="5">
        <f>+Inputs!H42</f>
        <v>1075131871.9400001</v>
      </c>
      <c r="H14" s="5">
        <f>+Inputs!I42</f>
        <v>1114610860.1700001</v>
      </c>
      <c r="I14" s="5">
        <f>+Inputs!J42</f>
        <v>1145539033.71</v>
      </c>
      <c r="J14" s="5">
        <f>+Inputs!K42</f>
        <v>1165519472.8599999</v>
      </c>
      <c r="K14" s="5">
        <f>+Inputs!L42</f>
        <v>1181850088.4299998</v>
      </c>
      <c r="L14" s="5">
        <f>+Inputs!M42</f>
        <v>1164330038.1199999</v>
      </c>
      <c r="M14" s="5">
        <f>+Inputs!N42</f>
        <v>1176999825.1500001</v>
      </c>
      <c r="N14" s="5">
        <f>+Inputs!O42</f>
        <v>1192075441.9400001</v>
      </c>
      <c r="O14" s="5">
        <f>+Inputs!P42</f>
        <v>1209802711.5900002</v>
      </c>
      <c r="P14" s="5">
        <f>+Inputs!Q42</f>
        <v>1221019289.03</v>
      </c>
      <c r="Q14" s="9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8"/>
      <c r="AQ14" s="8"/>
      <c r="AR14" s="7"/>
      <c r="AS14" s="7"/>
      <c r="AT14" s="7"/>
      <c r="AU14" s="7"/>
      <c r="AV14" s="7"/>
      <c r="AW14" s="7"/>
      <c r="AX14" s="7"/>
      <c r="AY14" s="7"/>
      <c r="AZ14" s="7"/>
    </row>
    <row r="15" spans="1:52" x14ac:dyDescent="0.25">
      <c r="A15" s="17">
        <f>+Inputs!B43</f>
        <v>2002</v>
      </c>
      <c r="B15" s="5">
        <f>+Inputs!C43</f>
        <v>213783517.21000001</v>
      </c>
      <c r="C15" s="5">
        <f>+Inputs!D43</f>
        <v>532757416.22000003</v>
      </c>
      <c r="D15" s="5">
        <f>+Inputs!E43</f>
        <v>730492605.10000002</v>
      </c>
      <c r="E15" s="5">
        <f>+Inputs!F43</f>
        <v>851618944.27999997</v>
      </c>
      <c r="F15" s="5">
        <f>+Inputs!G43</f>
        <v>926947672.32000005</v>
      </c>
      <c r="G15" s="5">
        <f>+Inputs!H43</f>
        <v>974527623.83000004</v>
      </c>
      <c r="H15" s="5">
        <f>+Inputs!I43</f>
        <v>1016336506.9000001</v>
      </c>
      <c r="I15" s="5">
        <f>+Inputs!J43</f>
        <v>1042892499.96</v>
      </c>
      <c r="J15" s="5">
        <f>+Inputs!K43</f>
        <v>1064201054.5500001</v>
      </c>
      <c r="K15" s="5">
        <f>+Inputs!L43</f>
        <v>1080119893.0700002</v>
      </c>
      <c r="L15" s="5">
        <f>+Inputs!M43</f>
        <v>1095708839.1600001</v>
      </c>
      <c r="M15" s="5">
        <f>+Inputs!N43</f>
        <v>1111004626.53</v>
      </c>
      <c r="N15" s="5">
        <f>+Inputs!O43</f>
        <v>1125287579.5900002</v>
      </c>
      <c r="O15" s="5">
        <f>+Inputs!P43</f>
        <v>1134971109.6399999</v>
      </c>
      <c r="P15" s="5"/>
      <c r="Q15" s="9"/>
      <c r="R15" s="6"/>
      <c r="S15" s="6"/>
      <c r="T15" s="6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8"/>
      <c r="AQ15" s="8"/>
      <c r="AR15" s="7"/>
      <c r="AS15" s="7"/>
      <c r="AT15" s="7"/>
      <c r="AU15" s="7"/>
      <c r="AV15" s="7"/>
      <c r="AW15" s="7"/>
      <c r="AX15" s="7"/>
      <c r="AY15" s="7"/>
      <c r="AZ15" s="7"/>
    </row>
    <row r="16" spans="1:52" x14ac:dyDescent="0.25">
      <c r="A16" s="17">
        <f>+Inputs!B44</f>
        <v>2003</v>
      </c>
      <c r="B16" s="5">
        <f>+Inputs!C44</f>
        <v>163246534.31999999</v>
      </c>
      <c r="C16" s="5">
        <f>+Inputs!D44</f>
        <v>384810992.36000001</v>
      </c>
      <c r="D16" s="5">
        <f>+Inputs!E44</f>
        <v>516911031.21000004</v>
      </c>
      <c r="E16" s="5">
        <f>+Inputs!F44</f>
        <v>597226266.80999994</v>
      </c>
      <c r="F16" s="5">
        <f>+Inputs!G44</f>
        <v>646086048.48000002</v>
      </c>
      <c r="G16" s="5">
        <f>+Inputs!H44</f>
        <v>681265439.22000003</v>
      </c>
      <c r="H16" s="5">
        <f>+Inputs!I44</f>
        <v>705615562.33999991</v>
      </c>
      <c r="I16" s="5">
        <f>+Inputs!J44</f>
        <v>722627857.85000002</v>
      </c>
      <c r="J16" s="5">
        <f>+Inputs!K44</f>
        <v>737488943.81999993</v>
      </c>
      <c r="K16" s="5">
        <f>+Inputs!L44</f>
        <v>748627124.42999995</v>
      </c>
      <c r="L16" s="5">
        <f>+Inputs!M44</f>
        <v>760551534.83000004</v>
      </c>
      <c r="M16" s="5">
        <f>+Inputs!N44</f>
        <v>770121381.22000003</v>
      </c>
      <c r="N16" s="5">
        <f>+Inputs!O44</f>
        <v>777683901.29999995</v>
      </c>
      <c r="O16" s="5"/>
      <c r="P16" s="5"/>
      <c r="Q16" s="9"/>
      <c r="R16" s="6"/>
      <c r="S16" s="6"/>
      <c r="T16" s="10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8"/>
      <c r="AQ16" s="8"/>
      <c r="AR16" s="7"/>
      <c r="AS16" s="7"/>
      <c r="AT16" s="7"/>
      <c r="AU16" s="7"/>
      <c r="AV16" s="7"/>
      <c r="AW16" s="7"/>
      <c r="AX16" s="7"/>
      <c r="AY16" s="7"/>
      <c r="AZ16" s="7"/>
    </row>
    <row r="17" spans="1:52" x14ac:dyDescent="0.25">
      <c r="A17" s="17">
        <f>+Inputs!B45</f>
        <v>2004</v>
      </c>
      <c r="B17" s="5">
        <f>+Inputs!C45</f>
        <v>124815653.18000001</v>
      </c>
      <c r="C17" s="5">
        <f>+Inputs!D45</f>
        <v>282882320.20000005</v>
      </c>
      <c r="D17" s="5">
        <f>+Inputs!E45</f>
        <v>375810890.16999996</v>
      </c>
      <c r="E17" s="5">
        <f>+Inputs!F45</f>
        <v>433748884.70999998</v>
      </c>
      <c r="F17" s="5">
        <f>+Inputs!G45</f>
        <v>468402829.52999997</v>
      </c>
      <c r="G17" s="5">
        <f>+Inputs!H45</f>
        <v>492299184.33000004</v>
      </c>
      <c r="H17" s="5">
        <f>+Inputs!I45</f>
        <v>509884730.01999998</v>
      </c>
      <c r="I17" s="5">
        <f>+Inputs!J45</f>
        <v>522438003.60000002</v>
      </c>
      <c r="J17" s="5">
        <f>+Inputs!K45</f>
        <v>534536162.22000003</v>
      </c>
      <c r="K17" s="5">
        <f>+Inputs!L45</f>
        <v>545278744.18000007</v>
      </c>
      <c r="L17" s="5">
        <f>+Inputs!M45</f>
        <v>554006451.03999996</v>
      </c>
      <c r="M17" s="5">
        <f>+Inputs!N45</f>
        <v>562482962.06999993</v>
      </c>
      <c r="N17" s="5"/>
      <c r="O17" s="5"/>
      <c r="P17" s="5"/>
      <c r="Q17" s="9"/>
      <c r="R17" s="6"/>
      <c r="S17" s="10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8"/>
      <c r="AQ17" s="8"/>
      <c r="AR17" s="7"/>
      <c r="AS17" s="7"/>
      <c r="AT17" s="7"/>
      <c r="AU17" s="7"/>
      <c r="AV17" s="7"/>
      <c r="AW17" s="7"/>
      <c r="AX17" s="7"/>
      <c r="AY17" s="7"/>
      <c r="AZ17" s="7"/>
    </row>
    <row r="18" spans="1:52" x14ac:dyDescent="0.25">
      <c r="A18" s="17">
        <f>+Inputs!B46</f>
        <v>2005</v>
      </c>
      <c r="B18" s="5">
        <f>+Inputs!C46</f>
        <v>65911105.489999995</v>
      </c>
      <c r="C18" s="5">
        <f>+Inputs!D46</f>
        <v>155526239.74000001</v>
      </c>
      <c r="D18" s="5">
        <f>+Inputs!E46</f>
        <v>203101081.80000001</v>
      </c>
      <c r="E18" s="5">
        <f>+Inputs!F46</f>
        <v>236675304.12</v>
      </c>
      <c r="F18" s="5">
        <f>+Inputs!G46</f>
        <v>257513048.70999998</v>
      </c>
      <c r="G18" s="5">
        <f>+Inputs!H46</f>
        <v>270717557.55000001</v>
      </c>
      <c r="H18" s="5">
        <f>+Inputs!I46</f>
        <v>283200748.09000003</v>
      </c>
      <c r="I18" s="5">
        <f>+Inputs!J46</f>
        <v>290626750.43000001</v>
      </c>
      <c r="J18" s="5">
        <f>+Inputs!K46</f>
        <v>298900934.71999997</v>
      </c>
      <c r="K18" s="5">
        <f>+Inputs!L46</f>
        <v>304071101.56999999</v>
      </c>
      <c r="L18" s="5">
        <f>+Inputs!M46</f>
        <v>308569401.15999997</v>
      </c>
      <c r="M18" s="5"/>
      <c r="N18" s="5"/>
      <c r="O18" s="5"/>
      <c r="P18" s="5"/>
      <c r="Q18" s="9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8"/>
      <c r="AQ18" s="8"/>
      <c r="AR18" s="7"/>
      <c r="AS18" s="7"/>
      <c r="AT18" s="7"/>
      <c r="AU18" s="7"/>
      <c r="AV18" s="7"/>
      <c r="AW18" s="7"/>
      <c r="AX18" s="7"/>
      <c r="AY18" s="7"/>
      <c r="AZ18" s="7"/>
    </row>
    <row r="19" spans="1:52" x14ac:dyDescent="0.25">
      <c r="A19" s="17">
        <f>+Inputs!B47</f>
        <v>2006</v>
      </c>
      <c r="B19" s="5">
        <f>+Inputs!C47</f>
        <v>54426475.109999999</v>
      </c>
      <c r="C19" s="5">
        <f>+Inputs!D47</f>
        <v>129480981.28</v>
      </c>
      <c r="D19" s="5">
        <f>+Inputs!E47</f>
        <v>172141763.97999999</v>
      </c>
      <c r="E19" s="5">
        <f>+Inputs!F47</f>
        <v>199302162.31</v>
      </c>
      <c r="F19" s="5">
        <f>+Inputs!G47</f>
        <v>217266372.98000002</v>
      </c>
      <c r="G19" s="5">
        <f>+Inputs!H47</f>
        <v>229125669.64000002</v>
      </c>
      <c r="H19" s="5">
        <f>+Inputs!I47</f>
        <v>239607633.5</v>
      </c>
      <c r="I19" s="5">
        <f>+Inputs!J47</f>
        <v>246997680.25999999</v>
      </c>
      <c r="J19" s="5">
        <f>+Inputs!K47</f>
        <v>251921166.99000001</v>
      </c>
      <c r="K19" s="5">
        <f>+Inputs!L47</f>
        <v>256225088.23000002</v>
      </c>
      <c r="L19" s="5"/>
      <c r="M19" s="5"/>
      <c r="N19" s="5"/>
      <c r="O19" s="5"/>
      <c r="P19" s="5"/>
      <c r="Q19" s="9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8"/>
      <c r="AQ19" s="8"/>
      <c r="AR19" s="7"/>
      <c r="AS19" s="7"/>
      <c r="AT19" s="7"/>
      <c r="AU19" s="7"/>
      <c r="AV19" s="7"/>
      <c r="AW19" s="7"/>
      <c r="AX19" s="7"/>
      <c r="AY19" s="7"/>
      <c r="AZ19" s="7"/>
    </row>
    <row r="20" spans="1:52" x14ac:dyDescent="0.25">
      <c r="A20" s="17">
        <f>+Inputs!B48</f>
        <v>2007</v>
      </c>
      <c r="B20" s="5">
        <f>+Inputs!C48</f>
        <v>50082097.170000002</v>
      </c>
      <c r="C20" s="5">
        <f>+Inputs!D48</f>
        <v>114295771.33</v>
      </c>
      <c r="D20" s="5">
        <f>+Inputs!E48</f>
        <v>153613048.72</v>
      </c>
      <c r="E20" s="5">
        <f>+Inputs!F48</f>
        <v>177063066.42000002</v>
      </c>
      <c r="F20" s="5">
        <f>+Inputs!G48</f>
        <v>191974212.54000002</v>
      </c>
      <c r="G20" s="5">
        <f>+Inputs!H48</f>
        <v>202789931.44999999</v>
      </c>
      <c r="H20" s="5">
        <f>+Inputs!I48</f>
        <v>210560019.92000002</v>
      </c>
      <c r="I20" s="5">
        <f>+Inputs!J48</f>
        <v>216847059.38999999</v>
      </c>
      <c r="J20" s="5">
        <f>+Inputs!K48</f>
        <v>222748339.44</v>
      </c>
      <c r="K20" s="5"/>
      <c r="L20" s="5"/>
      <c r="M20" s="5"/>
      <c r="N20" s="5"/>
      <c r="O20" s="5"/>
      <c r="P20" s="5"/>
      <c r="Q20" s="9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8"/>
      <c r="AQ20" s="8"/>
      <c r="AR20" s="7"/>
      <c r="AS20" s="7"/>
      <c r="AT20" s="7"/>
      <c r="AU20" s="7"/>
      <c r="AV20" s="7"/>
      <c r="AW20" s="7"/>
      <c r="AX20" s="7"/>
      <c r="AY20" s="7"/>
      <c r="AZ20" s="7"/>
    </row>
    <row r="21" spans="1:52" x14ac:dyDescent="0.25">
      <c r="A21" s="17">
        <f>+Inputs!B49</f>
        <v>2008</v>
      </c>
      <c r="B21" s="5">
        <f>+Inputs!C49</f>
        <v>40057059.329999998</v>
      </c>
      <c r="C21" s="5">
        <f>+Inputs!D49</f>
        <v>94001456.900000006</v>
      </c>
      <c r="D21" s="5">
        <f>+Inputs!E49</f>
        <v>130253625.44999999</v>
      </c>
      <c r="E21" s="5">
        <f>+Inputs!F49</f>
        <v>150092577.57999998</v>
      </c>
      <c r="F21" s="5">
        <f>+Inputs!G49</f>
        <v>164687251.09999999</v>
      </c>
      <c r="G21" s="5">
        <f>+Inputs!H49</f>
        <v>174671850.31</v>
      </c>
      <c r="H21" s="5">
        <f>+Inputs!I49</f>
        <v>181010415.03999999</v>
      </c>
      <c r="I21" s="5">
        <f>+Inputs!J49</f>
        <v>184287397.06999999</v>
      </c>
      <c r="J21" s="5"/>
      <c r="K21" s="5"/>
      <c r="L21" s="5"/>
      <c r="M21" s="5"/>
      <c r="N21" s="5"/>
      <c r="O21" s="5"/>
      <c r="P21" s="5"/>
      <c r="Q21" s="9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8"/>
      <c r="AQ21" s="8"/>
      <c r="AR21" s="7"/>
      <c r="AS21" s="7"/>
      <c r="AT21" s="7"/>
      <c r="AU21" s="7"/>
      <c r="AV21" s="7"/>
      <c r="AW21" s="7"/>
      <c r="AX21" s="7"/>
      <c r="AY21" s="7"/>
      <c r="AZ21" s="7"/>
    </row>
    <row r="22" spans="1:52" x14ac:dyDescent="0.25">
      <c r="A22" s="17">
        <f>+Inputs!B50</f>
        <v>2009</v>
      </c>
      <c r="B22" s="5">
        <f>+Inputs!C50</f>
        <v>34202291.899999999</v>
      </c>
      <c r="C22" s="5">
        <f>+Inputs!D50</f>
        <v>85527539.030000001</v>
      </c>
      <c r="D22" s="5">
        <f>+Inputs!E50</f>
        <v>115117897.74000001</v>
      </c>
      <c r="E22" s="5">
        <f>+Inputs!F50</f>
        <v>135906298.94999999</v>
      </c>
      <c r="F22" s="5">
        <f>+Inputs!G50</f>
        <v>152927298.49000001</v>
      </c>
      <c r="G22" s="5">
        <f>+Inputs!H50</f>
        <v>161641464.35000002</v>
      </c>
      <c r="H22" s="5">
        <f>+Inputs!I50</f>
        <v>168255694.93000001</v>
      </c>
      <c r="I22" s="5"/>
      <c r="J22" s="5"/>
      <c r="K22" s="5"/>
      <c r="L22" s="5"/>
      <c r="M22" s="5"/>
      <c r="N22" s="5"/>
      <c r="O22" s="5"/>
      <c r="P22" s="5"/>
      <c r="Q22" s="9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8"/>
      <c r="AQ22" s="8"/>
      <c r="AR22" s="7"/>
      <c r="AS22" s="7"/>
      <c r="AT22" s="7"/>
      <c r="AU22" s="7"/>
      <c r="AV22" s="7"/>
      <c r="AW22" s="7"/>
      <c r="AX22" s="7"/>
      <c r="AY22" s="7"/>
      <c r="AZ22" s="7"/>
    </row>
    <row r="23" spans="1:52" x14ac:dyDescent="0.25">
      <c r="A23" s="17">
        <f>+Inputs!B51</f>
        <v>2010</v>
      </c>
      <c r="B23" s="5">
        <f>+Inputs!C51</f>
        <v>33774411.660000004</v>
      </c>
      <c r="C23" s="5">
        <f>+Inputs!D51</f>
        <v>80886038.260000005</v>
      </c>
      <c r="D23" s="5">
        <f>+Inputs!E51</f>
        <v>109259352.41</v>
      </c>
      <c r="E23" s="5">
        <f>+Inputs!F51</f>
        <v>128097822.40000001</v>
      </c>
      <c r="F23" s="5">
        <f>+Inputs!G51</f>
        <v>139599150.65000001</v>
      </c>
      <c r="G23" s="5">
        <f>+Inputs!H51</f>
        <v>147615751.60000002</v>
      </c>
      <c r="H23" s="5"/>
      <c r="I23" s="5"/>
      <c r="J23" s="5"/>
      <c r="K23" s="5"/>
      <c r="L23" s="5"/>
      <c r="M23" s="5"/>
      <c r="N23" s="5"/>
      <c r="O23" s="5"/>
      <c r="P23" s="5"/>
      <c r="Q23" s="9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8"/>
      <c r="AQ23" s="8"/>
      <c r="AR23" s="7"/>
      <c r="AS23" s="7"/>
      <c r="AT23" s="7"/>
      <c r="AU23" s="7"/>
      <c r="AV23" s="7"/>
      <c r="AW23" s="7"/>
      <c r="AX23" s="7"/>
      <c r="AY23" s="7"/>
      <c r="AZ23" s="7"/>
    </row>
    <row r="24" spans="1:52" x14ac:dyDescent="0.25">
      <c r="A24" s="17">
        <f>+Inputs!B52</f>
        <v>2011</v>
      </c>
      <c r="B24" s="5">
        <f>+Inputs!C52</f>
        <v>31645418.740000002</v>
      </c>
      <c r="C24" s="5">
        <f>+Inputs!D52</f>
        <v>76949187.900000006</v>
      </c>
      <c r="D24" s="5">
        <f>+Inputs!E52</f>
        <v>104116784.72</v>
      </c>
      <c r="E24" s="5">
        <f>+Inputs!F52</f>
        <v>119493467.88</v>
      </c>
      <c r="F24" s="5">
        <f>+Inputs!G52</f>
        <v>130781034.94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9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8"/>
      <c r="AQ24" s="8"/>
      <c r="AR24" s="7"/>
      <c r="AS24" s="7"/>
      <c r="AT24" s="7"/>
      <c r="AU24" s="7"/>
      <c r="AV24" s="7"/>
      <c r="AW24" s="7"/>
      <c r="AX24" s="7"/>
      <c r="AY24" s="7"/>
      <c r="AZ24" s="7"/>
    </row>
    <row r="25" spans="1:52" x14ac:dyDescent="0.25">
      <c r="A25" s="17">
        <f>+Inputs!B53</f>
        <v>2012</v>
      </c>
      <c r="B25" s="5">
        <f>+Inputs!C53</f>
        <v>35222266.149999999</v>
      </c>
      <c r="C25" s="5">
        <f>+Inputs!D53</f>
        <v>83325460.930000007</v>
      </c>
      <c r="D25" s="5">
        <f>+Inputs!E53</f>
        <v>111327813.24000001</v>
      </c>
      <c r="E25" s="5">
        <f>+Inputs!F53</f>
        <v>128272793.77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9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8"/>
      <c r="AQ25" s="8"/>
      <c r="AR25" s="7"/>
      <c r="AS25" s="7"/>
      <c r="AT25" s="7"/>
      <c r="AU25" s="7"/>
      <c r="AV25" s="7"/>
      <c r="AW25" s="7"/>
      <c r="AX25" s="7"/>
      <c r="AY25" s="7"/>
      <c r="AZ25" s="7"/>
    </row>
    <row r="26" spans="1:52" x14ac:dyDescent="0.25">
      <c r="A26" s="17">
        <f>+Inputs!B54</f>
        <v>2013</v>
      </c>
      <c r="B26" s="5">
        <f>+Inputs!C54</f>
        <v>34926236.420000002</v>
      </c>
      <c r="C26" s="5">
        <f>+Inputs!D54</f>
        <v>79919425.530000001</v>
      </c>
      <c r="D26" s="5">
        <f>+Inputs!E54</f>
        <v>104724355.50999999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9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8"/>
      <c r="AQ26" s="8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2.75" customHeight="1" x14ac:dyDescent="0.25">
      <c r="A27" s="17">
        <f>+Inputs!B55</f>
        <v>2014</v>
      </c>
      <c r="B27" s="5">
        <f>+Inputs!C55</f>
        <v>32447175.719999999</v>
      </c>
      <c r="C27" s="5">
        <f>+Inputs!D55</f>
        <v>79754599.760000005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9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8"/>
      <c r="AQ27" s="8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2.75" customHeight="1" x14ac:dyDescent="0.25">
      <c r="A28" s="17">
        <f>+Inputs!B56</f>
        <v>2015</v>
      </c>
      <c r="B28" s="5">
        <f>+Inputs!C56</f>
        <v>29073337.57</v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9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x14ac:dyDescent="0.25">
      <c r="A29" s="17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9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7"/>
      <c r="AQ29" s="7"/>
    </row>
    <row r="30" spans="1:52" x14ac:dyDescent="0.25">
      <c r="A30" s="7"/>
      <c r="B30" s="7"/>
      <c r="C30" s="11"/>
      <c r="D30" s="7"/>
      <c r="E30" s="7"/>
      <c r="F30" s="7"/>
      <c r="G30" s="7"/>
      <c r="H30" s="7"/>
      <c r="I30" s="7"/>
      <c r="J30" s="7"/>
      <c r="K30" s="7"/>
      <c r="L30" s="18"/>
      <c r="M30" s="18"/>
      <c r="N30" s="7"/>
      <c r="O30" s="18"/>
      <c r="P30" s="18"/>
      <c r="Q30" s="18"/>
      <c r="R30" s="18"/>
      <c r="S30" s="18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52" x14ac:dyDescent="0.25">
      <c r="A31" s="7" t="s">
        <v>98</v>
      </c>
      <c r="C31" s="7"/>
      <c r="D31" s="7"/>
      <c r="E31" s="7"/>
      <c r="F31" s="7"/>
      <c r="G31" s="7"/>
      <c r="H31" s="7"/>
      <c r="I31" s="7"/>
      <c r="J31" s="7"/>
      <c r="K31" s="7"/>
      <c r="L31" s="19"/>
      <c r="M31" s="19"/>
      <c r="N31" s="19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52" x14ac:dyDescent="0.25">
      <c r="A32" s="15" t="s">
        <v>72</v>
      </c>
      <c r="B32" s="20" t="str">
        <f t="shared" ref="B32:T32" si="1">B8&amp;"-"&amp;C8</f>
        <v>12-24</v>
      </c>
      <c r="C32" s="20" t="str">
        <f t="shared" si="1"/>
        <v>24-36</v>
      </c>
      <c r="D32" s="20" t="str">
        <f t="shared" si="1"/>
        <v>36-48</v>
      </c>
      <c r="E32" s="20" t="str">
        <f t="shared" si="1"/>
        <v>48-60</v>
      </c>
      <c r="F32" s="20" t="str">
        <f t="shared" si="1"/>
        <v>60-72</v>
      </c>
      <c r="G32" s="20" t="str">
        <f t="shared" si="1"/>
        <v>72-84</v>
      </c>
      <c r="H32" s="20" t="str">
        <f t="shared" si="1"/>
        <v>84-96</v>
      </c>
      <c r="I32" s="20" t="str">
        <f t="shared" si="1"/>
        <v>96-108</v>
      </c>
      <c r="J32" s="20" t="str">
        <f t="shared" si="1"/>
        <v>108-120</v>
      </c>
      <c r="K32" s="20" t="str">
        <f t="shared" si="1"/>
        <v>120-132</v>
      </c>
      <c r="L32" s="20" t="str">
        <f t="shared" si="1"/>
        <v>132-144</v>
      </c>
      <c r="M32" s="20" t="str">
        <f t="shared" si="1"/>
        <v>144-156</v>
      </c>
      <c r="N32" s="20" t="str">
        <f t="shared" si="1"/>
        <v>156-168</v>
      </c>
      <c r="O32" s="20" t="str">
        <f t="shared" si="1"/>
        <v>168-180</v>
      </c>
      <c r="P32" s="20" t="str">
        <f t="shared" si="1"/>
        <v>180-192</v>
      </c>
      <c r="Q32" s="20" t="str">
        <f t="shared" si="1"/>
        <v>192-204</v>
      </c>
      <c r="R32" s="20" t="str">
        <f t="shared" si="1"/>
        <v>204-216</v>
      </c>
      <c r="S32" s="20" t="str">
        <f t="shared" si="1"/>
        <v>216-228</v>
      </c>
      <c r="T32" s="20" t="str">
        <f t="shared" si="1"/>
        <v>228-240</v>
      </c>
      <c r="AQ32" s="7"/>
    </row>
    <row r="33" spans="1:43" x14ac:dyDescent="0.25">
      <c r="A33" s="17">
        <f t="shared" ref="A33:A51" si="2">+A9</f>
        <v>1996</v>
      </c>
      <c r="B33" s="42">
        <f t="shared" ref="B33:T33" si="3">IF(ISERROR(C9/B9),B$53,C9/B9)</f>
        <v>2.2402215739026485</v>
      </c>
      <c r="C33" s="21">
        <f>IF(ISERROR(D9/C9),C$53,D9/C9)</f>
        <v>1.3166744218266762</v>
      </c>
      <c r="D33" s="21">
        <f t="shared" si="3"/>
        <v>1.1506372931377176</v>
      </c>
      <c r="E33" s="21">
        <f t="shared" si="3"/>
        <v>1.0890203716898779</v>
      </c>
      <c r="F33" s="21">
        <f t="shared" si="3"/>
        <v>1.059490773347761</v>
      </c>
      <c r="G33" s="21">
        <f t="shared" si="3"/>
        <v>1.0355921204547716</v>
      </c>
      <c r="H33" s="21">
        <f t="shared" si="3"/>
        <v>1.0282170668918982</v>
      </c>
      <c r="I33" s="21">
        <f t="shared" si="3"/>
        <v>1.0195448749982696</v>
      </c>
      <c r="J33" s="21">
        <f t="shared" si="3"/>
        <v>1.0164620177140491</v>
      </c>
      <c r="K33" s="21">
        <f t="shared" si="3"/>
        <v>1.0134712470543641</v>
      </c>
      <c r="L33" s="21">
        <f t="shared" si="3"/>
        <v>1.0136982602272295</v>
      </c>
      <c r="M33" s="21">
        <f t="shared" si="3"/>
        <v>1.0097004260909521</v>
      </c>
      <c r="N33" s="21">
        <f t="shared" ref="N33:O38" si="4">IF(ISERROR(O9/N9),N$53,O9/N9)</f>
        <v>1.0108016028121387</v>
      </c>
      <c r="O33" s="21">
        <f t="shared" si="4"/>
        <v>1.0093999278758701</v>
      </c>
      <c r="P33" s="21">
        <f t="shared" si="3"/>
        <v>1.0085909954905363</v>
      </c>
      <c r="Q33" s="21">
        <f t="shared" si="3"/>
        <v>1.0071544299729431</v>
      </c>
      <c r="R33" s="21">
        <f t="shared" si="3"/>
        <v>1.0078547212656936</v>
      </c>
      <c r="S33" s="21">
        <f t="shared" si="3"/>
        <v>1.0070763782291603</v>
      </c>
      <c r="T33" s="21">
        <f t="shared" si="3"/>
        <v>1.0089435687104582</v>
      </c>
      <c r="AQ33" s="7"/>
    </row>
    <row r="34" spans="1:43" x14ac:dyDescent="0.25">
      <c r="A34" s="17">
        <f t="shared" si="2"/>
        <v>1997</v>
      </c>
      <c r="B34" s="21">
        <f>IF(ISERROR(C10/B10),B$53,C10/B10)</f>
        <v>2.2452322701594367</v>
      </c>
      <c r="C34" s="21">
        <f>IF(ISERROR(D10/C10),C$53,D10/C10)</f>
        <v>1.3021724798984025</v>
      </c>
      <c r="D34" s="21">
        <f t="shared" ref="D34:S34" si="5">IF(ISERROR(E10/D10),D$53,E10/D10)</f>
        <v>1.1547951065170792</v>
      </c>
      <c r="E34" s="21">
        <f t="shared" si="5"/>
        <v>1.0817663670104911</v>
      </c>
      <c r="F34" s="21">
        <f t="shared" si="5"/>
        <v>1.0556066570587415</v>
      </c>
      <c r="G34" s="21">
        <f t="shared" si="5"/>
        <v>1.0429993333297456</v>
      </c>
      <c r="H34" s="21">
        <f t="shared" si="5"/>
        <v>1.026848768899979</v>
      </c>
      <c r="I34" s="21">
        <f t="shared" si="5"/>
        <v>1.0182516716902288</v>
      </c>
      <c r="J34" s="21">
        <f t="shared" si="5"/>
        <v>1.0154792588640484</v>
      </c>
      <c r="K34" s="21">
        <f t="shared" si="5"/>
        <v>1.0147087439080169</v>
      </c>
      <c r="L34" s="21">
        <f t="shared" si="5"/>
        <v>1.0114622323152247</v>
      </c>
      <c r="M34" s="21">
        <f t="shared" si="5"/>
        <v>1.0099351540399903</v>
      </c>
      <c r="N34" s="21">
        <f t="shared" si="4"/>
        <v>1.0086733159042236</v>
      </c>
      <c r="O34" s="21">
        <f t="shared" si="4"/>
        <v>1.0077650303777683</v>
      </c>
      <c r="P34" s="21">
        <f t="shared" si="5"/>
        <v>1.0073915955473012</v>
      </c>
      <c r="Q34" s="21">
        <f t="shared" si="5"/>
        <v>1.0072970498637455</v>
      </c>
      <c r="R34" s="21">
        <f t="shared" si="5"/>
        <v>1.0074324221432276</v>
      </c>
      <c r="S34" s="21">
        <f t="shared" si="5"/>
        <v>1.0075570960096991</v>
      </c>
      <c r="T34" s="22"/>
      <c r="AQ34" s="7"/>
    </row>
    <row r="35" spans="1:43" x14ac:dyDescent="0.25">
      <c r="A35" s="17">
        <f t="shared" si="2"/>
        <v>1998</v>
      </c>
      <c r="B35" s="21">
        <f>IF(ISERROR(C11/B11),B$53,C11/B11)</f>
        <v>2.3436357011655446</v>
      </c>
      <c r="C35" s="21">
        <f>IF(ISERROR(D11/C11),C$53,D11/C11)</f>
        <v>1.3559804560227295</v>
      </c>
      <c r="D35" s="21">
        <f t="shared" ref="D35:R35" si="6">IF(ISERROR(E11/D11),D$53,E11/D11)</f>
        <v>1.1679504478399509</v>
      </c>
      <c r="E35" s="21">
        <f t="shared" si="6"/>
        <v>1.0948603082742474</v>
      </c>
      <c r="F35" s="21">
        <f t="shared" si="6"/>
        <v>1.0650199512487559</v>
      </c>
      <c r="G35" s="21">
        <f t="shared" si="6"/>
        <v>1.0409582631733887</v>
      </c>
      <c r="H35" s="21">
        <f t="shared" si="6"/>
        <v>1.0286729630695259</v>
      </c>
      <c r="I35" s="21">
        <f t="shared" si="6"/>
        <v>1.0263034636152411</v>
      </c>
      <c r="J35" s="21">
        <f t="shared" si="6"/>
        <v>1.0208109359286066</v>
      </c>
      <c r="K35" s="21">
        <f t="shared" si="6"/>
        <v>1.0179768382820862</v>
      </c>
      <c r="L35" s="21">
        <f t="shared" si="6"/>
        <v>1.0135623369809728</v>
      </c>
      <c r="M35" s="21">
        <f t="shared" si="6"/>
        <v>1.0100415909234819</v>
      </c>
      <c r="N35" s="21">
        <f t="shared" si="4"/>
        <v>1.0111121389320052</v>
      </c>
      <c r="O35" s="21">
        <f t="shared" si="4"/>
        <v>1.0092910546117577</v>
      </c>
      <c r="P35" s="21">
        <f t="shared" si="6"/>
        <v>1.0105514886692284</v>
      </c>
      <c r="Q35" s="21">
        <f t="shared" si="6"/>
        <v>1.0085179647137805</v>
      </c>
      <c r="R35" s="21">
        <f t="shared" si="6"/>
        <v>1.008047401834848</v>
      </c>
      <c r="S35" s="22"/>
      <c r="T35" s="22"/>
      <c r="AQ35" s="19"/>
    </row>
    <row r="36" spans="1:43" x14ac:dyDescent="0.25">
      <c r="A36" s="17">
        <f t="shared" si="2"/>
        <v>1999</v>
      </c>
      <c r="B36" s="21">
        <f t="shared" ref="B36:Q36" si="7">IF(ISERROR(C12/B12),B$53,C12/B12)</f>
        <v>2.4365343024154082</v>
      </c>
      <c r="C36" s="21">
        <f t="shared" si="7"/>
        <v>1.3695768554272427</v>
      </c>
      <c r="D36" s="21">
        <f t="shared" si="7"/>
        <v>1.1538544899645315</v>
      </c>
      <c r="E36" s="21">
        <f t="shared" si="7"/>
        <v>1.0971412636242925</v>
      </c>
      <c r="F36" s="21">
        <f t="shared" si="7"/>
        <v>1.0629145006934877</v>
      </c>
      <c r="G36" s="21">
        <f t="shared" si="7"/>
        <v>1.0433485910226723</v>
      </c>
      <c r="H36" s="21">
        <f t="shared" si="7"/>
        <v>1.0310312889986004</v>
      </c>
      <c r="I36" s="21">
        <f t="shared" si="7"/>
        <v>1.017640724621649</v>
      </c>
      <c r="J36" s="21">
        <f t="shared" si="7"/>
        <v>1.0190808623823802</v>
      </c>
      <c r="K36" s="21">
        <f t="shared" si="7"/>
        <v>1.0148640121523185</v>
      </c>
      <c r="L36" s="21">
        <f t="shared" si="7"/>
        <v>1.0116714026970304</v>
      </c>
      <c r="M36" s="21">
        <f t="shared" si="7"/>
        <v>1.0121521961025213</v>
      </c>
      <c r="N36" s="21">
        <f t="shared" si="4"/>
        <v>1.0119387182738742</v>
      </c>
      <c r="O36" s="21">
        <f t="shared" si="4"/>
        <v>1.0104301690150048</v>
      </c>
      <c r="P36" s="21">
        <f t="shared" si="7"/>
        <v>1.0123183911924798</v>
      </c>
      <c r="Q36" s="21">
        <f t="shared" si="7"/>
        <v>1.0086075972464761</v>
      </c>
      <c r="R36" s="22"/>
      <c r="S36" s="22"/>
      <c r="T36" s="22"/>
      <c r="AQ36" s="19"/>
    </row>
    <row r="37" spans="1:43" x14ac:dyDescent="0.25">
      <c r="A37" s="17">
        <f t="shared" si="2"/>
        <v>2000</v>
      </c>
      <c r="B37" s="21">
        <f t="shared" ref="B37:P37" si="8">IF(ISERROR(C13/B13),B$53,C13/B13)</f>
        <v>2.485227586551745</v>
      </c>
      <c r="C37" s="21">
        <f t="shared" si="8"/>
        <v>1.3545825137152196</v>
      </c>
      <c r="D37" s="21">
        <f t="shared" si="8"/>
        <v>1.1724211833866502</v>
      </c>
      <c r="E37" s="21">
        <f t="shared" si="8"/>
        <v>1.0958367012991632</v>
      </c>
      <c r="F37" s="21">
        <f t="shared" si="8"/>
        <v>1.0548556408652945</v>
      </c>
      <c r="G37" s="21">
        <f t="shared" si="8"/>
        <v>1.0410925090862879</v>
      </c>
      <c r="H37" s="21">
        <f t="shared" si="8"/>
        <v>1.0314948022626944</v>
      </c>
      <c r="I37" s="21">
        <f t="shared" si="8"/>
        <v>1.0150186466594315</v>
      </c>
      <c r="J37" s="21">
        <f t="shared" si="8"/>
        <v>1.0152528218389951</v>
      </c>
      <c r="K37" s="21">
        <f t="shared" si="8"/>
        <v>1.0128678511228855</v>
      </c>
      <c r="L37" s="21">
        <f t="shared" si="8"/>
        <v>1.0057436985589667</v>
      </c>
      <c r="M37" s="21">
        <f t="shared" si="8"/>
        <v>1.0118569540923625</v>
      </c>
      <c r="N37" s="21">
        <f t="shared" si="4"/>
        <v>1.0141888152986931</v>
      </c>
      <c r="O37" s="21">
        <f t="shared" si="4"/>
        <v>1.0091518419709695</v>
      </c>
      <c r="P37" s="21">
        <f t="shared" si="8"/>
        <v>1.0064307110184059</v>
      </c>
      <c r="Q37" s="22"/>
      <c r="R37" s="22"/>
      <c r="T37" s="22"/>
      <c r="AQ37" s="19"/>
    </row>
    <row r="38" spans="1:43" x14ac:dyDescent="0.25">
      <c r="A38" s="17">
        <f t="shared" si="2"/>
        <v>2001</v>
      </c>
      <c r="B38" s="21">
        <f t="shared" ref="B38:M38" si="9">IF(ISERROR(C14/B14),B$53,C14/B14)</f>
        <v>2.4682182927433818</v>
      </c>
      <c r="C38" s="21">
        <f t="shared" si="9"/>
        <v>1.3611648935930498</v>
      </c>
      <c r="D38" s="21">
        <f t="shared" si="9"/>
        <v>1.1687313701288875</v>
      </c>
      <c r="E38" s="21">
        <f t="shared" si="9"/>
        <v>1.0849340019580909</v>
      </c>
      <c r="F38" s="21">
        <f t="shared" si="9"/>
        <v>1.0574772734106661</v>
      </c>
      <c r="G38" s="21">
        <f t="shared" si="9"/>
        <v>1.03672013569718</v>
      </c>
      <c r="H38" s="21">
        <f t="shared" si="9"/>
        <v>1.0277479563901637</v>
      </c>
      <c r="I38" s="21">
        <f t="shared" si="9"/>
        <v>1.0174419540164339</v>
      </c>
      <c r="J38" s="21">
        <f t="shared" si="9"/>
        <v>1.0140114480712425</v>
      </c>
      <c r="K38" s="21">
        <f t="shared" si="9"/>
        <v>0.98517574226924665</v>
      </c>
      <c r="L38" s="21">
        <f t="shared" si="9"/>
        <v>1.010881611411879</v>
      </c>
      <c r="M38" s="21">
        <f t="shared" si="9"/>
        <v>1.012808512344578</v>
      </c>
      <c r="N38" s="21">
        <f t="shared" si="4"/>
        <v>1.0148709293273843</v>
      </c>
      <c r="O38" s="21">
        <f t="shared" si="4"/>
        <v>1.0092714103981948</v>
      </c>
      <c r="P38" s="22"/>
      <c r="Q38" s="22"/>
      <c r="R38" s="22"/>
      <c r="S38" s="5"/>
      <c r="T38" s="23"/>
      <c r="AQ38" s="19"/>
    </row>
    <row r="39" spans="1:43" x14ac:dyDescent="0.25">
      <c r="A39" s="17">
        <f t="shared" si="2"/>
        <v>2002</v>
      </c>
      <c r="B39" s="21">
        <f t="shared" ref="B39:M39" si="10">IF(ISERROR(C15/B15),B$53,C15/B15)</f>
        <v>2.4920415903564317</v>
      </c>
      <c r="C39" s="21">
        <f t="shared" si="10"/>
        <v>1.3711542680775111</v>
      </c>
      <c r="D39" s="21">
        <f t="shared" si="10"/>
        <v>1.1658146000854019</v>
      </c>
      <c r="E39" s="21">
        <f t="shared" si="10"/>
        <v>1.0884535607691144</v>
      </c>
      <c r="F39" s="21">
        <f t="shared" si="10"/>
        <v>1.0513297060134097</v>
      </c>
      <c r="G39" s="21">
        <f t="shared" si="10"/>
        <v>1.0429016910836109</v>
      </c>
      <c r="H39" s="21">
        <f t="shared" si="10"/>
        <v>1.0261291342775831</v>
      </c>
      <c r="I39" s="21">
        <f t="shared" si="10"/>
        <v>1.0204321678320798</v>
      </c>
      <c r="J39" s="21">
        <f t="shared" si="10"/>
        <v>1.0149584878270312</v>
      </c>
      <c r="K39" s="21">
        <f t="shared" si="10"/>
        <v>1.0144326071485377</v>
      </c>
      <c r="L39" s="21">
        <f t="shared" si="10"/>
        <v>1.0139597188809082</v>
      </c>
      <c r="M39" s="21">
        <f t="shared" si="10"/>
        <v>1.0128558898126374</v>
      </c>
      <c r="N39" s="21">
        <f>IF(ISERROR(O15/N15),N$53,O15/N15)</f>
        <v>1.0086053825045576</v>
      </c>
      <c r="O39" s="22"/>
      <c r="P39" s="22"/>
      <c r="Q39" s="22"/>
      <c r="R39" s="5"/>
      <c r="S39" s="5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</row>
    <row r="40" spans="1:43" x14ac:dyDescent="0.25">
      <c r="A40" s="17">
        <f t="shared" si="2"/>
        <v>2003</v>
      </c>
      <c r="B40" s="21">
        <f t="shared" ref="B40:M40" si="11">IF(ISERROR(C16/B16),B$53,C16/B16)</f>
        <v>2.3572383570831819</v>
      </c>
      <c r="C40" s="21">
        <f t="shared" si="11"/>
        <v>1.3432855128172045</v>
      </c>
      <c r="D40" s="21">
        <f t="shared" si="11"/>
        <v>1.1553753562039404</v>
      </c>
      <c r="E40" s="21">
        <f t="shared" si="11"/>
        <v>1.0818111733949307</v>
      </c>
      <c r="F40" s="21">
        <f t="shared" si="11"/>
        <v>1.0544500083584285</v>
      </c>
      <c r="G40" s="21">
        <f t="shared" si="11"/>
        <v>1.0357424899579215</v>
      </c>
      <c r="H40" s="21">
        <f t="shared" si="11"/>
        <v>1.0241098643765496</v>
      </c>
      <c r="I40" s="21">
        <f t="shared" si="11"/>
        <v>1.0205653377579649</v>
      </c>
      <c r="J40" s="21">
        <f t="shared" si="11"/>
        <v>1.0151028441895102</v>
      </c>
      <c r="K40" s="21">
        <f t="shared" si="11"/>
        <v>1.0159283707614513</v>
      </c>
      <c r="L40" s="21">
        <f t="shared" si="11"/>
        <v>1.0125827717804015</v>
      </c>
      <c r="M40" s="21">
        <f t="shared" si="11"/>
        <v>1.0098199066594147</v>
      </c>
      <c r="N40" s="22"/>
      <c r="O40" s="22"/>
      <c r="P40" s="22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</row>
    <row r="41" spans="1:43" x14ac:dyDescent="0.25">
      <c r="A41" s="17">
        <f t="shared" si="2"/>
        <v>2004</v>
      </c>
      <c r="B41" s="21">
        <f t="shared" ref="B41:L41" si="12">IF(ISERROR(C17/B17),B$53,C17/B17)</f>
        <v>2.2664009921259463</v>
      </c>
      <c r="C41" s="21">
        <f t="shared" si="12"/>
        <v>1.328506107784674</v>
      </c>
      <c r="D41" s="21">
        <f t="shared" si="12"/>
        <v>1.154167950039424</v>
      </c>
      <c r="E41" s="21">
        <f t="shared" si="12"/>
        <v>1.0798940263400776</v>
      </c>
      <c r="F41" s="21">
        <f t="shared" si="12"/>
        <v>1.0510166747369523</v>
      </c>
      <c r="G41" s="21">
        <f t="shared" si="12"/>
        <v>1.0357212570114922</v>
      </c>
      <c r="H41" s="21">
        <f t="shared" si="12"/>
        <v>1.0246198264841304</v>
      </c>
      <c r="I41" s="21">
        <f t="shared" si="12"/>
        <v>1.0231571182353396</v>
      </c>
      <c r="J41" s="21">
        <f t="shared" si="12"/>
        <v>1.0200970162905063</v>
      </c>
      <c r="K41" s="21">
        <f t="shared" si="12"/>
        <v>1.0160059546665894</v>
      </c>
      <c r="L41" s="21">
        <f t="shared" si="12"/>
        <v>1.0153003832610388</v>
      </c>
      <c r="M41" s="22"/>
      <c r="N41" s="22"/>
      <c r="O41" s="22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</row>
    <row r="42" spans="1:43" x14ac:dyDescent="0.25">
      <c r="A42" s="17">
        <f t="shared" si="2"/>
        <v>2005</v>
      </c>
      <c r="B42" s="21">
        <f t="shared" ref="B42:K42" si="13">IF(ISERROR(C18/B18),B$53,C18/B18)</f>
        <v>2.3596363402461273</v>
      </c>
      <c r="C42" s="21">
        <f>IF(ISERROR(D18/C18),C$53,D18/C18)</f>
        <v>1.3058959191679356</v>
      </c>
      <c r="D42" s="21">
        <f t="shared" si="13"/>
        <v>1.1653079443124856</v>
      </c>
      <c r="E42" s="21">
        <f t="shared" si="13"/>
        <v>1.0880435948629212</v>
      </c>
      <c r="F42" s="21">
        <f t="shared" si="13"/>
        <v>1.05127704753661</v>
      </c>
      <c r="G42" s="21">
        <f t="shared" si="13"/>
        <v>1.0461114921875521</v>
      </c>
      <c r="H42" s="21">
        <f t="shared" si="13"/>
        <v>1.0262216904089534</v>
      </c>
      <c r="I42" s="21">
        <f t="shared" si="13"/>
        <v>1.0284701400602587</v>
      </c>
      <c r="J42" s="21">
        <f t="shared" si="13"/>
        <v>1.0172972588889468</v>
      </c>
      <c r="K42" s="21">
        <f t="shared" si="13"/>
        <v>1.0147935781031938</v>
      </c>
      <c r="L42" s="19"/>
      <c r="M42" s="19"/>
      <c r="N42" s="19"/>
      <c r="O42" s="22"/>
      <c r="P42" s="22"/>
      <c r="R42" s="19"/>
      <c r="S42" s="19"/>
      <c r="T42" s="19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19"/>
      <c r="AQ42" s="19"/>
    </row>
    <row r="43" spans="1:43" x14ac:dyDescent="0.25">
      <c r="A43" s="17">
        <f t="shared" si="2"/>
        <v>2006</v>
      </c>
      <c r="B43" s="21">
        <f t="shared" ref="B43:J43" si="14">IF(ISERROR(C19/B19),B$53,C19/B19)</f>
        <v>2.3790072941212745</v>
      </c>
      <c r="C43" s="21">
        <f t="shared" si="14"/>
        <v>1.3294752810665444</v>
      </c>
      <c r="D43" s="21">
        <f t="shared" si="14"/>
        <v>1.1577792495094659</v>
      </c>
      <c r="E43" s="21">
        <f t="shared" si="14"/>
        <v>1.0901355532814441</v>
      </c>
      <c r="F43" s="21">
        <f t="shared" si="14"/>
        <v>1.0545841332799883</v>
      </c>
      <c r="G43" s="21">
        <f t="shared" si="14"/>
        <v>1.0457476627410152</v>
      </c>
      <c r="H43" s="21">
        <f t="shared" si="14"/>
        <v>1.0308422843298104</v>
      </c>
      <c r="I43" s="21">
        <f t="shared" si="14"/>
        <v>1.0199333318629444</v>
      </c>
      <c r="J43" s="21">
        <f t="shared" si="14"/>
        <v>1.0170843970414398</v>
      </c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</row>
    <row r="44" spans="1:43" x14ac:dyDescent="0.25">
      <c r="A44" s="17">
        <f t="shared" si="2"/>
        <v>2007</v>
      </c>
      <c r="B44" s="21">
        <f t="shared" ref="B44:I44" si="15">IF(ISERROR(C20/B20),B$53,C20/B20)</f>
        <v>2.2821682355279851</v>
      </c>
      <c r="C44" s="21">
        <f t="shared" si="15"/>
        <v>1.3439959058194844</v>
      </c>
      <c r="D44" s="21">
        <f t="shared" si="15"/>
        <v>1.1526564175074985</v>
      </c>
      <c r="E44" s="21">
        <f t="shared" si="15"/>
        <v>1.0842137574000341</v>
      </c>
      <c r="F44" s="21">
        <f t="shared" si="15"/>
        <v>1.0563394362549938</v>
      </c>
      <c r="G44" s="21">
        <f t="shared" si="15"/>
        <v>1.0383159480080786</v>
      </c>
      <c r="H44" s="21">
        <f t="shared" si="15"/>
        <v>1.0298586572721102</v>
      </c>
      <c r="I44" s="21">
        <f t="shared" si="15"/>
        <v>1.0272140192567083</v>
      </c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</row>
    <row r="45" spans="1:43" x14ac:dyDescent="0.25">
      <c r="A45" s="17">
        <f t="shared" si="2"/>
        <v>2008</v>
      </c>
      <c r="B45" s="21">
        <f t="shared" ref="B45:H45" si="16">IF(ISERROR(C21/B21),B$53,C21/B21)</f>
        <v>2.3466889100768151</v>
      </c>
      <c r="C45" s="21">
        <f t="shared" si="16"/>
        <v>1.3856553903049131</v>
      </c>
      <c r="D45" s="21">
        <f t="shared" si="16"/>
        <v>1.1523101722616964</v>
      </c>
      <c r="E45" s="21">
        <f t="shared" si="16"/>
        <v>1.0972378098591917</v>
      </c>
      <c r="F45" s="21">
        <f t="shared" si="16"/>
        <v>1.0606276390146148</v>
      </c>
      <c r="G45" s="21">
        <f t="shared" si="16"/>
        <v>1.0362884157850882</v>
      </c>
      <c r="H45" s="21">
        <f t="shared" si="16"/>
        <v>1.0181038313694593</v>
      </c>
      <c r="I45" s="19"/>
      <c r="R45" s="55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</row>
    <row r="46" spans="1:43" x14ac:dyDescent="0.25">
      <c r="A46" s="17">
        <f t="shared" si="2"/>
        <v>2009</v>
      </c>
      <c r="B46" s="21">
        <f t="shared" ref="B46:G46" si="17">IF(ISERROR(C22/B22),B$53,C22/B22)</f>
        <v>2.5006376555133722</v>
      </c>
      <c r="C46" s="21">
        <f t="shared" si="17"/>
        <v>1.3459746304593281</v>
      </c>
      <c r="D46" s="21">
        <f t="shared" si="17"/>
        <v>1.1805835723038629</v>
      </c>
      <c r="E46" s="21">
        <f t="shared" si="17"/>
        <v>1.1252406965056274</v>
      </c>
      <c r="F46" s="21">
        <f t="shared" si="17"/>
        <v>1.0569824089357718</v>
      </c>
      <c r="G46" s="21">
        <f t="shared" si="17"/>
        <v>1.0409191453851117</v>
      </c>
      <c r="H46" s="21"/>
      <c r="I46" s="19"/>
      <c r="L46" s="19"/>
      <c r="M46" s="19"/>
      <c r="N46" s="19"/>
      <c r="O46" s="19"/>
      <c r="P46" s="19"/>
      <c r="Q46" s="19"/>
      <c r="R46" s="56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</row>
    <row r="47" spans="1:43" x14ac:dyDescent="0.25">
      <c r="A47" s="17">
        <f t="shared" si="2"/>
        <v>2010</v>
      </c>
      <c r="B47" s="21">
        <f>IF(ISERROR(C23/B23),B$53,C23/B23)</f>
        <v>2.3948911108878215</v>
      </c>
      <c r="C47" s="21">
        <f>IF(ISERROR(D23/C23),C$53,D23/C23)</f>
        <v>1.3507813556005406</v>
      </c>
      <c r="D47" s="21">
        <f>IF(ISERROR(E23/D23),D$53,E23/D23)</f>
        <v>1.1724197478244966</v>
      </c>
      <c r="E47" s="21">
        <f>IF(ISERROR(F23/E23),E$53,F23/E23)</f>
        <v>1.0897855094998086</v>
      </c>
      <c r="F47" s="21">
        <f>IF(ISERROR(G23/F23),F$53,G23/F23)</f>
        <v>1.0574258576264484</v>
      </c>
      <c r="G47" s="21"/>
      <c r="H47" s="21"/>
      <c r="L47" s="19"/>
      <c r="M47" s="19"/>
      <c r="N47" s="19"/>
      <c r="O47" s="19"/>
      <c r="P47" s="19"/>
      <c r="Q47" s="19"/>
      <c r="R47" s="56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</row>
    <row r="48" spans="1:43" x14ac:dyDescent="0.25">
      <c r="A48" s="17">
        <f t="shared" si="2"/>
        <v>2011</v>
      </c>
      <c r="B48" s="21">
        <f>IF(ISERROR(C24/B24),B$53,C24/B24)</f>
        <v>2.4316059310896638</v>
      </c>
      <c r="C48" s="21">
        <f>IF(ISERROR(D24/C24),C$53,D24/C24)</f>
        <v>1.3530589153885013</v>
      </c>
      <c r="D48" s="21">
        <f>IF(ISERROR(E24/D24),D$53,E24/D24)</f>
        <v>1.1476868806634044</v>
      </c>
      <c r="E48" s="21">
        <f>IF(ISERROR(F24/E24),E$53,F24/E24)</f>
        <v>1.0944617915963022</v>
      </c>
      <c r="F48" s="21"/>
      <c r="G48" s="21"/>
      <c r="L48" s="19"/>
      <c r="M48" s="19"/>
      <c r="N48" s="19"/>
      <c r="O48" s="19"/>
      <c r="P48" s="19"/>
      <c r="Q48" s="19"/>
      <c r="R48" s="56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</row>
    <row r="49" spans="1:52" x14ac:dyDescent="0.25">
      <c r="A49" s="17">
        <f t="shared" si="2"/>
        <v>2012</v>
      </c>
      <c r="B49" s="21">
        <f>IF(ISERROR(C25/B25),B$53,C25/B25)</f>
        <v>2.3657041422361749</v>
      </c>
      <c r="C49" s="21">
        <f>IF(ISERROR(D25/C25),C$53,D25/C25)</f>
        <v>1.3360599749160007</v>
      </c>
      <c r="D49" s="21">
        <f>IF(ISERROR(E25/D25),D$53,E25/D25)</f>
        <v>1.1522079706485393</v>
      </c>
      <c r="E49" s="21"/>
      <c r="L49" s="19"/>
      <c r="M49" s="19"/>
      <c r="N49" s="19"/>
      <c r="O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</row>
    <row r="50" spans="1:52" x14ac:dyDescent="0.25">
      <c r="A50" s="17">
        <f t="shared" si="2"/>
        <v>2013</v>
      </c>
      <c r="B50" s="21">
        <f>IF(ISERROR(C26/B26),B$53,C26/B26)</f>
        <v>2.2882346832032354</v>
      </c>
      <c r="C50" s="21">
        <f>IF(ISERROR(D26/C26),C$53,D26/C26)</f>
        <v>1.3103742277362687</v>
      </c>
      <c r="D50" s="21"/>
      <c r="L50" s="19"/>
      <c r="M50" s="19"/>
      <c r="N50" s="19"/>
      <c r="O50" s="19"/>
      <c r="P50" s="19"/>
      <c r="Q50" s="19"/>
      <c r="R50" s="19"/>
      <c r="S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31"/>
      <c r="AQ50" s="19"/>
    </row>
    <row r="51" spans="1:52" x14ac:dyDescent="0.25">
      <c r="A51" s="17">
        <f t="shared" si="2"/>
        <v>2014</v>
      </c>
      <c r="B51" s="21">
        <f>IF(ISERROR(C27/B27),B$53,C27/B27)</f>
        <v>2.4579827978938811</v>
      </c>
      <c r="C51" s="21"/>
      <c r="L51" s="19"/>
      <c r="M51" s="19"/>
      <c r="N51" s="19"/>
      <c r="O51" s="19"/>
      <c r="P51" s="19"/>
      <c r="Q51" s="19"/>
      <c r="R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31"/>
      <c r="AQ51" s="19"/>
    </row>
    <row r="52" spans="1:52" x14ac:dyDescent="0.25">
      <c r="A52" s="17"/>
      <c r="B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31"/>
      <c r="AQ52" s="7"/>
    </row>
    <row r="53" spans="1:52" x14ac:dyDescent="0.25">
      <c r="A53" s="17" t="s">
        <v>87</v>
      </c>
      <c r="B53" s="19">
        <f>MAX(1,SUM(C10:C27)/SUM(B10:B27))</f>
        <v>2.3926831622333862</v>
      </c>
      <c r="C53" s="19">
        <f>MAX(1,SUM(D9:D26)/SUM(C9:C26))</f>
        <v>1.3461474910830964</v>
      </c>
      <c r="D53" s="19">
        <f>MAX(1,SUM(E$9:E25)/SUM(D$9:D25))</f>
        <v>1.1613181453595378</v>
      </c>
      <c r="E53" s="19">
        <f>MAX(1,SUM(F$9:F24)/SUM(E$9:E24))</f>
        <v>1.089851517871711</v>
      </c>
      <c r="F53" s="19">
        <f>MAX(1,SUM(G$9:G23)/SUM(F$9:F23))</f>
        <v>1.057090300634272</v>
      </c>
      <c r="G53" s="19">
        <f>MAX(1,SUM(H$9:H22)/SUM(G$9:G22))</f>
        <v>1.040153803455911</v>
      </c>
      <c r="H53" s="19">
        <f>MAX(1,SUM(I$9:I21)/SUM(H$9:H21))</f>
        <v>1.0278866529186579</v>
      </c>
      <c r="I53" s="19">
        <f>MAX(1,SUM(J$9:J20)/SUM(I$9:I20))</f>
        <v>1.0200146754684607</v>
      </c>
      <c r="J53" s="19">
        <f>MAX(1,SUM(K$9:K19)/SUM(J$9:J19))</f>
        <v>1.0167144213722452</v>
      </c>
      <c r="K53" s="19">
        <f>MAX(1,SUM(L$9:L18)/SUM(K$9:K18))</f>
        <v>1.0109796743338755</v>
      </c>
      <c r="L53" s="19">
        <f>MAX(1,SUM(M$9:M17)/SUM(L$9:L17))</f>
        <v>1.0117823816945466</v>
      </c>
      <c r="M53" s="19">
        <f>IF(ISERROR(SUM(N$9:N16)/SUM(M$9:M16)),1,MAX(1,SUM(N$9:N16)/SUM(M$9:M16)))</f>
        <v>1.0113261482923446</v>
      </c>
      <c r="N53" s="19">
        <f>IF(ISERROR(SUM(O$9:O15)/SUM(N$9:N15)),1,MAX(1,SUM(O$9:O15)/SUM(N$9:N15)))</f>
        <v>1.0116193910989686</v>
      </c>
      <c r="O53" s="19">
        <f>IF(ISERROR(SUM(P$9:P14)/SUM(O$9:O14)),1,MAX(1,SUM(P$9:P14)/SUM(O$9:O14)))</f>
        <v>1.00927768815873</v>
      </c>
      <c r="P53" s="19">
        <f>IF(ISERROR(SUM(Q$9:Q13)/SUM(P$9:P13)),1,MAX(1,SUM(Q$9:Q13)/SUM(P$9:P13)))</f>
        <v>1.0092006870516914</v>
      </c>
      <c r="Q53" s="19">
        <f>IF(ISERROR(SUM(R$9:R12)/SUM(Q$9:Q12)),1,MAX(1,SUM(R$9:R12)/SUM(Q$9:Q12)))</f>
        <v>1.0080102983989132</v>
      </c>
      <c r="R53" s="19">
        <f>IF(ISERROR(SUM(S$9:S11)/SUM(R$9:R11)),1,MAX(1,SUM(S$9:S11)/SUM(R$9:R11)))</f>
        <v>1.0077958338137842</v>
      </c>
      <c r="S53" s="19">
        <f>IF(ISERROR(SUM(T$9:T10)/SUM(S$9:S10)),1,MAX(1,SUM(T$9:T10)/SUM(S$9:S10)))</f>
        <v>1.0073352198431664</v>
      </c>
      <c r="T53" s="19">
        <f>IF(ISERROR(SUM(U$9:U9)/SUM(T$9:T9)),1,MAX(1,SUM(U$9:U9)/SUM(T$9:T9)))</f>
        <v>1.0089435687104582</v>
      </c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31"/>
      <c r="AQ53" s="7"/>
    </row>
    <row r="54" spans="1:52" s="83" customFormat="1" x14ac:dyDescent="0.25">
      <c r="A54" s="17"/>
      <c r="B54" s="7"/>
      <c r="C54" s="7"/>
      <c r="D54"/>
      <c r="E54"/>
      <c r="F54"/>
      <c r="G54"/>
      <c r="H54"/>
      <c r="I54"/>
      <c r="J54"/>
      <c r="K54"/>
      <c r="L54"/>
      <c r="M54"/>
      <c r="P54"/>
      <c r="Q54"/>
      <c r="R54"/>
      <c r="S54"/>
      <c r="T54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31"/>
      <c r="AQ54" s="7"/>
      <c r="AR54"/>
      <c r="AS54"/>
      <c r="AT54"/>
      <c r="AU54"/>
      <c r="AV54"/>
      <c r="AW54"/>
      <c r="AX54"/>
      <c r="AY54"/>
      <c r="AZ54"/>
    </row>
    <row r="55" spans="1:52" x14ac:dyDescent="0.25">
      <c r="A55" s="57" t="s">
        <v>135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O55" s="7"/>
      <c r="P55" s="7"/>
      <c r="Q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31"/>
      <c r="AQ55" s="7"/>
    </row>
    <row r="56" spans="1:52" x14ac:dyDescent="0.25">
      <c r="A56" s="1">
        <f t="shared" ref="A56:A75" si="18">A9</f>
        <v>1996</v>
      </c>
      <c r="B56" s="73">
        <f t="shared" ref="B56:T56" si="19">C56/B$53</f>
        <v>154602981.13572615</v>
      </c>
      <c r="C56" s="63">
        <f>D56/C$53</f>
        <v>369915949.79453778</v>
      </c>
      <c r="D56" s="63">
        <f t="shared" si="19"/>
        <v>497961427.72753769</v>
      </c>
      <c r="E56" s="63">
        <f t="shared" si="19"/>
        <v>578291641.7091316</v>
      </c>
      <c r="F56" s="63">
        <f t="shared" si="19"/>
        <v>630252023.48922074</v>
      </c>
      <c r="G56" s="63">
        <f t="shared" si="19"/>
        <v>666233300.98557866</v>
      </c>
      <c r="H56" s="63">
        <f t="shared" si="19"/>
        <v>692985102.00913644</v>
      </c>
      <c r="I56" s="63">
        <f t="shared" si="19"/>
        <v>712310137.02666593</v>
      </c>
      <c r="J56" s="63">
        <f t="shared" si="19"/>
        <v>726566793.25214946</v>
      </c>
      <c r="K56" s="63">
        <f t="shared" si="19"/>
        <v>738710936.78964686</v>
      </c>
      <c r="L56" s="63">
        <f t="shared" si="19"/>
        <v>746821742.30246925</v>
      </c>
      <c r="M56" s="63">
        <f t="shared" si="19"/>
        <v>755621081.12806332</v>
      </c>
      <c r="N56" s="63">
        <f t="shared" ref="N56:O61" si="20">O56/N$53</f>
        <v>764179357.54574144</v>
      </c>
      <c r="O56" s="63">
        <f t="shared" si="20"/>
        <v>773058656.37082398</v>
      </c>
      <c r="P56" s="63">
        <f t="shared" si="19"/>
        <v>780230853.51303923</v>
      </c>
      <c r="Q56" s="63">
        <f t="shared" si="19"/>
        <v>787409513.42428684</v>
      </c>
      <c r="R56" s="63">
        <f t="shared" si="19"/>
        <v>793716898.58895838</v>
      </c>
      <c r="S56" s="63">
        <f t="shared" si="19"/>
        <v>799904583.62555015</v>
      </c>
      <c r="T56" s="63">
        <f t="shared" si="19"/>
        <v>805772059.60000002</v>
      </c>
      <c r="U56" s="11">
        <f>U9</f>
        <v>812978537.38</v>
      </c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31"/>
      <c r="AQ56" s="7"/>
    </row>
    <row r="57" spans="1:52" x14ac:dyDescent="0.25">
      <c r="A57" s="17">
        <f t="shared" si="18"/>
        <v>1997</v>
      </c>
      <c r="B57" s="63">
        <f>C57/B$53</f>
        <v>180446542.91875604</v>
      </c>
      <c r="C57" s="63">
        <f>D57/C$53</f>
        <v>431751404.92493165</v>
      </c>
      <c r="D57" s="63">
        <f t="shared" ref="D57:M57" si="21">E57/D$53</f>
        <v>581201070.51129878</v>
      </c>
      <c r="E57" s="63">
        <f t="shared" si="21"/>
        <v>674959349.28715944</v>
      </c>
      <c r="F57" s="63">
        <f t="shared" si="21"/>
        <v>735605471.32231307</v>
      </c>
      <c r="G57" s="63">
        <f t="shared" si="21"/>
        <v>777601408.82831931</v>
      </c>
      <c r="H57" s="63">
        <f t="shared" si="21"/>
        <v>808825062.96545112</v>
      </c>
      <c r="I57" s="63">
        <f t="shared" si="21"/>
        <v>831380486.76828027</v>
      </c>
      <c r="J57" s="63">
        <f t="shared" si="21"/>
        <v>848020297.40175831</v>
      </c>
      <c r="K57" s="63">
        <f t="shared" si="21"/>
        <v>862194465.98474801</v>
      </c>
      <c r="L57" s="63">
        <f t="shared" si="21"/>
        <v>871661080.43373024</v>
      </c>
      <c r="M57" s="63">
        <f t="shared" si="21"/>
        <v>881931323.99168134</v>
      </c>
      <c r="N57" s="63">
        <f t="shared" si="20"/>
        <v>891920208.95087492</v>
      </c>
      <c r="O57" s="63">
        <f t="shared" si="20"/>
        <v>902283778.68774891</v>
      </c>
      <c r="P57" s="63">
        <f>Q57/P$53</f>
        <v>910654886.21709442</v>
      </c>
      <c r="Q57" s="63">
        <f>R57/Q$53</f>
        <v>919033536.83727157</v>
      </c>
      <c r="R57" s="63">
        <f>S57/R$53</f>
        <v>926395269.70594668</v>
      </c>
      <c r="S57" s="63">
        <f>T57/S$53</f>
        <v>933617293.27445006</v>
      </c>
      <c r="T57" s="11">
        <f>T10</f>
        <v>940465581.37000012</v>
      </c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31"/>
      <c r="AQ57" s="7"/>
    </row>
    <row r="58" spans="1:52" x14ac:dyDescent="0.25">
      <c r="A58" s="17">
        <f t="shared" si="18"/>
        <v>1998</v>
      </c>
      <c r="B58" s="63">
        <f t="shared" ref="B58:R58" si="22">C58/B$53</f>
        <v>224566317.66687748</v>
      </c>
      <c r="C58" s="63">
        <f t="shared" si="22"/>
        <v>537316047.08629155</v>
      </c>
      <c r="D58" s="63">
        <f t="shared" si="22"/>
        <v>723306648.70389819</v>
      </c>
      <c r="E58" s="63">
        <f t="shared" si="22"/>
        <v>839989135.79903376</v>
      </c>
      <c r="F58" s="63">
        <f t="shared" si="22"/>
        <v>915463434.64632368</v>
      </c>
      <c r="G58" s="63">
        <f t="shared" si="22"/>
        <v>967727517.34996557</v>
      </c>
      <c r="H58" s="63">
        <f t="shared" si="22"/>
        <v>1006585457.8805128</v>
      </c>
      <c r="I58" s="63">
        <f t="shared" si="22"/>
        <v>1034655757.177395</v>
      </c>
      <c r="J58" s="63">
        <f t="shared" si="22"/>
        <v>1055364056.378875</v>
      </c>
      <c r="K58" s="63">
        <f t="shared" si="22"/>
        <v>1073003855.9183135</v>
      </c>
      <c r="L58" s="63">
        <f t="shared" si="22"/>
        <v>1084785088.8152893</v>
      </c>
      <c r="M58" s="63">
        <f t="shared" si="22"/>
        <v>1097566440.7882636</v>
      </c>
      <c r="N58" s="63">
        <f t="shared" si="20"/>
        <v>1109997641.0573323</v>
      </c>
      <c r="O58" s="63">
        <f t="shared" si="20"/>
        <v>1122895137.76771</v>
      </c>
      <c r="P58" s="63">
        <f t="shared" si="22"/>
        <v>1133313008.6908729</v>
      </c>
      <c r="Q58" s="63">
        <f t="shared" si="22"/>
        <v>1143740267.0154486</v>
      </c>
      <c r="R58" s="63">
        <f t="shared" si="22"/>
        <v>1152901967.8450949</v>
      </c>
      <c r="S58" s="11">
        <f>S11</f>
        <v>1161889799.99</v>
      </c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31"/>
      <c r="AQ58" s="7"/>
    </row>
    <row r="59" spans="1:52" x14ac:dyDescent="0.25">
      <c r="A59" s="17">
        <f t="shared" si="18"/>
        <v>1999</v>
      </c>
      <c r="B59" s="63">
        <f t="shared" ref="B59:Q59" si="23">C59/B$53</f>
        <v>246843583.53217274</v>
      </c>
      <c r="C59" s="63">
        <f t="shared" si="23"/>
        <v>590618486.02278006</v>
      </c>
      <c r="D59" s="63">
        <f t="shared" si="23"/>
        <v>795059593.14686215</v>
      </c>
      <c r="E59" s="63">
        <f t="shared" si="23"/>
        <v>923317132.16362262</v>
      </c>
      <c r="F59" s="63">
        <f t="shared" si="23"/>
        <v>1006278577.9654793</v>
      </c>
      <c r="G59" s="63">
        <f t="shared" si="23"/>
        <v>1063727324.5033562</v>
      </c>
      <c r="H59" s="63">
        <f t="shared" si="23"/>
        <v>1106440022.4221461</v>
      </c>
      <c r="I59" s="63">
        <f t="shared" si="23"/>
        <v>1137294931.3027446</v>
      </c>
      <c r="J59" s="63">
        <f t="shared" si="23"/>
        <v>1160057520.2646945</v>
      </c>
      <c r="K59" s="63">
        <f t="shared" si="23"/>
        <v>1179447210.4744403</v>
      </c>
      <c r="L59" s="63">
        <f t="shared" si="23"/>
        <v>1192397156.7394476</v>
      </c>
      <c r="M59" s="63">
        <f t="shared" si="23"/>
        <v>1206446435.171644</v>
      </c>
      <c r="N59" s="63">
        <f t="shared" si="20"/>
        <v>1220110826.4031684</v>
      </c>
      <c r="O59" s="63">
        <f t="shared" si="20"/>
        <v>1234287771.2792327</v>
      </c>
      <c r="P59" s="63">
        <f t="shared" si="23"/>
        <v>1245739108.3192954</v>
      </c>
      <c r="Q59" s="63">
        <f t="shared" si="23"/>
        <v>1257200764.0029943</v>
      </c>
      <c r="R59" s="62">
        <f>R12</f>
        <v>1267271317.27</v>
      </c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31"/>
      <c r="AQ59" s="7"/>
    </row>
    <row r="60" spans="1:52" x14ac:dyDescent="0.25">
      <c r="A60" s="17">
        <f t="shared" si="18"/>
        <v>2000</v>
      </c>
      <c r="B60" s="63">
        <f t="shared" ref="B60:P60" si="24">C60/B$53</f>
        <v>233204118.81184858</v>
      </c>
      <c r="C60" s="63">
        <f t="shared" si="24"/>
        <v>557983568.44458413</v>
      </c>
      <c r="D60" s="63">
        <f t="shared" si="24"/>
        <v>751128180.72727013</v>
      </c>
      <c r="E60" s="63">
        <f t="shared" si="24"/>
        <v>872298785.76947701</v>
      </c>
      <c r="F60" s="63">
        <f t="shared" si="24"/>
        <v>950676155.70851493</v>
      </c>
      <c r="G60" s="63">
        <f t="shared" si="24"/>
        <v>1004950543.2437481</v>
      </c>
      <c r="H60" s="63">
        <f t="shared" si="24"/>
        <v>1045303129.8400686</v>
      </c>
      <c r="I60" s="63">
        <f t="shared" si="24"/>
        <v>1074453135.4167054</v>
      </c>
      <c r="J60" s="63">
        <f t="shared" si="24"/>
        <v>1095957966.2281408</v>
      </c>
      <c r="K60" s="63">
        <f t="shared" si="24"/>
        <v>1114276269.4819469</v>
      </c>
      <c r="L60" s="63">
        <f t="shared" si="24"/>
        <v>1126510660.0388243</v>
      </c>
      <c r="M60" s="63">
        <f t="shared" si="24"/>
        <v>1139783638.6183774</v>
      </c>
      <c r="N60" s="63">
        <f t="shared" si="20"/>
        <v>1152692997.1305573</v>
      </c>
      <c r="O60" s="63">
        <f t="shared" si="20"/>
        <v>1166086587.8812594</v>
      </c>
      <c r="P60" s="63">
        <f t="shared" si="24"/>
        <v>1176905175.6096992</v>
      </c>
      <c r="Q60" s="11">
        <f>Q13</f>
        <v>1187733511.8199999</v>
      </c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31"/>
      <c r="AQ60" s="7"/>
    </row>
    <row r="61" spans="1:52" x14ac:dyDescent="0.25">
      <c r="A61" s="17">
        <f t="shared" si="18"/>
        <v>2001</v>
      </c>
      <c r="B61" s="63">
        <f t="shared" ref="B61:M61" si="25">C61/B$53</f>
        <v>241945343.81497392</v>
      </c>
      <c r="C61" s="63">
        <f t="shared" si="25"/>
        <v>578898550.32685566</v>
      </c>
      <c r="D61" s="63">
        <f t="shared" si="25"/>
        <v>779282831.11413836</v>
      </c>
      <c r="E61" s="63">
        <f t="shared" si="25"/>
        <v>904995292.14000106</v>
      </c>
      <c r="F61" s="63">
        <f t="shared" si="25"/>
        <v>986310492.80553269</v>
      </c>
      <c r="G61" s="63">
        <f t="shared" si="25"/>
        <v>1042619255.3585376</v>
      </c>
      <c r="H61" s="63">
        <f t="shared" si="25"/>
        <v>1084484384.0175526</v>
      </c>
      <c r="I61" s="63">
        <f t="shared" si="25"/>
        <v>1114727023.6303546</v>
      </c>
      <c r="J61" s="63">
        <f t="shared" si="25"/>
        <v>1137037923.2442393</v>
      </c>
      <c r="K61" s="63">
        <f t="shared" si="25"/>
        <v>1156042854.2095661</v>
      </c>
      <c r="L61" s="63">
        <f t="shared" si="25"/>
        <v>1168735828.264791</v>
      </c>
      <c r="M61" s="63">
        <f t="shared" si="25"/>
        <v>1182506319.8934989</v>
      </c>
      <c r="N61" s="63">
        <f t="shared" si="20"/>
        <v>1195899561.8292472</v>
      </c>
      <c r="O61" s="63">
        <f t="shared" si="20"/>
        <v>1209795186.5532265</v>
      </c>
      <c r="P61" s="11">
        <f>P14</f>
        <v>1221019289.03</v>
      </c>
      <c r="Q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31"/>
      <c r="AQ61" s="7"/>
    </row>
    <row r="62" spans="1:52" x14ac:dyDescent="0.25">
      <c r="A62" s="17">
        <f t="shared" si="18"/>
        <v>2002</v>
      </c>
      <c r="B62" s="63">
        <f t="shared" ref="B62:M62" si="26">C62/B$53</f>
        <v>226981375.35516706</v>
      </c>
      <c r="C62" s="63">
        <f t="shared" si="26"/>
        <v>543094514.95288432</v>
      </c>
      <c r="D62" s="63">
        <f t="shared" si="26"/>
        <v>731085318.72481644</v>
      </c>
      <c r="E62" s="63">
        <f t="shared" si="26"/>
        <v>849022646.44109046</v>
      </c>
      <c r="F62" s="63">
        <f t="shared" si="26"/>
        <v>925308619.93127942</v>
      </c>
      <c r="G62" s="63">
        <f t="shared" si="26"/>
        <v>978134767.22263944</v>
      </c>
      <c r="H62" s="63">
        <f t="shared" si="26"/>
        <v>1017410598.4190906</v>
      </c>
      <c r="I62" s="63">
        <f t="shared" si="26"/>
        <v>1045782774.6529678</v>
      </c>
      <c r="J62" s="63">
        <f t="shared" si="26"/>
        <v>1066713777.4981533</v>
      </c>
      <c r="K62" s="63">
        <f t="shared" si="26"/>
        <v>1084543281.0588369</v>
      </c>
      <c r="L62" s="63">
        <f t="shared" si="26"/>
        <v>1096451213.0858557</v>
      </c>
      <c r="M62" s="63">
        <f t="shared" si="26"/>
        <v>1109370019.7878819</v>
      </c>
      <c r="N62" s="63">
        <f>O62/N$53</f>
        <v>1121934909.1430807</v>
      </c>
      <c r="O62" s="11">
        <f>O15</f>
        <v>1134971109.6399999</v>
      </c>
      <c r="P62" s="7"/>
      <c r="Q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31"/>
      <c r="AQ62" s="7"/>
    </row>
    <row r="63" spans="1:52" x14ac:dyDescent="0.25">
      <c r="A63" s="17">
        <f t="shared" si="18"/>
        <v>2003</v>
      </c>
      <c r="B63" s="63">
        <f t="shared" ref="B63:M63" si="27">C63/B$53</f>
        <v>157335118.1696178</v>
      </c>
      <c r="C63" s="63">
        <f t="shared" si="27"/>
        <v>376453088.07244462</v>
      </c>
      <c r="D63" s="63">
        <f t="shared" si="27"/>
        <v>506761380.01920521</v>
      </c>
      <c r="E63" s="63">
        <f t="shared" si="27"/>
        <v>588511185.98374331</v>
      </c>
      <c r="F63" s="63">
        <f t="shared" si="27"/>
        <v>641389809.3288635</v>
      </c>
      <c r="G63" s="63">
        <f t="shared" si="27"/>
        <v>678006946.36720669</v>
      </c>
      <c r="H63" s="63">
        <f t="shared" si="27"/>
        <v>705231504.03337789</v>
      </c>
      <c r="I63" s="63">
        <f t="shared" si="27"/>
        <v>724898050.21365976</v>
      </c>
      <c r="J63" s="63">
        <f t="shared" si="27"/>
        <v>739406649.43640614</v>
      </c>
      <c r="K63" s="63">
        <f t="shared" si="27"/>
        <v>751765403.7405262</v>
      </c>
      <c r="L63" s="63">
        <f t="shared" si="27"/>
        <v>760019543.04907155</v>
      </c>
      <c r="M63" s="63">
        <f t="shared" si="27"/>
        <v>768974383.40059066</v>
      </c>
      <c r="N63" s="11">
        <f>N16</f>
        <v>777683901.29999995</v>
      </c>
      <c r="O63" s="7"/>
      <c r="P63" s="7"/>
      <c r="Q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31"/>
      <c r="AQ63" s="7"/>
    </row>
    <row r="64" spans="1:52" x14ac:dyDescent="0.25">
      <c r="A64" s="17">
        <f t="shared" si="18"/>
        <v>2004</v>
      </c>
      <c r="B64" s="63">
        <f t="shared" ref="B64:L64" si="28">C64/B$53</f>
        <v>115086178.70249341</v>
      </c>
      <c r="C64" s="63">
        <f t="shared" si="28"/>
        <v>275364761.98723853</v>
      </c>
      <c r="D64" s="63">
        <f t="shared" si="28"/>
        <v>370681583.48181516</v>
      </c>
      <c r="E64" s="63">
        <f t="shared" si="28"/>
        <v>430479249.04803824</v>
      </c>
      <c r="F64" s="63">
        <f t="shared" si="28"/>
        <v>469158462.98727876</v>
      </c>
      <c r="G64" s="63">
        <f t="shared" si="28"/>
        <v>495942860.68433547</v>
      </c>
      <c r="H64" s="63">
        <f t="shared" si="28"/>
        <v>515856852.83761656</v>
      </c>
      <c r="I64" s="63">
        <f t="shared" si="28"/>
        <v>530242373.84841037</v>
      </c>
      <c r="J64" s="63">
        <f t="shared" si="28"/>
        <v>540855002.88061249</v>
      </c>
      <c r="K64" s="63">
        <f t="shared" si="28"/>
        <v>549895081.30004597</v>
      </c>
      <c r="L64" s="63">
        <f t="shared" si="28"/>
        <v>555932750.21052051</v>
      </c>
      <c r="M64" s="11">
        <f>M17</f>
        <v>562482962.06999993</v>
      </c>
      <c r="N64" s="7"/>
      <c r="O64" s="7"/>
      <c r="P64" s="7"/>
      <c r="Q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31"/>
      <c r="AQ64" s="7"/>
    </row>
    <row r="65" spans="1:43" x14ac:dyDescent="0.25">
      <c r="A65" s="17">
        <f t="shared" si="18"/>
        <v>2005</v>
      </c>
      <c r="B65" s="63">
        <f t="shared" ref="B65:K65" si="29">C65/B$53</f>
        <v>63878361.601422876</v>
      </c>
      <c r="C65" s="63">
        <f t="shared" si="29"/>
        <v>152840680.23478019</v>
      </c>
      <c r="D65" s="63">
        <f t="shared" si="29"/>
        <v>205746098.23348317</v>
      </c>
      <c r="E65" s="63">
        <f t="shared" si="29"/>
        <v>238936677.21546996</v>
      </c>
      <c r="F65" s="63">
        <f t="shared" si="29"/>
        <v>260405500.338503</v>
      </c>
      <c r="G65" s="63">
        <f t="shared" si="29"/>
        <v>275272128.63964617</v>
      </c>
      <c r="H65" s="63">
        <f t="shared" si="29"/>
        <v>286325351.5899328</v>
      </c>
      <c r="I65" s="63">
        <f t="shared" si="29"/>
        <v>294310007.29153395</v>
      </c>
      <c r="J65" s="63">
        <f t="shared" si="29"/>
        <v>300200526.57459432</v>
      </c>
      <c r="K65" s="63">
        <f t="shared" si="29"/>
        <v>305218204.67193198</v>
      </c>
      <c r="L65" s="11">
        <f>L18</f>
        <v>308569401.15999997</v>
      </c>
      <c r="M65" s="7"/>
      <c r="N65" s="7"/>
      <c r="O65" s="7"/>
      <c r="P65" s="7"/>
      <c r="Q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31"/>
      <c r="AQ65" s="7"/>
    </row>
    <row r="66" spans="1:43" x14ac:dyDescent="0.25">
      <c r="A66" s="17">
        <f t="shared" si="18"/>
        <v>2006</v>
      </c>
      <c r="B66" s="63">
        <f t="shared" ref="B66:J66" si="30">C66/B$53</f>
        <v>53624713.686082326</v>
      </c>
      <c r="C66" s="63">
        <f t="shared" si="30"/>
        <v>128306949.51627541</v>
      </c>
      <c r="D66" s="63">
        <f t="shared" si="30"/>
        <v>172720078.17985964</v>
      </c>
      <c r="E66" s="63">
        <f t="shared" si="30"/>
        <v>200582960.85818899</v>
      </c>
      <c r="F66" s="63">
        <f t="shared" si="30"/>
        <v>218605644.35049924</v>
      </c>
      <c r="G66" s="63">
        <f t="shared" si="30"/>
        <v>231085906.30681798</v>
      </c>
      <c r="H66" s="63">
        <f t="shared" si="30"/>
        <v>240364884.37009302</v>
      </c>
      <c r="I66" s="63">
        <f t="shared" si="30"/>
        <v>247067856.47435513</v>
      </c>
      <c r="J66" s="63">
        <f t="shared" si="30"/>
        <v>252012839.44037756</v>
      </c>
      <c r="K66" s="11">
        <f>K19</f>
        <v>256225088.23000002</v>
      </c>
      <c r="L66" s="7"/>
      <c r="M66" s="7"/>
      <c r="N66" s="7"/>
      <c r="O66" s="7"/>
      <c r="P66" s="7"/>
      <c r="Q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31"/>
      <c r="AQ66" s="7"/>
    </row>
    <row r="67" spans="1:43" x14ac:dyDescent="0.25">
      <c r="A67" s="17">
        <f t="shared" si="18"/>
        <v>2007</v>
      </c>
      <c r="B67" s="63">
        <f t="shared" ref="B67:I67" si="31">C67/B$53</f>
        <v>47397648.282702833</v>
      </c>
      <c r="C67" s="63">
        <f t="shared" si="31"/>
        <v>113407554.97548324</v>
      </c>
      <c r="D67" s="63">
        <f t="shared" si="31"/>
        <v>152663295.60011509</v>
      </c>
      <c r="E67" s="63">
        <f t="shared" si="31"/>
        <v>177290655.31080055</v>
      </c>
      <c r="F67" s="63">
        <f t="shared" si="31"/>
        <v>193220489.79494631</v>
      </c>
      <c r="G67" s="63">
        <f t="shared" si="31"/>
        <v>204251505.6460411</v>
      </c>
      <c r="H67" s="63">
        <f t="shared" si="31"/>
        <v>212452980.45932612</v>
      </c>
      <c r="I67" s="63">
        <f t="shared" si="31"/>
        <v>218377582.98692974</v>
      </c>
      <c r="J67" s="11">
        <f>J20</f>
        <v>222748339.44</v>
      </c>
      <c r="K67" s="7"/>
      <c r="L67" s="7"/>
      <c r="M67" s="7"/>
      <c r="N67" s="7"/>
      <c r="O67" s="7"/>
      <c r="P67" s="7"/>
      <c r="Q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31"/>
      <c r="AQ67" s="7"/>
    </row>
    <row r="68" spans="1:43" x14ac:dyDescent="0.25">
      <c r="A68" s="17">
        <f t="shared" si="18"/>
        <v>2008</v>
      </c>
      <c r="B68" s="63">
        <f t="shared" ref="B68:H68" si="32">C68/B$53</f>
        <v>39998561.710344836</v>
      </c>
      <c r="C68" s="63">
        <f t="shared" si="32"/>
        <v>95703885.117895126</v>
      </c>
      <c r="D68" s="63">
        <f t="shared" si="32"/>
        <v>128831544.83835942</v>
      </c>
      <c r="E68" s="63">
        <f t="shared" si="32"/>
        <v>149614410.71548769</v>
      </c>
      <c r="F68" s="63">
        <f t="shared" si="32"/>
        <v>163057492.61375585</v>
      </c>
      <c r="G68" s="63">
        <f t="shared" si="32"/>
        <v>172366493.88774577</v>
      </c>
      <c r="H68" s="63">
        <f t="shared" si="32"/>
        <v>179287664.20569879</v>
      </c>
      <c r="I68" s="11">
        <f>I21</f>
        <v>184287397.06999999</v>
      </c>
      <c r="J68" s="7"/>
      <c r="K68" s="7"/>
      <c r="L68" s="7"/>
      <c r="M68" s="7"/>
      <c r="N68" s="7"/>
      <c r="O68" s="7"/>
      <c r="P68" s="7"/>
      <c r="Q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31"/>
      <c r="AQ68" s="7"/>
    </row>
    <row r="69" spans="1:43" x14ac:dyDescent="0.25">
      <c r="A69" s="17">
        <f t="shared" si="18"/>
        <v>2009</v>
      </c>
      <c r="B69" s="63">
        <f t="shared" ref="B69:G69" si="33">C69/B$53</f>
        <v>37537361.126268961</v>
      </c>
      <c r="C69" s="63">
        <f t="shared" si="33"/>
        <v>89815011.921497807</v>
      </c>
      <c r="D69" s="63">
        <f t="shared" si="33"/>
        <v>120904252.95972267</v>
      </c>
      <c r="E69" s="63">
        <f t="shared" si="33"/>
        <v>140408302.81326553</v>
      </c>
      <c r="F69" s="63">
        <f t="shared" si="33"/>
        <v>153024201.94282827</v>
      </c>
      <c r="G69" s="63">
        <f t="shared" si="33"/>
        <v>161760399.63606387</v>
      </c>
      <c r="H69" s="11">
        <f>H22</f>
        <v>168255694.93000001</v>
      </c>
      <c r="I69" s="7"/>
      <c r="J69" s="7"/>
      <c r="K69" s="7"/>
      <c r="L69" s="7"/>
      <c r="M69" s="7"/>
      <c r="N69" s="7"/>
      <c r="O69" s="7"/>
      <c r="P69" s="7"/>
      <c r="Q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31"/>
      <c r="AQ69" s="7"/>
    </row>
    <row r="70" spans="1:43" x14ac:dyDescent="0.25">
      <c r="A70" s="17">
        <f t="shared" si="18"/>
        <v>2010</v>
      </c>
      <c r="B70" s="63">
        <f>C70/B$53</f>
        <v>34255020.315240651</v>
      </c>
      <c r="C70" s="63">
        <f>D70/C$53</f>
        <v>81961410.330238894</v>
      </c>
      <c r="D70" s="63">
        <f>E70/D$53</f>
        <v>110332146.88168328</v>
      </c>
      <c r="E70" s="63">
        <f>F70/E$53</f>
        <v>128130724.19017254</v>
      </c>
      <c r="F70" s="63">
        <f>G70/F$53</f>
        <v>139643464.24466109</v>
      </c>
      <c r="G70" s="11">
        <f>G23</f>
        <v>147615751.60000002</v>
      </c>
      <c r="H70" s="7"/>
      <c r="I70" s="7"/>
      <c r="J70" s="7"/>
      <c r="K70" s="7"/>
      <c r="L70" s="7"/>
      <c r="M70" s="7"/>
      <c r="N70" s="7"/>
      <c r="O70" s="7"/>
      <c r="P70" s="7"/>
      <c r="Q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31"/>
      <c r="AQ70" s="7"/>
    </row>
    <row r="71" spans="1:43" x14ac:dyDescent="0.25">
      <c r="A71" s="17">
        <f t="shared" si="18"/>
        <v>2011</v>
      </c>
      <c r="B71" s="63">
        <f>C71/B$53</f>
        <v>32081036.036666322</v>
      </c>
      <c r="C71" s="63">
        <f>D71/C$53</f>
        <v>76759754.751933992</v>
      </c>
      <c r="D71" s="63">
        <f>E71/D$53</f>
        <v>103329951.27546974</v>
      </c>
      <c r="E71" s="63">
        <f>F71/E$53</f>
        <v>119998947.37531993</v>
      </c>
      <c r="F71" s="11">
        <f>F24</f>
        <v>130781034.94</v>
      </c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31"/>
      <c r="AQ71" s="7"/>
    </row>
    <row r="72" spans="1:43" x14ac:dyDescent="0.25">
      <c r="A72" s="17">
        <f t="shared" si="18"/>
        <v>2012</v>
      </c>
      <c r="B72" s="63">
        <f>C72/B$53</f>
        <v>34293001.809327461</v>
      </c>
      <c r="C72" s="63">
        <f>D72/C$53</f>
        <v>82052288.011616871</v>
      </c>
      <c r="D72" s="63">
        <f>E72/D$53</f>
        <v>110454481.64446568</v>
      </c>
      <c r="E72" s="11">
        <f>E25</f>
        <v>128272793.77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31"/>
      <c r="AQ72" s="7"/>
    </row>
    <row r="73" spans="1:43" x14ac:dyDescent="0.25">
      <c r="A73" s="17">
        <f t="shared" si="18"/>
        <v>2013</v>
      </c>
      <c r="B73" s="63">
        <f>C73/B$53</f>
        <v>32513959.230236676</v>
      </c>
      <c r="C73" s="63">
        <f>D73/C$53</f>
        <v>77795602.787730083</v>
      </c>
      <c r="D73" s="11">
        <f>D26</f>
        <v>104724355.50999999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31"/>
      <c r="AQ73" s="7"/>
    </row>
    <row r="74" spans="1:43" x14ac:dyDescent="0.25">
      <c r="A74" s="17">
        <f t="shared" si="18"/>
        <v>2014</v>
      </c>
      <c r="B74" s="63">
        <f>C74/B$53</f>
        <v>33332704.06164233</v>
      </c>
      <c r="C74" s="11">
        <f>C27</f>
        <v>79754599.760000005</v>
      </c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31"/>
      <c r="AQ74" s="7"/>
    </row>
    <row r="75" spans="1:43" x14ac:dyDescent="0.25">
      <c r="A75" s="17">
        <f t="shared" si="18"/>
        <v>2015</v>
      </c>
      <c r="B75" s="11">
        <f>B28</f>
        <v>29073337.57</v>
      </c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31"/>
      <c r="AQ75" s="7"/>
    </row>
    <row r="76" spans="1:43" x14ac:dyDescent="0.25">
      <c r="A76" s="1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31"/>
      <c r="AQ76" s="7"/>
    </row>
    <row r="77" spans="1:43" x14ac:dyDescent="0.25">
      <c r="A77" s="57" t="s">
        <v>111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31"/>
      <c r="AQ77" s="7"/>
    </row>
    <row r="78" spans="1:43" x14ac:dyDescent="0.25">
      <c r="A78" s="17">
        <f t="shared" ref="A78:A97" si="34">A9</f>
        <v>1996</v>
      </c>
      <c r="B78" s="64"/>
      <c r="C78" s="55">
        <f t="shared" ref="C78:C96" si="35">IF(ABS(C56-B56)&lt;0.001,0,((C9-B9)-(C56-B56))/SQRT(C56-B56))</f>
        <v>-230.76042692779581</v>
      </c>
      <c r="D78" s="55">
        <f t="shared" ref="D78:D95" si="36">IF(ABS(D56-C56)&lt;0.001,0,((D9-C9)-(D56-C56))/SQRT(D56-C56))</f>
        <v>-602.77918329158865</v>
      </c>
      <c r="E78" s="55">
        <f t="shared" ref="E78:E94" si="37">IF(ABS(E56-D56)&lt;0.001,0,((E9-D9)-(E56-D56))/SQRT(E56-D56))</f>
        <v>-491.42907343273004</v>
      </c>
      <c r="F78" s="55">
        <f t="shared" ref="F78:F93" si="38">IF(ABS(F56-E56)&lt;0.001,0,((F9-E9)-(F56-E56))/SQRT(F56-E56))</f>
        <v>-46.131822055394423</v>
      </c>
      <c r="G78" s="55">
        <f t="shared" ref="G78:G92" si="39">IF(ABS(G56-F56)&lt;0.001,0,((G9-F9)-(G56-F56))/SQRT(G56-F56))</f>
        <v>265.41896440966514</v>
      </c>
      <c r="H78" s="55">
        <f t="shared" ref="H78:H91" si="40">IF(ABS(H56-G56)&lt;0.001,0,((H9-G9)-(H56-G56))/SQRT(H56-G56))</f>
        <v>-567.47398292845446</v>
      </c>
      <c r="I78" s="55">
        <f t="shared" ref="I78:I90" si="41">IF(ABS(I56-H56)&lt;0.001,0,((I9-H9)-(I56-H56))/SQRT(I56-H56))</f>
        <v>52.010706741437566</v>
      </c>
      <c r="J78" s="55">
        <f t="shared" ref="J78:J89" si="42">IF(ABS(J56-I56)&lt;0.001,0,((J9-I9)-(J56-I56))/SQRT(J56-I56))</f>
        <v>-87.505875463885715</v>
      </c>
      <c r="K78" s="55">
        <f t="shared" ref="K78:K88" si="43">IF(ABS(K56-J56)&lt;0.001,0,((K9-J9)-(K56-J56))/SQRT(K56-J56))</f>
        <v>-53.160707625739327</v>
      </c>
      <c r="L78" s="55">
        <f t="shared" ref="L78:L87" si="44">IF(ABS(L56-K56)&lt;0.001,0,((L9-K9)-(L56-K56))/SQRT(L56-K56))</f>
        <v>644.85989116790063</v>
      </c>
      <c r="M78" s="55">
        <f t="shared" ref="M78:M86" si="45">IF(ABS(M56-L56)&lt;0.001,0,((M9-L9)-(M56-L56))/SQRT(M56-L56))</f>
        <v>489.44848649490177</v>
      </c>
      <c r="N78" s="55">
        <f>IF(ABS(N56-M56)&lt;0.001,0,((N9-M9)-(N56-M56))/SQRT(N56-M56))</f>
        <v>-409.99773922844821</v>
      </c>
      <c r="O78" s="55">
        <f t="shared" ref="O78:O84" si="46">IF(ABS(O56-N56)&lt;0.001,0,((O9-N9)-(O56-N56))/SQRT(O56-N56))</f>
        <v>-203.23400870585891</v>
      </c>
      <c r="P78" s="55">
        <f t="shared" ref="P78:P83" si="47">IF(ABS(P56-O56)&lt;0.001,0,((P9-O9)-(P56-O56))/SQRT(P56-O56))</f>
        <v>39.4435918150566</v>
      </c>
      <c r="Q78" s="55">
        <f>IF(ABS(Q56-P56)&lt;0.001,0,((Q9-P9)-(Q56-P56))/SQRT(Q56-P56))</f>
        <v>-173.4092194400265</v>
      </c>
      <c r="R78" s="55">
        <f>IF(ABS(R56-Q56)&lt;0.001,0,((R9-Q9)-(R56-Q56))/SQRT(R56-Q56))</f>
        <v>-265.98651359188131</v>
      </c>
      <c r="S78" s="55">
        <f>IF(ABS(S56-R56)&lt;0.001,0,((S9-R9)-(S56-R56))/SQRT(S56-R56))</f>
        <v>19.287590675633474</v>
      </c>
      <c r="T78" s="55">
        <f>IF(ABS(T56-S56)&lt;0.001,0,((T9-S9)-(T56-S56))/SQRT(T56-S56))</f>
        <v>-84.875865368412477</v>
      </c>
      <c r="U78" s="55">
        <f>IF(ABS(U56-T56)&lt;0.001,0,((U9-T9)-(U56-T56))/SQRT(U56-T56))</f>
        <v>4.4406707482912769E-11</v>
      </c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31"/>
      <c r="AQ78" s="7"/>
    </row>
    <row r="79" spans="1:43" x14ac:dyDescent="0.25">
      <c r="A79" s="17">
        <f t="shared" si="34"/>
        <v>1997</v>
      </c>
      <c r="B79" s="55">
        <f t="shared" ref="B79:B84" si="48">IF(B57=0,0,((B10)-(B57))/SQRT(B57))</f>
        <v>1676.3094581901155</v>
      </c>
      <c r="C79" s="55">
        <f t="shared" si="35"/>
        <v>90.398448106410768</v>
      </c>
      <c r="D79" s="55">
        <f t="shared" si="36"/>
        <v>-961.06202522125011</v>
      </c>
      <c r="E79" s="55">
        <f t="shared" si="37"/>
        <v>-196.46847142027369</v>
      </c>
      <c r="F79" s="55">
        <f t="shared" si="38"/>
        <v>-592.60945853883698</v>
      </c>
      <c r="G79" s="55">
        <f t="shared" si="39"/>
        <v>-119.63266688895902</v>
      </c>
      <c r="H79" s="55">
        <f t="shared" si="40"/>
        <v>433.76343523280173</v>
      </c>
      <c r="I79" s="55">
        <f t="shared" si="41"/>
        <v>-135.30111610707797</v>
      </c>
      <c r="J79" s="55">
        <f t="shared" si="42"/>
        <v>-329.38189764931343</v>
      </c>
      <c r="K79" s="55">
        <f t="shared" si="43"/>
        <v>-256.23141341247248</v>
      </c>
      <c r="L79" s="55">
        <f t="shared" si="44"/>
        <v>1065.9308747362074</v>
      </c>
      <c r="M79" s="55">
        <f t="shared" si="45"/>
        <v>-59.673988465190824</v>
      </c>
      <c r="N79" s="55">
        <f t="shared" ref="N79:N85" si="49">IF(ABS(N57-M57)&lt;0.001,0,((N10-M10)-(N57-M57))/SQRT(N57-M57))</f>
        <v>-364.66742748499297</v>
      </c>
      <c r="O79" s="55">
        <f t="shared" si="46"/>
        <v>-799.21238777948486</v>
      </c>
      <c r="P79" s="55">
        <f t="shared" si="47"/>
        <v>-461.67705094123329</v>
      </c>
      <c r="Q79" s="55">
        <f>IF(ABS(Q57-P57)&lt;0.001,0,((Q10-P10)-(Q57-P57))/SQRT(Q57-P57))</f>
        <v>-562.99773134976692</v>
      </c>
      <c r="R79" s="55">
        <f>IF(ABS(R57-Q57)&lt;0.001,0,((R10-Q10)-(R57-Q57))/SQRT(R57-Q57))</f>
        <v>-239.49431722951292</v>
      </c>
      <c r="S79" s="55">
        <f>IF(ABS(S57-R57)&lt;0.001,0,((S10-R10)-(S57-R57))/SQRT(S57-R57))</f>
        <v>-124.91556554786398</v>
      </c>
      <c r="T79" s="55">
        <f>IF(ABS(T57-S57)&lt;0.001,0,((T10-S10)-(T57-S57))/SQRT(T57-S57))</f>
        <v>78.563145653676813</v>
      </c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  <c r="AO79" s="55"/>
      <c r="AP79" s="31"/>
      <c r="AQ79" s="7"/>
    </row>
    <row r="80" spans="1:43" x14ac:dyDescent="0.25">
      <c r="A80" s="17">
        <f t="shared" si="34"/>
        <v>1998</v>
      </c>
      <c r="B80" s="55">
        <f t="shared" si="48"/>
        <v>-370.15850186384392</v>
      </c>
      <c r="C80" s="55">
        <f t="shared" si="35"/>
        <v>-1044.2673129762425</v>
      </c>
      <c r="D80" s="55">
        <f t="shared" si="36"/>
        <v>-239.43109792184416</v>
      </c>
      <c r="E80" s="55">
        <f t="shared" si="37"/>
        <v>19.951131912772908</v>
      </c>
      <c r="F80" s="55">
        <f t="shared" si="38"/>
        <v>188.77378722485318</v>
      </c>
      <c r="G80" s="55">
        <f t="shared" si="39"/>
        <v>775.47479374182603</v>
      </c>
      <c r="H80" s="55">
        <f t="shared" si="40"/>
        <v>-5.3295154010129098</v>
      </c>
      <c r="I80" s="55">
        <f t="shared" si="41"/>
        <v>41.955968745249208</v>
      </c>
      <c r="J80" s="55">
        <f t="shared" si="42"/>
        <v>1316.3906032057932</v>
      </c>
      <c r="K80" s="55">
        <f t="shared" si="43"/>
        <v>961.78624834113441</v>
      </c>
      <c r="L80" s="55">
        <f t="shared" si="44"/>
        <v>2137.1233425074365</v>
      </c>
      <c r="M80" s="55">
        <f t="shared" si="45"/>
        <v>531.49984553584454</v>
      </c>
      <c r="N80" s="55">
        <f t="shared" si="49"/>
        <v>-400.9140182920703</v>
      </c>
      <c r="O80" s="55">
        <f t="shared" si="46"/>
        <v>-162.27994645855296</v>
      </c>
      <c r="P80" s="55">
        <f t="shared" si="47"/>
        <v>-2.1432976173923834</v>
      </c>
      <c r="Q80" s="55">
        <f>IF(ABS(Q58-P58)&lt;0.001,0,((Q11-P11)-(Q58-P58))/SQRT(Q58-P58))</f>
        <v>466.3510081110137</v>
      </c>
      <c r="R80" s="55">
        <f>IF(ABS(R58-Q58)&lt;0.001,0,((R11-Q11)-(R58-Q58))/SQRT(R58-Q58))</f>
        <v>189.40747239451616</v>
      </c>
      <c r="S80" s="55">
        <f>IF(ABS(S58-R58)&lt;0.001,0,((S11-R11)-(S58-R58))/SQRT(S58-R58))</f>
        <v>95.970859169002239</v>
      </c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31"/>
      <c r="AQ80" s="7"/>
    </row>
    <row r="81" spans="1:43" x14ac:dyDescent="0.25">
      <c r="A81" s="17">
        <f t="shared" si="34"/>
        <v>1999</v>
      </c>
      <c r="B81" s="55">
        <f t="shared" si="48"/>
        <v>-869.32623414483021</v>
      </c>
      <c r="C81" s="55">
        <f t="shared" si="35"/>
        <v>-474.40976409721566</v>
      </c>
      <c r="D81" s="55">
        <f t="shared" si="36"/>
        <v>387.40430623076855</v>
      </c>
      <c r="E81" s="55">
        <f t="shared" si="37"/>
        <v>-753.77051658591517</v>
      </c>
      <c r="F81" s="55">
        <f t="shared" si="38"/>
        <v>467.52270508419906</v>
      </c>
      <c r="G81" s="55">
        <f t="shared" si="39"/>
        <v>597.32261054999833</v>
      </c>
      <c r="H81" s="55">
        <f t="shared" si="40"/>
        <v>409.44732824232204</v>
      </c>
      <c r="I81" s="55">
        <f t="shared" si="41"/>
        <v>548.22315180050373</v>
      </c>
      <c r="J81" s="55">
        <f t="shared" si="42"/>
        <v>-606.36035831197728</v>
      </c>
      <c r="K81" s="55">
        <f t="shared" si="43"/>
        <v>563.47113190315167</v>
      </c>
      <c r="L81" s="55">
        <f t="shared" si="44"/>
        <v>1226.1891886130772</v>
      </c>
      <c r="M81" s="55">
        <f t="shared" si="45"/>
        <v>-56.927093649721009</v>
      </c>
      <c r="N81" s="55">
        <f t="shared" si="49"/>
        <v>246.06963150642014</v>
      </c>
      <c r="O81" s="55">
        <f t="shared" si="46"/>
        <v>83.666965395199938</v>
      </c>
      <c r="P81" s="55">
        <f t="shared" si="47"/>
        <v>402.07490755176286</v>
      </c>
      <c r="Q81" s="55">
        <f>IF(ABS(Q59-P59)&lt;0.001,0,((Q12-P12)-(Q59-P59))/SQRT(Q59-P59))</f>
        <v>1130.5621592640196</v>
      </c>
      <c r="R81" s="55">
        <f>IF(ABS(R59-Q59)&lt;0.001,0,((R12-Q12)-(R59-Q59))/SQRT(R59-Q59))</f>
        <v>234.61048239356168</v>
      </c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5"/>
      <c r="AN81" s="55"/>
      <c r="AO81" s="55"/>
      <c r="AP81" s="31"/>
      <c r="AQ81" s="7"/>
    </row>
    <row r="82" spans="1:43" x14ac:dyDescent="0.25">
      <c r="A82" s="17">
        <f t="shared" si="34"/>
        <v>2000</v>
      </c>
      <c r="B82" s="55">
        <f t="shared" si="48"/>
        <v>-762.14817809409908</v>
      </c>
      <c r="C82" s="55">
        <f t="shared" si="35"/>
        <v>238.35242492688675</v>
      </c>
      <c r="D82" s="55">
        <f t="shared" si="36"/>
        <v>151.30655193982227</v>
      </c>
      <c r="E82" s="55">
        <f t="shared" si="37"/>
        <v>675.54535737017216</v>
      </c>
      <c r="F82" s="55">
        <f t="shared" si="38"/>
        <v>613.49165897206126</v>
      </c>
      <c r="G82" s="55">
        <f t="shared" si="39"/>
        <v>-231.57643943459493</v>
      </c>
      <c r="H82" s="55">
        <f t="shared" si="40"/>
        <v>186.80622643957574</v>
      </c>
      <c r="I82" s="55">
        <f t="shared" si="41"/>
        <v>740.02768532521566</v>
      </c>
      <c r="J82" s="55">
        <f t="shared" si="42"/>
        <v>-1121.6032795457702</v>
      </c>
      <c r="K82" s="55">
        <f t="shared" si="43"/>
        <v>-353.23249908628719</v>
      </c>
      <c r="L82" s="55">
        <f t="shared" si="44"/>
        <v>617.66258588474943</v>
      </c>
      <c r="M82" s="55">
        <f t="shared" si="45"/>
        <v>-1856.8836090232433</v>
      </c>
      <c r="N82" s="55">
        <f t="shared" si="49"/>
        <v>167.6780089330243</v>
      </c>
      <c r="O82" s="55">
        <f t="shared" si="46"/>
        <v>810.78807894123338</v>
      </c>
      <c r="P82" s="55">
        <f t="shared" si="47"/>
        <v>-35.279865425229175</v>
      </c>
      <c r="Q82" s="55">
        <f>IF(ABS(Q60-P60)&lt;0.001,0,((Q13-P13)-(Q60-P60))/SQRT(Q60-P60))</f>
        <v>-984.35723470022879</v>
      </c>
      <c r="R82" s="43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5"/>
      <c r="AN82" s="55"/>
      <c r="AO82" s="55"/>
      <c r="AP82" s="31"/>
      <c r="AQ82" s="7"/>
    </row>
    <row r="83" spans="1:43" x14ac:dyDescent="0.25">
      <c r="A83" s="17">
        <f t="shared" si="34"/>
        <v>2001</v>
      </c>
      <c r="B83" s="55">
        <f t="shared" si="48"/>
        <v>-211.25861653492629</v>
      </c>
      <c r="C83" s="55">
        <f t="shared" si="35"/>
        <v>732.75973260440776</v>
      </c>
      <c r="D83" s="55">
        <f t="shared" si="36"/>
        <v>873.47666382943328</v>
      </c>
      <c r="E83" s="55">
        <f t="shared" si="37"/>
        <v>854.28826228703656</v>
      </c>
      <c r="F83" s="55">
        <f t="shared" si="38"/>
        <v>-191.10456383016819</v>
      </c>
      <c r="G83" s="55">
        <f t="shared" si="39"/>
        <v>283.59787617561165</v>
      </c>
      <c r="H83" s="55">
        <f t="shared" si="40"/>
        <v>-368.7820584036603</v>
      </c>
      <c r="I83" s="55">
        <f t="shared" si="41"/>
        <v>124.65769890790392</v>
      </c>
      <c r="J83" s="55">
        <f t="shared" si="42"/>
        <v>-493.3818833925481</v>
      </c>
      <c r="K83" s="55">
        <f t="shared" si="43"/>
        <v>-613.45043147883837</v>
      </c>
      <c r="L83" s="55">
        <f t="shared" si="44"/>
        <v>-8480.3251615522167</v>
      </c>
      <c r="M83" s="55">
        <f t="shared" si="45"/>
        <v>-296.61701370359901</v>
      </c>
      <c r="N83" s="55">
        <f t="shared" si="49"/>
        <v>459.70572413576144</v>
      </c>
      <c r="O83" s="55">
        <f t="shared" si="46"/>
        <v>1027.8889997717506</v>
      </c>
      <c r="P83" s="55">
        <f t="shared" si="47"/>
        <v>-2.2461192763722941</v>
      </c>
      <c r="Q83" s="55"/>
      <c r="R83" s="43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5"/>
      <c r="AN83" s="55"/>
      <c r="AO83" s="55"/>
      <c r="AP83" s="31"/>
      <c r="AQ83" s="7"/>
    </row>
    <row r="84" spans="1:43" x14ac:dyDescent="0.25">
      <c r="A84" s="17">
        <f t="shared" si="34"/>
        <v>2002</v>
      </c>
      <c r="B84" s="55">
        <f t="shared" si="48"/>
        <v>-876.00854904093217</v>
      </c>
      <c r="C84" s="55">
        <f t="shared" si="35"/>
        <v>160.90148836967293</v>
      </c>
      <c r="D84" s="55">
        <f t="shared" si="36"/>
        <v>710.69970801422937</v>
      </c>
      <c r="E84" s="55">
        <f t="shared" si="37"/>
        <v>293.65029325232376</v>
      </c>
      <c r="F84" s="55">
        <f t="shared" si="38"/>
        <v>-109.59757994637296</v>
      </c>
      <c r="G84" s="55">
        <f t="shared" si="39"/>
        <v>-721.80523065153341</v>
      </c>
      <c r="H84" s="55">
        <f t="shared" si="40"/>
        <v>404.1861160530234</v>
      </c>
      <c r="I84" s="55">
        <f t="shared" si="41"/>
        <v>-340.96776544060117</v>
      </c>
      <c r="J84" s="55">
        <f t="shared" si="42"/>
        <v>82.524226672920634</v>
      </c>
      <c r="K84" s="55">
        <f t="shared" si="43"/>
        <v>-452.49619533007836</v>
      </c>
      <c r="L84" s="55">
        <f t="shared" si="44"/>
        <v>1066.7172131404191</v>
      </c>
      <c r="M84" s="55">
        <f t="shared" si="45"/>
        <v>661.32425224170026</v>
      </c>
      <c r="N84" s="55">
        <f t="shared" si="49"/>
        <v>484.68539001296904</v>
      </c>
      <c r="O84" s="55">
        <f t="shared" si="46"/>
        <v>-928.57150120253664</v>
      </c>
      <c r="P84" s="55"/>
      <c r="Q84" s="55"/>
      <c r="R84" s="43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  <c r="AN84" s="55"/>
      <c r="AO84" s="55"/>
      <c r="AP84" s="31"/>
      <c r="AQ84" s="7"/>
    </row>
    <row r="85" spans="1:43" x14ac:dyDescent="0.25">
      <c r="A85" s="17">
        <f t="shared" si="34"/>
        <v>2003</v>
      </c>
      <c r="B85" s="55">
        <f t="shared" ref="B85:B97" si="50">IF(B63=0,0,((B16)-(B63))/SQRT(B63))</f>
        <v>471.27966221528476</v>
      </c>
      <c r="C85" s="55">
        <f t="shared" si="35"/>
        <v>165.27383953086297</v>
      </c>
      <c r="D85" s="55">
        <f t="shared" si="36"/>
        <v>156.96059503384114</v>
      </c>
      <c r="E85" s="55">
        <f t="shared" si="37"/>
        <v>-158.66403316165952</v>
      </c>
      <c r="F85" s="55">
        <f t="shared" si="38"/>
        <v>-552.66355611707695</v>
      </c>
      <c r="G85" s="55">
        <f t="shared" si="39"/>
        <v>-237.59651455865068</v>
      </c>
      <c r="H85" s="55">
        <f t="shared" si="40"/>
        <v>-550.89902994454371</v>
      </c>
      <c r="I85" s="55">
        <f t="shared" si="41"/>
        <v>-598.51892548620572</v>
      </c>
      <c r="J85" s="55">
        <f t="shared" si="42"/>
        <v>92.540118440131039</v>
      </c>
      <c r="K85" s="55">
        <f t="shared" si="43"/>
        <v>-347.19755372329917</v>
      </c>
      <c r="L85" s="55">
        <f t="shared" si="44"/>
        <v>1277.5039330192103</v>
      </c>
      <c r="M85" s="55">
        <f t="shared" si="45"/>
        <v>205.51827977964371</v>
      </c>
      <c r="N85" s="55">
        <f t="shared" si="49"/>
        <v>-388.65614102161101</v>
      </c>
      <c r="O85" s="55"/>
      <c r="P85" s="55"/>
      <c r="Q85" s="55"/>
      <c r="R85" s="43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5"/>
      <c r="AN85" s="55"/>
      <c r="AO85" s="55"/>
      <c r="AP85" s="31"/>
      <c r="AQ85" s="7"/>
    </row>
    <row r="86" spans="1:43" x14ac:dyDescent="0.25">
      <c r="A86" s="17">
        <f t="shared" si="34"/>
        <v>2004</v>
      </c>
      <c r="B86" s="55">
        <f t="shared" si="50"/>
        <v>906.9384160675628</v>
      </c>
      <c r="C86" s="55">
        <f t="shared" si="35"/>
        <v>-174.71529852418411</v>
      </c>
      <c r="D86" s="55">
        <f t="shared" si="36"/>
        <v>-244.62187341327441</v>
      </c>
      <c r="E86" s="55">
        <f t="shared" si="37"/>
        <v>-240.48833181859843</v>
      </c>
      <c r="F86" s="55">
        <f t="shared" si="38"/>
        <v>-647.22621839723865</v>
      </c>
      <c r="G86" s="55">
        <f t="shared" si="39"/>
        <v>-558.03661706128867</v>
      </c>
      <c r="H86" s="55">
        <f t="shared" si="40"/>
        <v>-521.77959465520371</v>
      </c>
      <c r="I86" s="55">
        <f t="shared" si="41"/>
        <v>-483.08252047335895</v>
      </c>
      <c r="J86" s="55">
        <f t="shared" si="42"/>
        <v>456.00522026733671</v>
      </c>
      <c r="K86" s="55">
        <f t="shared" si="43"/>
        <v>566.24179867045279</v>
      </c>
      <c r="L86" s="55">
        <f t="shared" si="44"/>
        <v>1094.7721981493182</v>
      </c>
      <c r="M86" s="55">
        <f t="shared" si="45"/>
        <v>752.65519594662237</v>
      </c>
      <c r="N86" s="55"/>
      <c r="O86" s="55"/>
      <c r="P86" s="55"/>
      <c r="Q86" s="55"/>
      <c r="R86" s="43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31"/>
      <c r="AQ86" s="7"/>
    </row>
    <row r="87" spans="1:43" x14ac:dyDescent="0.25">
      <c r="A87" s="17">
        <f t="shared" si="34"/>
        <v>2005</v>
      </c>
      <c r="B87" s="55">
        <f t="shared" si="50"/>
        <v>254.33479537569198</v>
      </c>
      <c r="C87" s="55">
        <f t="shared" si="35"/>
        <v>69.212970425076577</v>
      </c>
      <c r="D87" s="55">
        <f t="shared" si="36"/>
        <v>-732.86513223599434</v>
      </c>
      <c r="E87" s="55">
        <f t="shared" si="37"/>
        <v>66.591722211065942</v>
      </c>
      <c r="F87" s="55">
        <f t="shared" si="38"/>
        <v>-136.20068391881509</v>
      </c>
      <c r="G87" s="55">
        <f t="shared" si="39"/>
        <v>-431.07813264773444</v>
      </c>
      <c r="H87" s="55">
        <f t="shared" si="40"/>
        <v>430.1121681735986</v>
      </c>
      <c r="I87" s="55">
        <f t="shared" si="41"/>
        <v>-197.70348249018775</v>
      </c>
      <c r="J87" s="55">
        <f t="shared" si="42"/>
        <v>982.12876247892245</v>
      </c>
      <c r="K87" s="55">
        <f t="shared" si="43"/>
        <v>68.074806230761155</v>
      </c>
      <c r="L87" s="55">
        <f t="shared" si="44"/>
        <v>626.6174833695452</v>
      </c>
      <c r="M87" s="55"/>
      <c r="N87" s="55"/>
      <c r="O87" s="55"/>
      <c r="P87" s="55"/>
      <c r="Q87" s="55"/>
      <c r="R87" s="43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  <c r="AN87" s="55"/>
      <c r="AO87" s="55"/>
      <c r="AP87" s="31"/>
      <c r="AQ87" s="7"/>
    </row>
    <row r="88" spans="1:43" x14ac:dyDescent="0.25">
      <c r="A88" s="17">
        <f t="shared" si="34"/>
        <v>2006</v>
      </c>
      <c r="B88" s="55">
        <f t="shared" si="50"/>
        <v>109.48702709026315</v>
      </c>
      <c r="C88" s="55">
        <f t="shared" si="35"/>
        <v>43.077429469237558</v>
      </c>
      <c r="D88" s="55">
        <f t="shared" si="36"/>
        <v>-262.94454689169174</v>
      </c>
      <c r="E88" s="55">
        <f t="shared" si="37"/>
        <v>-133.08332082361238</v>
      </c>
      <c r="F88" s="55">
        <f t="shared" si="38"/>
        <v>-13.773500481248821</v>
      </c>
      <c r="G88" s="55">
        <f t="shared" si="39"/>
        <v>-175.77434125571608</v>
      </c>
      <c r="H88" s="55">
        <f t="shared" si="40"/>
        <v>394.9211798230578</v>
      </c>
      <c r="I88" s="55">
        <f t="shared" si="41"/>
        <v>265.38124239596476</v>
      </c>
      <c r="J88" s="55">
        <f t="shared" si="42"/>
        <v>-9.6667396461488995</v>
      </c>
      <c r="K88" s="55">
        <f t="shared" si="43"/>
        <v>44.666490727624826</v>
      </c>
      <c r="L88" s="55"/>
      <c r="M88" s="55"/>
      <c r="N88" s="55"/>
      <c r="O88" s="55"/>
      <c r="P88" s="55"/>
      <c r="Q88" s="55"/>
      <c r="R88" s="43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  <c r="AO88" s="55"/>
      <c r="AP88" s="31"/>
      <c r="AQ88" s="7"/>
    </row>
    <row r="89" spans="1:43" x14ac:dyDescent="0.25">
      <c r="A89" s="17">
        <f t="shared" si="34"/>
        <v>2007</v>
      </c>
      <c r="B89" s="55">
        <f t="shared" si="50"/>
        <v>389.92110475404309</v>
      </c>
      <c r="C89" s="55">
        <f t="shared" si="35"/>
        <v>-221.08434869235217</v>
      </c>
      <c r="D89" s="55">
        <f t="shared" si="36"/>
        <v>9.8216188519052228</v>
      </c>
      <c r="E89" s="55">
        <f t="shared" si="37"/>
        <v>-237.24316771167426</v>
      </c>
      <c r="F89" s="55">
        <f t="shared" si="38"/>
        <v>-255.23234685504053</v>
      </c>
      <c r="G89" s="55">
        <f t="shared" si="39"/>
        <v>-64.823146111289319</v>
      </c>
      <c r="H89" s="55">
        <f t="shared" si="40"/>
        <v>-150.63310019567075</v>
      </c>
      <c r="I89" s="55">
        <f t="shared" si="41"/>
        <v>148.90279444028911</v>
      </c>
      <c r="J89" s="55">
        <f t="shared" si="42"/>
        <v>732.08536667323904</v>
      </c>
      <c r="K89" s="55"/>
      <c r="L89" s="55"/>
      <c r="M89" s="55"/>
      <c r="N89" s="55"/>
      <c r="O89" s="55"/>
      <c r="P89" s="55"/>
      <c r="Q89" s="55"/>
      <c r="R89" s="43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  <c r="AN89" s="55"/>
      <c r="AO89" s="55"/>
      <c r="AP89" s="31"/>
      <c r="AQ89" s="7"/>
    </row>
    <row r="90" spans="1:43" x14ac:dyDescent="0.25">
      <c r="A90" s="17">
        <f t="shared" si="34"/>
        <v>2008</v>
      </c>
      <c r="B90" s="55">
        <f t="shared" si="50"/>
        <v>9.2494520843127805</v>
      </c>
      <c r="C90" s="55">
        <f t="shared" si="35"/>
        <v>-235.93518705287966</v>
      </c>
      <c r="D90" s="55">
        <f t="shared" si="36"/>
        <v>542.85816958773376</v>
      </c>
      <c r="E90" s="55">
        <f t="shared" si="37"/>
        <v>-207.05207811923671</v>
      </c>
      <c r="F90" s="55">
        <f t="shared" si="38"/>
        <v>314.08635845617493</v>
      </c>
      <c r="G90" s="55">
        <f t="shared" si="39"/>
        <v>221.43015764418774</v>
      </c>
      <c r="H90" s="55">
        <f t="shared" si="40"/>
        <v>-221.4546875493262</v>
      </c>
      <c r="I90" s="55">
        <f t="shared" si="41"/>
        <v>-770.45817672164912</v>
      </c>
      <c r="J90" s="55"/>
      <c r="K90" s="55"/>
      <c r="L90" s="55"/>
      <c r="M90" s="55"/>
      <c r="N90" s="55"/>
      <c r="O90" s="55"/>
      <c r="P90" s="55"/>
      <c r="Q90" s="55"/>
      <c r="R90" s="43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5"/>
      <c r="AN90" s="55"/>
      <c r="AO90" s="55"/>
      <c r="AP90" s="31"/>
      <c r="AQ90" s="7"/>
    </row>
    <row r="91" spans="1:43" x14ac:dyDescent="0.25">
      <c r="A91" s="17">
        <f t="shared" si="34"/>
        <v>2009</v>
      </c>
      <c r="B91" s="55">
        <f t="shared" si="50"/>
        <v>-544.34342780691486</v>
      </c>
      <c r="C91" s="55">
        <f t="shared" si="35"/>
        <v>-131.72342860632332</v>
      </c>
      <c r="D91" s="55">
        <f t="shared" si="36"/>
        <v>-268.82055865986263</v>
      </c>
      <c r="E91" s="55">
        <f t="shared" si="37"/>
        <v>290.81811125537826</v>
      </c>
      <c r="F91" s="55">
        <f t="shared" si="38"/>
        <v>1240.2142248654025</v>
      </c>
      <c r="G91" s="55">
        <f t="shared" si="39"/>
        <v>-7.4540003538905193</v>
      </c>
      <c r="H91" s="55">
        <f t="shared" si="40"/>
        <v>46.667149189002778</v>
      </c>
      <c r="I91" s="55"/>
      <c r="J91" s="55"/>
      <c r="K91" s="55"/>
      <c r="L91" s="55"/>
      <c r="M91" s="55"/>
      <c r="N91" s="55"/>
      <c r="O91" s="55"/>
      <c r="P91" s="55"/>
      <c r="Q91" s="55"/>
      <c r="R91" s="43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  <c r="AK91" s="55"/>
      <c r="AL91" s="55"/>
      <c r="AM91" s="55"/>
      <c r="AN91" s="55"/>
      <c r="AO91" s="55"/>
      <c r="AP91" s="31"/>
      <c r="AQ91" s="7"/>
    </row>
    <row r="92" spans="1:43" x14ac:dyDescent="0.25">
      <c r="A92" s="17">
        <f t="shared" si="34"/>
        <v>2010</v>
      </c>
      <c r="B92" s="55">
        <f t="shared" si="50"/>
        <v>-82.11631896911382</v>
      </c>
      <c r="C92" s="55">
        <f t="shared" si="35"/>
        <v>-86.11047189812767</v>
      </c>
      <c r="D92" s="55">
        <f t="shared" si="36"/>
        <v>0.48392713441353064</v>
      </c>
      <c r="E92" s="55">
        <f t="shared" si="37"/>
        <v>246.48805457058978</v>
      </c>
      <c r="F92" s="55">
        <f t="shared" si="38"/>
        <v>-3.3632950887941639</v>
      </c>
      <c r="G92" s="55">
        <f t="shared" si="39"/>
        <v>15.694428606719379</v>
      </c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43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  <c r="AK92" s="55"/>
      <c r="AL92" s="55"/>
      <c r="AM92" s="55"/>
      <c r="AN92" s="55"/>
      <c r="AO92" s="55"/>
      <c r="AP92" s="31"/>
      <c r="AQ92" s="7"/>
    </row>
    <row r="93" spans="1:43" x14ac:dyDescent="0.25">
      <c r="A93" s="17">
        <f t="shared" si="34"/>
        <v>2011</v>
      </c>
      <c r="B93" s="55">
        <f t="shared" si="50"/>
        <v>-76.909665591551018</v>
      </c>
      <c r="C93" s="55">
        <f t="shared" si="35"/>
        <v>93.51143325448885</v>
      </c>
      <c r="D93" s="55">
        <f t="shared" si="36"/>
        <v>115.8958941528727</v>
      </c>
      <c r="E93" s="55">
        <f t="shared" si="37"/>
        <v>-316.52860986833286</v>
      </c>
      <c r="F93" s="55">
        <f t="shared" si="38"/>
        <v>153.94022462631685</v>
      </c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43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  <c r="AK93" s="55"/>
      <c r="AL93" s="55"/>
      <c r="AM93" s="55"/>
      <c r="AN93" s="55"/>
      <c r="AO93" s="55"/>
      <c r="AP93" s="31"/>
      <c r="AQ93" s="7"/>
    </row>
    <row r="94" spans="1:43" x14ac:dyDescent="0.25">
      <c r="A94" s="17">
        <f t="shared" si="34"/>
        <v>2012</v>
      </c>
      <c r="B94" s="55">
        <f t="shared" si="50"/>
        <v>158.68523552659613</v>
      </c>
      <c r="C94" s="55">
        <f t="shared" si="35"/>
        <v>49.763863985277403</v>
      </c>
      <c r="D94" s="55">
        <f t="shared" si="36"/>
        <v>-75.025989797203039</v>
      </c>
      <c r="E94" s="55">
        <f t="shared" si="37"/>
        <v>-206.89304490459617</v>
      </c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43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31"/>
      <c r="AQ94" s="7"/>
    </row>
    <row r="95" spans="1:43" x14ac:dyDescent="0.25">
      <c r="A95" s="17">
        <f t="shared" si="34"/>
        <v>2013</v>
      </c>
      <c r="B95" s="55">
        <f t="shared" si="50"/>
        <v>423.05056733333612</v>
      </c>
      <c r="C95" s="55">
        <f t="shared" si="35"/>
        <v>-42.866314758519195</v>
      </c>
      <c r="D95" s="55">
        <f t="shared" si="36"/>
        <v>-409.27022270923919</v>
      </c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43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  <c r="AN95" s="55"/>
      <c r="AO95" s="55"/>
      <c r="AP95" s="31"/>
      <c r="AQ95" s="7"/>
    </row>
    <row r="96" spans="1:43" x14ac:dyDescent="0.25">
      <c r="A96" s="17">
        <f t="shared" si="34"/>
        <v>2014</v>
      </c>
      <c r="B96" s="55">
        <f t="shared" si="50"/>
        <v>-153.37945569374742</v>
      </c>
      <c r="C96" s="55">
        <f t="shared" si="35"/>
        <v>129.96937478083899</v>
      </c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43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31"/>
      <c r="AQ96" s="7"/>
    </row>
    <row r="97" spans="1:52" x14ac:dyDescent="0.25">
      <c r="A97" s="17">
        <f t="shared" si="34"/>
        <v>2015</v>
      </c>
      <c r="B97" s="55">
        <f t="shared" si="50"/>
        <v>0</v>
      </c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43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  <c r="AO97" s="55"/>
      <c r="AP97" s="31"/>
      <c r="AQ97" s="7"/>
    </row>
    <row r="98" spans="1:52" x14ac:dyDescent="0.25">
      <c r="A98" s="1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31"/>
      <c r="AQ98" s="7"/>
    </row>
    <row r="99" spans="1:52" x14ac:dyDescent="0.25">
      <c r="A99" s="1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31"/>
      <c r="AQ99" s="7"/>
    </row>
    <row r="100" spans="1:52" x14ac:dyDescent="0.25">
      <c r="A100" s="66" t="s">
        <v>112</v>
      </c>
      <c r="D100" s="65"/>
      <c r="E100" s="66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5"/>
      <c r="AK100" s="65"/>
      <c r="AL100" s="65"/>
      <c r="AM100" s="65"/>
      <c r="AN100" s="65"/>
      <c r="AO100" s="65"/>
      <c r="AP100" s="65"/>
      <c r="AQ100" s="65"/>
    </row>
    <row r="101" spans="1:52" s="65" customFormat="1" ht="10.199999999999999" x14ac:dyDescent="0.2">
      <c r="A101" s="67"/>
    </row>
    <row r="102" spans="1:52" s="65" customFormat="1" ht="10.199999999999999" x14ac:dyDescent="0.2">
      <c r="A102" s="68"/>
      <c r="B102" s="69" t="s">
        <v>113</v>
      </c>
      <c r="C102" s="70">
        <f>SUMSQ(B78:U97)</f>
        <v>131112325.90786967</v>
      </c>
      <c r="D102" s="183"/>
    </row>
    <row r="103" spans="1:52" s="65" customFormat="1" ht="10.199999999999999" x14ac:dyDescent="0.2">
      <c r="A103" s="67"/>
      <c r="B103" s="69" t="s">
        <v>114</v>
      </c>
      <c r="C103" s="65">
        <f>COUNT(B78:U97)</f>
        <v>209</v>
      </c>
    </row>
    <row r="104" spans="1:52" s="65" customFormat="1" ht="10.199999999999999" x14ac:dyDescent="0.2">
      <c r="A104" s="67"/>
      <c r="B104" s="69" t="s">
        <v>115</v>
      </c>
      <c r="C104" s="65">
        <f>2*COUNT(A78:A97)-1</f>
        <v>39</v>
      </c>
    </row>
    <row r="105" spans="1:52" s="65" customFormat="1" x14ac:dyDescent="0.25">
      <c r="A105" s="67"/>
      <c r="B105" s="69" t="s">
        <v>116</v>
      </c>
      <c r="C105" s="71">
        <f>C102/(C103-C104)</f>
        <v>771248.97592864512</v>
      </c>
      <c r="AR105"/>
      <c r="AS105"/>
      <c r="AT105"/>
      <c r="AU105"/>
      <c r="AV105"/>
      <c r="AW105"/>
      <c r="AX105"/>
      <c r="AY105"/>
      <c r="AZ105"/>
    </row>
    <row r="106" spans="1:52" s="65" customFormat="1" x14ac:dyDescent="0.25">
      <c r="A106" s="67"/>
      <c r="B106" s="69" t="s">
        <v>117</v>
      </c>
      <c r="C106" s="72">
        <f>C103^0.5/(C103-C104)</f>
        <v>8.5040189969417423E-2</v>
      </c>
      <c r="AR106"/>
      <c r="AS106"/>
      <c r="AT106"/>
      <c r="AU106"/>
      <c r="AV106"/>
      <c r="AW106"/>
      <c r="AX106"/>
      <c r="AY106"/>
      <c r="AZ106"/>
    </row>
    <row r="107" spans="1:52" s="65" customFormat="1" x14ac:dyDescent="0.25">
      <c r="A107" s="1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31"/>
      <c r="AQ107" s="7"/>
      <c r="AR107"/>
      <c r="AS107"/>
      <c r="AT107"/>
      <c r="AU107"/>
      <c r="AV107"/>
      <c r="AW107"/>
      <c r="AX107"/>
      <c r="AY107"/>
      <c r="AZ107"/>
    </row>
    <row r="108" spans="1:52" x14ac:dyDescent="0.25">
      <c r="A108" s="7" t="s">
        <v>88</v>
      </c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19"/>
      <c r="M108" s="19"/>
      <c r="N108" s="19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31"/>
      <c r="AQ108" s="7"/>
    </row>
    <row r="109" spans="1:52" x14ac:dyDescent="0.25">
      <c r="A109" s="15" t="s">
        <v>72</v>
      </c>
      <c r="B109" s="20" t="str">
        <f t="shared" ref="B109:T109" si="51">B32</f>
        <v>12-24</v>
      </c>
      <c r="C109" s="20" t="str">
        <f t="shared" si="51"/>
        <v>24-36</v>
      </c>
      <c r="D109" s="20" t="str">
        <f t="shared" si="51"/>
        <v>36-48</v>
      </c>
      <c r="E109" s="20" t="str">
        <f t="shared" si="51"/>
        <v>48-60</v>
      </c>
      <c r="F109" s="20" t="str">
        <f t="shared" si="51"/>
        <v>60-72</v>
      </c>
      <c r="G109" s="20" t="str">
        <f t="shared" si="51"/>
        <v>72-84</v>
      </c>
      <c r="H109" s="20" t="str">
        <f t="shared" si="51"/>
        <v>84-96</v>
      </c>
      <c r="I109" s="20" t="str">
        <f t="shared" si="51"/>
        <v>96-108</v>
      </c>
      <c r="J109" s="20" t="str">
        <f t="shared" si="51"/>
        <v>108-120</v>
      </c>
      <c r="K109" s="20" t="str">
        <f t="shared" si="51"/>
        <v>120-132</v>
      </c>
      <c r="L109" s="20" t="str">
        <f t="shared" si="51"/>
        <v>132-144</v>
      </c>
      <c r="M109" s="20" t="str">
        <f t="shared" si="51"/>
        <v>144-156</v>
      </c>
      <c r="N109" s="20" t="str">
        <f t="shared" si="51"/>
        <v>156-168</v>
      </c>
      <c r="O109" s="20" t="str">
        <f t="shared" si="51"/>
        <v>168-180</v>
      </c>
      <c r="P109" s="20" t="str">
        <f t="shared" si="51"/>
        <v>180-192</v>
      </c>
      <c r="Q109" s="20" t="str">
        <f t="shared" si="51"/>
        <v>192-204</v>
      </c>
      <c r="R109" s="20" t="str">
        <f t="shared" si="51"/>
        <v>204-216</v>
      </c>
      <c r="S109" s="20" t="str">
        <f t="shared" si="51"/>
        <v>216-228</v>
      </c>
      <c r="T109" s="20" t="str">
        <f t="shared" si="51"/>
        <v>228-240</v>
      </c>
    </row>
    <row r="110" spans="1:52" x14ac:dyDescent="0.25">
      <c r="A110" s="17">
        <f t="shared" ref="A110:A128" si="52">+A9</f>
        <v>1996</v>
      </c>
      <c r="B110" s="74">
        <f>AVERAGE(B111:B117)</f>
        <v>-11.435608970984308</v>
      </c>
      <c r="C110" s="58">
        <f t="shared" ref="B110:C128" si="53">$C$106*C78</f>
        <v>-19.623910543363625</v>
      </c>
      <c r="D110" s="58">
        <f t="shared" ref="D110:T110" si="54">$C$106*D78</f>
        <v>-51.260456256726982</v>
      </c>
      <c r="E110" s="58">
        <f t="shared" si="54"/>
        <v>-41.791221761214146</v>
      </c>
      <c r="F110" s="58">
        <f t="shared" si="54"/>
        <v>-3.9230589112261023</v>
      </c>
      <c r="G110" s="58">
        <f t="shared" si="54"/>
        <v>22.571279154883964</v>
      </c>
      <c r="H110" s="58">
        <f t="shared" si="54"/>
        <v>-48.258095310937705</v>
      </c>
      <c r="I110" s="58">
        <f t="shared" si="54"/>
        <v>4.4230003817355099</v>
      </c>
      <c r="J110" s="58">
        <f t="shared" si="54"/>
        <v>-7.4415162728890243</v>
      </c>
      <c r="K110" s="58">
        <f t="shared" si="54"/>
        <v>-4.5207966754015301</v>
      </c>
      <c r="L110" s="58">
        <f t="shared" si="54"/>
        <v>54.839007648576114</v>
      </c>
      <c r="M110" s="58">
        <f t="shared" si="54"/>
        <v>41.622792271770287</v>
      </c>
      <c r="N110" s="58">
        <f t="shared" si="54"/>
        <v>-34.866285631018904</v>
      </c>
      <c r="O110" s="58">
        <f t="shared" si="54"/>
        <v>-17.283058708592478</v>
      </c>
      <c r="P110" s="58">
        <f t="shared" si="54"/>
        <v>3.3542905410285715</v>
      </c>
      <c r="Q110" s="58">
        <f t="shared" si="54"/>
        <v>-14.746752963628246</v>
      </c>
      <c r="R110" s="58">
        <f t="shared" si="54"/>
        <v>-22.619543645156615</v>
      </c>
      <c r="S110" s="58">
        <f t="shared" si="54"/>
        <v>1.6402203751082347</v>
      </c>
      <c r="T110" s="58">
        <f t="shared" si="54"/>
        <v>-7.217859714748494</v>
      </c>
    </row>
    <row r="111" spans="1:52" x14ac:dyDescent="0.25">
      <c r="A111" s="17">
        <f t="shared" si="52"/>
        <v>1997</v>
      </c>
      <c r="B111" s="58">
        <f t="shared" si="53"/>
        <v>142.55367477201861</v>
      </c>
      <c r="C111" s="58">
        <f t="shared" ref="C111:C128" si="55">$C$106*C79</f>
        <v>7.6875011999096943</v>
      </c>
      <c r="D111" s="58">
        <f t="shared" ref="D111:T111" si="56">$C$106*D79</f>
        <v>-81.728897197208155</v>
      </c>
      <c r="E111" s="58">
        <f t="shared" si="56"/>
        <v>-16.707716132581133</v>
      </c>
      <c r="F111" s="58">
        <f t="shared" si="56"/>
        <v>-50.395620931816296</v>
      </c>
      <c r="G111" s="58">
        <f t="shared" si="56"/>
        <v>-10.17358471878511</v>
      </c>
      <c r="H111" s="58">
        <f t="shared" si="56"/>
        <v>36.887324933984551</v>
      </c>
      <c r="I111" s="58">
        <f t="shared" si="56"/>
        <v>-11.506032616820114</v>
      </c>
      <c r="J111" s="58">
        <f t="shared" si="56"/>
        <v>-28.01069914858482</v>
      </c>
      <c r="K111" s="58">
        <f t="shared" si="56"/>
        <v>-21.789968072728993</v>
      </c>
      <c r="L111" s="58">
        <f t="shared" si="56"/>
        <v>90.646964081834369</v>
      </c>
      <c r="M111" s="58">
        <f t="shared" si="56"/>
        <v>-5.0746873153126515</v>
      </c>
      <c r="N111" s="58">
        <f t="shared" si="56"/>
        <v>-31.011387308982556</v>
      </c>
      <c r="O111" s="58">
        <f t="shared" si="56"/>
        <v>-67.965173282679103</v>
      </c>
      <c r="P111" s="58">
        <f t="shared" si="56"/>
        <v>-39.261104116562883</v>
      </c>
      <c r="Q111" s="58">
        <f t="shared" si="56"/>
        <v>-47.877434026335216</v>
      </c>
      <c r="R111" s="58">
        <f t="shared" si="56"/>
        <v>-20.366642233793698</v>
      </c>
      <c r="S111" s="75">
        <f t="shared" si="56"/>
        <v>-10.622843424327566</v>
      </c>
      <c r="T111" s="75">
        <f t="shared" si="56"/>
        <v>6.681024830983687</v>
      </c>
    </row>
    <row r="112" spans="1:52" x14ac:dyDescent="0.25">
      <c r="A112" s="17">
        <f t="shared" si="52"/>
        <v>1998</v>
      </c>
      <c r="B112" s="58">
        <f t="shared" si="53"/>
        <v>-31.478349317296242</v>
      </c>
      <c r="C112" s="58">
        <f t="shared" si="55"/>
        <v>-88.804690674352742</v>
      </c>
      <c r="D112" s="58">
        <f t="shared" ref="D112:S112" si="57">$C$106*D80</f>
        <v>-20.361266051859811</v>
      </c>
      <c r="E112" s="58">
        <f t="shared" si="57"/>
        <v>1.6966480479671144</v>
      </c>
      <c r="F112" s="58">
        <f t="shared" si="57"/>
        <v>16.053358726847897</v>
      </c>
      <c r="G112" s="58">
        <f t="shared" si="57"/>
        <v>65.946523776299685</v>
      </c>
      <c r="H112" s="58">
        <f t="shared" si="57"/>
        <v>-0.45322300214707373</v>
      </c>
      <c r="I112" s="58">
        <f t="shared" si="57"/>
        <v>3.5679435524469327</v>
      </c>
      <c r="J112" s="58">
        <f t="shared" si="57"/>
        <v>111.94610697057665</v>
      </c>
      <c r="K112" s="58">
        <f t="shared" si="57"/>
        <v>81.790485268903353</v>
      </c>
      <c r="L112" s="58">
        <f t="shared" si="57"/>
        <v>181.74137503490874</v>
      </c>
      <c r="M112" s="58">
        <f t="shared" si="57"/>
        <v>45.198847833084237</v>
      </c>
      <c r="N112" s="58">
        <f t="shared" si="57"/>
        <v>-34.093804276960149</v>
      </c>
      <c r="O112" s="58">
        <f t="shared" si="57"/>
        <v>-13.800317475062231</v>
      </c>
      <c r="P112" s="58">
        <f t="shared" si="57"/>
        <v>-0.18226643654404803</v>
      </c>
      <c r="Q112" s="58">
        <f t="shared" si="57"/>
        <v>39.658578322189932</v>
      </c>
      <c r="R112" s="58">
        <f t="shared" si="57"/>
        <v>16.107247434056841</v>
      </c>
      <c r="S112" s="75">
        <f t="shared" si="57"/>
        <v>8.1613800952601565</v>
      </c>
      <c r="T112" s="22"/>
    </row>
    <row r="113" spans="1:43" x14ac:dyDescent="0.25">
      <c r="A113" s="17">
        <f t="shared" si="52"/>
        <v>1999</v>
      </c>
      <c r="B113" s="58">
        <f t="shared" si="53"/>
        <v>-73.927668097074616</v>
      </c>
      <c r="C113" s="58">
        <f t="shared" si="55"/>
        <v>-40.343896462173724</v>
      </c>
      <c r="D113" s="58">
        <f t="shared" ref="D113:R113" si="58">$C$106*D81</f>
        <v>32.944935796834919</v>
      </c>
      <c r="E113" s="58">
        <f t="shared" si="58"/>
        <v>-64.100787923812135</v>
      </c>
      <c r="F113" s="58">
        <f t="shared" si="58"/>
        <v>39.758219655376202</v>
      </c>
      <c r="G113" s="58">
        <f t="shared" si="58"/>
        <v>50.796428274200196</v>
      </c>
      <c r="H113" s="58">
        <f t="shared" si="58"/>
        <v>34.819478576197476</v>
      </c>
      <c r="I113" s="58">
        <f t="shared" si="58"/>
        <v>46.621000974747602</v>
      </c>
      <c r="J113" s="58">
        <f t="shared" si="58"/>
        <v>-51.565000060774565</v>
      </c>
      <c r="K113" s="58">
        <f t="shared" si="58"/>
        <v>47.917692099326679</v>
      </c>
      <c r="L113" s="58">
        <f t="shared" si="58"/>
        <v>104.2753615381019</v>
      </c>
      <c r="M113" s="58">
        <f t="shared" si="58"/>
        <v>-4.8410908583790908</v>
      </c>
      <c r="N113" s="58">
        <f t="shared" si="58"/>
        <v>20.925808209010512</v>
      </c>
      <c r="O113" s="58">
        <f t="shared" si="58"/>
        <v>7.1150546313724767</v>
      </c>
      <c r="P113" s="58">
        <f t="shared" si="58"/>
        <v>34.192526520137861</v>
      </c>
      <c r="Q113" s="58">
        <f t="shared" si="58"/>
        <v>96.143220796046975</v>
      </c>
      <c r="R113" s="75">
        <f t="shared" si="58"/>
        <v>19.951319991565146</v>
      </c>
      <c r="S113" s="22"/>
      <c r="T113" s="22"/>
    </row>
    <row r="114" spans="1:43" x14ac:dyDescent="0.25">
      <c r="A114" s="17">
        <f t="shared" si="52"/>
        <v>2000</v>
      </c>
      <c r="B114" s="58">
        <f t="shared" si="53"/>
        <v>-64.813225849967566</v>
      </c>
      <c r="C114" s="58">
        <f t="shared" si="55"/>
        <v>20.269535495453756</v>
      </c>
      <c r="D114" s="58">
        <f t="shared" ref="D114:Q114" si="59">$C$106*D82</f>
        <v>12.86713792058001</v>
      </c>
      <c r="E114" s="58">
        <f t="shared" si="59"/>
        <v>57.448505523717422</v>
      </c>
      <c r="F114" s="58">
        <f t="shared" si="59"/>
        <v>52.171447223637138</v>
      </c>
      <c r="G114" s="58">
        <f t="shared" si="59"/>
        <v>-19.693304401959242</v>
      </c>
      <c r="H114" s="58">
        <f t="shared" si="59"/>
        <v>15.886036983891529</v>
      </c>
      <c r="I114" s="58">
        <f t="shared" si="59"/>
        <v>62.9320949426846</v>
      </c>
      <c r="J114" s="58">
        <f t="shared" si="59"/>
        <v>-95.381355962893892</v>
      </c>
      <c r="K114" s="58">
        <f t="shared" si="59"/>
        <v>-30.03895882566993</v>
      </c>
      <c r="L114" s="58">
        <f t="shared" si="59"/>
        <v>52.526143640640697</v>
      </c>
      <c r="M114" s="58">
        <f t="shared" si="59"/>
        <v>-157.90973486243402</v>
      </c>
      <c r="N114" s="58">
        <f t="shared" si="59"/>
        <v>14.259369733358058</v>
      </c>
      <c r="O114" s="58">
        <f t="shared" si="59"/>
        <v>68.949572258101497</v>
      </c>
      <c r="P114" s="58">
        <f t="shared" si="59"/>
        <v>-3.0002064578569705</v>
      </c>
      <c r="Q114" s="75">
        <f t="shared" si="59"/>
        <v>-83.709926236677873</v>
      </c>
      <c r="R114" s="22"/>
      <c r="T114" s="22"/>
    </row>
    <row r="115" spans="1:43" x14ac:dyDescent="0.25">
      <c r="A115" s="17">
        <f t="shared" si="52"/>
        <v>2001</v>
      </c>
      <c r="B115" s="58">
        <f t="shared" si="53"/>
        <v>-17.965472882806441</v>
      </c>
      <c r="C115" s="58">
        <f t="shared" si="55"/>
        <v>62.314026862618348</v>
      </c>
      <c r="D115" s="58">
        <f t="shared" ref="D115:P115" si="60">$C$106*D83</f>
        <v>74.280621425907967</v>
      </c>
      <c r="E115" s="58">
        <f t="shared" si="60"/>
        <v>72.648836113533093</v>
      </c>
      <c r="F115" s="58">
        <f t="shared" si="60"/>
        <v>-16.251568412140159</v>
      </c>
      <c r="G115" s="58">
        <f t="shared" si="60"/>
        <v>24.117217264897334</v>
      </c>
      <c r="H115" s="58">
        <f t="shared" si="60"/>
        <v>-31.361296303960064</v>
      </c>
      <c r="I115" s="58">
        <f t="shared" si="60"/>
        <v>10.600914396278588</v>
      </c>
      <c r="J115" s="58">
        <f t="shared" si="60"/>
        <v>-41.957289091171248</v>
      </c>
      <c r="K115" s="58">
        <f t="shared" si="60"/>
        <v>-52.167941229781498</v>
      </c>
      <c r="L115" s="58">
        <f t="shared" si="60"/>
        <v>-721.16846274083105</v>
      </c>
      <c r="M115" s="58">
        <f t="shared" si="60"/>
        <v>-25.224367193515352</v>
      </c>
      <c r="N115" s="58">
        <f t="shared" si="60"/>
        <v>39.093462110533757</v>
      </c>
      <c r="O115" s="58">
        <f t="shared" si="60"/>
        <v>87.411875808064138</v>
      </c>
      <c r="P115" s="75">
        <f t="shared" si="60"/>
        <v>-0.19101040995667029</v>
      </c>
      <c r="Q115" s="22"/>
      <c r="R115" s="22"/>
      <c r="S115" s="5"/>
      <c r="T115" s="23"/>
    </row>
    <row r="116" spans="1:43" x14ac:dyDescent="0.25">
      <c r="A116" s="17">
        <f t="shared" si="52"/>
        <v>2002</v>
      </c>
      <c r="B116" s="58">
        <f t="shared" si="53"/>
        <v>-74.495933425274586</v>
      </c>
      <c r="C116" s="58">
        <f t="shared" si="55"/>
        <v>13.683093137318995</v>
      </c>
      <c r="D116" s="58">
        <f t="shared" ref="D116:O116" si="61">$C$106*D84</f>
        <v>60.438038180739561</v>
      </c>
      <c r="E116" s="58">
        <f t="shared" si="61"/>
        <v>24.97207672275275</v>
      </c>
      <c r="F116" s="58">
        <f t="shared" si="61"/>
        <v>-9.3201990188279691</v>
      </c>
      <c r="G116" s="58">
        <f t="shared" si="61"/>
        <v>-61.382453935525561</v>
      </c>
      <c r="H116" s="58">
        <f t="shared" si="61"/>
        <v>34.372064092150104</v>
      </c>
      <c r="I116" s="58">
        <f t="shared" si="61"/>
        <v>-28.995963546516485</v>
      </c>
      <c r="J116" s="58">
        <f t="shared" si="61"/>
        <v>7.0178759133444348</v>
      </c>
      <c r="K116" s="58">
        <f t="shared" si="61"/>
        <v>-38.480362411308477</v>
      </c>
      <c r="L116" s="58">
        <f t="shared" si="61"/>
        <v>90.713834449108774</v>
      </c>
      <c r="M116" s="58">
        <f t="shared" si="61"/>
        <v>56.239140042017119</v>
      </c>
      <c r="N116" s="58">
        <f t="shared" si="61"/>
        <v>41.217737642104062</v>
      </c>
      <c r="O116" s="75">
        <f t="shared" si="61"/>
        <v>-78.965896862450833</v>
      </c>
      <c r="P116" s="22"/>
      <c r="Q116" s="22"/>
      <c r="R116" s="5"/>
      <c r="S116" s="5"/>
      <c r="T116" s="19"/>
    </row>
    <row r="117" spans="1:43" x14ac:dyDescent="0.25">
      <c r="A117" s="17">
        <f t="shared" si="52"/>
        <v>2003</v>
      </c>
      <c r="B117" s="58">
        <f t="shared" si="53"/>
        <v>40.07771200351069</v>
      </c>
      <c r="C117" s="58">
        <f t="shared" si="55"/>
        <v>14.054918710679598</v>
      </c>
      <c r="D117" s="58">
        <f t="shared" ref="D117:N117" si="62">$C$106*D85</f>
        <v>13.347958819390648</v>
      </c>
      <c r="E117" s="58">
        <f t="shared" si="62"/>
        <v>-13.49281952138147</v>
      </c>
      <c r="F117" s="58">
        <f t="shared" si="62"/>
        <v>-46.998613801370013</v>
      </c>
      <c r="G117" s="58">
        <f t="shared" si="62"/>
        <v>-20.205252734139105</v>
      </c>
      <c r="H117" s="58">
        <f t="shared" si="62"/>
        <v>-46.848558160451773</v>
      </c>
      <c r="I117" s="58">
        <f t="shared" si="62"/>
        <v>-50.898163123638525</v>
      </c>
      <c r="J117" s="58">
        <f t="shared" si="62"/>
        <v>7.8696292519411317</v>
      </c>
      <c r="K117" s="58">
        <f t="shared" si="62"/>
        <v>-29.525745925546374</v>
      </c>
      <c r="L117" s="58">
        <f t="shared" si="62"/>
        <v>108.63917715063155</v>
      </c>
      <c r="M117" s="58">
        <f t="shared" si="62"/>
        <v>17.477313554648781</v>
      </c>
      <c r="N117" s="75">
        <f t="shared" si="62"/>
        <v>-33.05139206525849</v>
      </c>
      <c r="O117" s="22"/>
      <c r="P117" s="22"/>
      <c r="R117" s="19"/>
      <c r="S117" s="19"/>
      <c r="T117" s="19"/>
    </row>
    <row r="118" spans="1:43" x14ac:dyDescent="0.25">
      <c r="A118" s="17">
        <f t="shared" si="52"/>
        <v>2004</v>
      </c>
      <c r="B118" s="58">
        <f t="shared" si="53"/>
        <v>77.126215192948081</v>
      </c>
      <c r="C118" s="58">
        <f t="shared" si="55"/>
        <v>-14.857822177060092</v>
      </c>
      <c r="D118" s="58">
        <f t="shared" ref="D118:M118" si="63">$C$106*D86</f>
        <v>-20.802690585739636</v>
      </c>
      <c r="E118" s="58">
        <f t="shared" si="63"/>
        <v>-20.451173423281904</v>
      </c>
      <c r="F118" s="58">
        <f t="shared" si="63"/>
        <v>-55.040240565688826</v>
      </c>
      <c r="G118" s="58">
        <f t="shared" si="63"/>
        <v>-47.455539924783032</v>
      </c>
      <c r="H118" s="58">
        <f t="shared" si="63"/>
        <v>-44.372235851644142</v>
      </c>
      <c r="I118" s="58">
        <f t="shared" si="63"/>
        <v>-41.081429311959425</v>
      </c>
      <c r="J118" s="58">
        <f t="shared" si="63"/>
        <v>38.778770558580348</v>
      </c>
      <c r="K118" s="58">
        <f t="shared" si="63"/>
        <v>48.153310127559919</v>
      </c>
      <c r="L118" s="58">
        <f t="shared" si="63"/>
        <v>93.099635703854716</v>
      </c>
      <c r="M118" s="75">
        <f t="shared" si="63"/>
        <v>64.005940844769867</v>
      </c>
      <c r="N118" s="22"/>
      <c r="O118" s="22"/>
      <c r="R118" s="19"/>
      <c r="S118" s="19"/>
      <c r="T118" s="19"/>
    </row>
    <row r="119" spans="1:43" x14ac:dyDescent="0.25">
      <c r="A119" s="17">
        <f t="shared" si="52"/>
        <v>2005</v>
      </c>
      <c r="B119" s="58">
        <f t="shared" si="53"/>
        <v>21.628679314581753</v>
      </c>
      <c r="C119" s="58">
        <f t="shared" si="55"/>
        <v>5.8858841532961819</v>
      </c>
      <c r="D119" s="58">
        <f t="shared" ref="D119:L119" si="64">$C$106*D87</f>
        <v>-62.322990067311181</v>
      </c>
      <c r="E119" s="58">
        <f t="shared" si="64"/>
        <v>5.6629727072197218</v>
      </c>
      <c r="F119" s="58">
        <f t="shared" si="64"/>
        <v>-11.582532034420613</v>
      </c>
      <c r="G119" s="58">
        <f t="shared" si="64"/>
        <v>-36.658966292025056</v>
      </c>
      <c r="H119" s="58">
        <f t="shared" si="64"/>
        <v>36.576820489640838</v>
      </c>
      <c r="I119" s="58">
        <f t="shared" si="64"/>
        <v>-16.812741708580958</v>
      </c>
      <c r="J119" s="58">
        <f t="shared" si="64"/>
        <v>83.520416535636414</v>
      </c>
      <c r="K119" s="58">
        <f t="shared" si="64"/>
        <v>5.7890944539952098</v>
      </c>
      <c r="L119" s="56">
        <f t="shared" si="64"/>
        <v>53.287669823904388</v>
      </c>
      <c r="M119" s="19"/>
      <c r="N119" s="19"/>
      <c r="O119" s="22"/>
      <c r="P119" s="22"/>
      <c r="R119" s="19"/>
      <c r="S119" s="19"/>
      <c r="T119" s="19"/>
    </row>
    <row r="120" spans="1:43" x14ac:dyDescent="0.25">
      <c r="A120" s="17">
        <f t="shared" si="52"/>
        <v>2006</v>
      </c>
      <c r="B120" s="58">
        <f t="shared" si="53"/>
        <v>9.3107975829427296</v>
      </c>
      <c r="C120" s="58">
        <f t="shared" si="55"/>
        <v>3.6633127854581424</v>
      </c>
      <c r="D120" s="58">
        <f t="shared" ref="D120:K120" si="65">$C$106*D88</f>
        <v>-22.360854219091852</v>
      </c>
      <c r="E120" s="58">
        <f t="shared" si="65"/>
        <v>-11.317430884600922</v>
      </c>
      <c r="F120" s="58">
        <f t="shared" si="65"/>
        <v>-1.1713010974692619</v>
      </c>
      <c r="G120" s="58">
        <f t="shared" si="65"/>
        <v>-14.947883372135301</v>
      </c>
      <c r="H120" s="58">
        <f t="shared" si="65"/>
        <v>33.584172155099296</v>
      </c>
      <c r="I120" s="58">
        <f t="shared" si="65"/>
        <v>22.568071267672856</v>
      </c>
      <c r="J120" s="58">
        <f t="shared" si="65"/>
        <v>-0.82206137589340134</v>
      </c>
      <c r="K120" s="56">
        <f t="shared" si="65"/>
        <v>3.7984468567444369</v>
      </c>
      <c r="L120" s="19"/>
      <c r="M120" s="19"/>
      <c r="N120" s="19"/>
      <c r="O120" s="22"/>
      <c r="P120" s="19"/>
      <c r="Q120" s="19"/>
      <c r="R120" s="19"/>
      <c r="S120" s="19"/>
      <c r="T120" s="19"/>
    </row>
    <row r="121" spans="1:43" x14ac:dyDescent="0.25">
      <c r="A121" s="17">
        <f t="shared" si="52"/>
        <v>2007</v>
      </c>
      <c r="B121" s="58">
        <f t="shared" si="53"/>
        <v>33.158964821368933</v>
      </c>
      <c r="C121" s="58">
        <f t="shared" si="55"/>
        <v>-18.801055012062552</v>
      </c>
      <c r="D121" s="58">
        <f t="shared" ref="D121:J121" si="66">$C$106*D89</f>
        <v>0.83523233297323163</v>
      </c>
      <c r="E121" s="58">
        <f t="shared" si="66"/>
        <v>-20.175204051147137</v>
      </c>
      <c r="F121" s="58">
        <f t="shared" si="66"/>
        <v>-21.705007262892888</v>
      </c>
      <c r="G121" s="58">
        <f t="shared" si="66"/>
        <v>-5.5125726597193463</v>
      </c>
      <c r="H121" s="58">
        <f t="shared" si="66"/>
        <v>-12.809867456322129</v>
      </c>
      <c r="I121" s="58">
        <f t="shared" si="66"/>
        <v>12.662721926179298</v>
      </c>
      <c r="J121" s="56">
        <f t="shared" si="66"/>
        <v>62.256678655722858</v>
      </c>
      <c r="K121" s="19"/>
      <c r="L121" s="19"/>
      <c r="M121" s="19"/>
      <c r="N121" s="19"/>
      <c r="O121" s="19"/>
      <c r="P121" s="19"/>
      <c r="Q121" s="19"/>
      <c r="R121" s="19"/>
      <c r="S121" s="19"/>
      <c r="T121" s="19"/>
    </row>
    <row r="122" spans="1:43" x14ac:dyDescent="0.25">
      <c r="A122" s="17">
        <f t="shared" si="52"/>
        <v>2008</v>
      </c>
      <c r="B122" s="58">
        <f t="shared" si="53"/>
        <v>0.78657516236298275</v>
      </c>
      <c r="C122" s="58">
        <f t="shared" si="55"/>
        <v>-20.063973127446921</v>
      </c>
      <c r="D122" s="58">
        <f t="shared" ref="D122:I122" si="67">$C$106*D90</f>
        <v>46.1647618681911</v>
      </c>
      <c r="E122" s="58">
        <f t="shared" si="67"/>
        <v>-17.607748056822548</v>
      </c>
      <c r="F122" s="58">
        <f t="shared" si="67"/>
        <v>26.709963589915652</v>
      </c>
      <c r="G122" s="58">
        <f t="shared" si="67"/>
        <v>18.830462671019774</v>
      </c>
      <c r="H122" s="58">
        <f t="shared" si="67"/>
        <v>-18.83254869881268</v>
      </c>
      <c r="I122" s="56">
        <f t="shared" si="67"/>
        <v>-65.519909711900027</v>
      </c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</row>
    <row r="123" spans="1:43" x14ac:dyDescent="0.25">
      <c r="A123" s="17">
        <f t="shared" si="52"/>
        <v>2009</v>
      </c>
      <c r="B123" s="58">
        <f t="shared" si="53"/>
        <v>-46.291068509303898</v>
      </c>
      <c r="C123" s="58">
        <f t="shared" si="55"/>
        <v>-11.201785392104728</v>
      </c>
      <c r="D123" s="58">
        <f>$C$106*D91</f>
        <v>-22.860551376119638</v>
      </c>
      <c r="E123" s="58">
        <f>$C$106*E91</f>
        <v>24.731227427704539</v>
      </c>
      <c r="F123" s="58">
        <f>$C$106*F91</f>
        <v>105.4680532853276</v>
      </c>
      <c r="G123" s="58">
        <f>$C$106*G91</f>
        <v>-0.63388960612695444</v>
      </c>
      <c r="H123" s="58">
        <f>$C$106*H91</f>
        <v>3.9685832323639403</v>
      </c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</row>
    <row r="124" spans="1:43" x14ac:dyDescent="0.25">
      <c r="A124" s="17">
        <f t="shared" si="52"/>
        <v>2010</v>
      </c>
      <c r="B124" s="58">
        <f t="shared" si="53"/>
        <v>-6.9831873647227152</v>
      </c>
      <c r="C124" s="58">
        <f t="shared" si="55"/>
        <v>-7.3228508885729573</v>
      </c>
      <c r="D124" s="58">
        <f>$C$106*D92</f>
        <v>4.1153255441882447E-2</v>
      </c>
      <c r="E124" s="58">
        <f>$C$106*E92</f>
        <v>20.961390985875084</v>
      </c>
      <c r="F124" s="58">
        <f>$C$106*F92</f>
        <v>-0.28601525327426436</v>
      </c>
      <c r="G124" s="58">
        <f>$C$106*G92</f>
        <v>1.3346571901768751</v>
      </c>
      <c r="H124" s="21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</row>
    <row r="125" spans="1:43" x14ac:dyDescent="0.25">
      <c r="A125" s="17">
        <f t="shared" si="52"/>
        <v>2011</v>
      </c>
      <c r="B125" s="58">
        <f t="shared" si="53"/>
        <v>-6.5404125723898652</v>
      </c>
      <c r="C125" s="58">
        <f t="shared" si="55"/>
        <v>7.9522300482742292</v>
      </c>
      <c r="D125" s="58">
        <f>$C$106*D93</f>
        <v>9.8558088554357877</v>
      </c>
      <c r="E125" s="58">
        <f>$C$106*E93</f>
        <v>-26.917653113958643</v>
      </c>
      <c r="F125" s="58">
        <f>$C$106*F93</f>
        <v>13.091105946156775</v>
      </c>
      <c r="G125" s="21"/>
      <c r="H125" s="21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</row>
    <row r="126" spans="1:43" x14ac:dyDescent="0.25">
      <c r="A126" s="17">
        <f t="shared" si="52"/>
        <v>2012</v>
      </c>
      <c r="B126" s="58">
        <f t="shared" si="53"/>
        <v>13.494622574523481</v>
      </c>
      <c r="C126" s="58">
        <f t="shared" si="55"/>
        <v>4.2319284469202403</v>
      </c>
      <c r="D126" s="58">
        <f>$C$106*D94</f>
        <v>-6.3802244249977198</v>
      </c>
      <c r="E126" s="58">
        <f>$C$106*E94</f>
        <v>-17.594223842038069</v>
      </c>
      <c r="F126" s="21"/>
      <c r="G126" s="21"/>
      <c r="H126" s="21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</row>
    <row r="127" spans="1:43" x14ac:dyDescent="0.25">
      <c r="A127" s="17">
        <f t="shared" si="52"/>
        <v>2013</v>
      </c>
      <c r="B127" s="58">
        <f t="shared" si="53"/>
        <v>35.976300612696718</v>
      </c>
      <c r="C127" s="58">
        <f t="shared" si="55"/>
        <v>-3.645359550353314</v>
      </c>
      <c r="D127" s="58">
        <f>$C$106*D95</f>
        <v>-34.804417488019475</v>
      </c>
      <c r="E127" s="21"/>
      <c r="F127" s="21"/>
      <c r="G127" s="21"/>
      <c r="H127" s="21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</row>
    <row r="128" spans="1:43" x14ac:dyDescent="0.25">
      <c r="A128" s="17">
        <f t="shared" si="52"/>
        <v>2014</v>
      </c>
      <c r="B128" s="58">
        <f t="shared" si="53"/>
        <v>-13.043418049602122</v>
      </c>
      <c r="C128" s="58">
        <f t="shared" si="55"/>
        <v>11.052620321568957</v>
      </c>
      <c r="D128" s="21"/>
      <c r="E128" s="21"/>
      <c r="F128" s="21"/>
      <c r="G128" s="21"/>
      <c r="H128" s="21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</row>
    <row r="129" spans="1:43" x14ac:dyDescent="0.25">
      <c r="A129" s="17"/>
      <c r="B129" s="55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</row>
    <row r="130" spans="1:43" x14ac:dyDescent="0.25">
      <c r="A130" s="17" t="s">
        <v>142</v>
      </c>
      <c r="B130" s="55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</row>
    <row r="131" spans="1:43" x14ac:dyDescent="0.25">
      <c r="A131" s="17">
        <f t="shared" ref="A131:A150" si="68">A9</f>
        <v>1996</v>
      </c>
      <c r="B131" s="109">
        <f ca="1">'Incurred Bootstrap'!B131</f>
        <v>8</v>
      </c>
      <c r="C131" s="109">
        <f ca="1">'Incurred Bootstrap'!C131</f>
        <v>59</v>
      </c>
      <c r="D131" s="109">
        <f ca="1">'Incurred Bootstrap'!D131</f>
        <v>129</v>
      </c>
      <c r="E131" s="109">
        <f ca="1">'Incurred Bootstrap'!E131</f>
        <v>112</v>
      </c>
      <c r="F131" s="109">
        <f ca="1">'Incurred Bootstrap'!F131</f>
        <v>169</v>
      </c>
      <c r="G131" s="109">
        <f ca="1">'Incurred Bootstrap'!G131</f>
        <v>26</v>
      </c>
      <c r="H131" s="109">
        <f ca="1">'Incurred Bootstrap'!H131</f>
        <v>111</v>
      </c>
      <c r="I131" s="109">
        <f ca="1">'Incurred Bootstrap'!I131</f>
        <v>109</v>
      </c>
      <c r="J131" s="109">
        <f ca="1">'Incurred Bootstrap'!J131</f>
        <v>167</v>
      </c>
      <c r="K131" s="109">
        <f ca="1">'Incurred Bootstrap'!K131</f>
        <v>202</v>
      </c>
      <c r="L131" s="109">
        <f ca="1">'Incurred Bootstrap'!L131</f>
        <v>136</v>
      </c>
      <c r="M131" s="109">
        <f ca="1">'Incurred Bootstrap'!M131</f>
        <v>106</v>
      </c>
      <c r="N131" s="109">
        <f ca="1">'Incurred Bootstrap'!N131</f>
        <v>9</v>
      </c>
      <c r="O131" s="109">
        <f ca="1">'Incurred Bootstrap'!O131</f>
        <v>83</v>
      </c>
      <c r="P131" s="109">
        <f ca="1">'Incurred Bootstrap'!P131</f>
        <v>70</v>
      </c>
      <c r="Q131" s="109">
        <f ca="1">'Incurred Bootstrap'!Q131</f>
        <v>40</v>
      </c>
      <c r="R131" s="109">
        <f ca="1">'Incurred Bootstrap'!R131</f>
        <v>36</v>
      </c>
      <c r="S131" s="109">
        <f ca="1">'Incurred Bootstrap'!S131</f>
        <v>31</v>
      </c>
      <c r="T131" s="109">
        <f ca="1">'Incurred Bootstrap'!T131</f>
        <v>201</v>
      </c>
      <c r="U131" s="109">
        <f ca="1">'Incurred Bootstrap'!U131</f>
        <v>42</v>
      </c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7"/>
      <c r="AQ131" s="7"/>
    </row>
    <row r="132" spans="1:43" x14ac:dyDescent="0.25">
      <c r="A132" s="17">
        <f t="shared" si="68"/>
        <v>1997</v>
      </c>
      <c r="B132" s="109">
        <f ca="1">'Incurred Bootstrap'!B132</f>
        <v>62</v>
      </c>
      <c r="C132" s="109">
        <f ca="1">'Incurred Bootstrap'!C132</f>
        <v>197</v>
      </c>
      <c r="D132" s="109">
        <f ca="1">'Incurred Bootstrap'!D132</f>
        <v>162</v>
      </c>
      <c r="E132" s="109">
        <f ca="1">'Incurred Bootstrap'!E132</f>
        <v>74</v>
      </c>
      <c r="F132" s="109">
        <f ca="1">'Incurred Bootstrap'!F132</f>
        <v>2</v>
      </c>
      <c r="G132" s="109">
        <f ca="1">'Incurred Bootstrap'!G132</f>
        <v>204</v>
      </c>
      <c r="H132" s="109">
        <f ca="1">'Incurred Bootstrap'!H132</f>
        <v>65</v>
      </c>
      <c r="I132" s="109">
        <f ca="1">'Incurred Bootstrap'!I132</f>
        <v>136</v>
      </c>
      <c r="J132" s="109">
        <f ca="1">'Incurred Bootstrap'!J132</f>
        <v>110</v>
      </c>
      <c r="K132" s="109">
        <f ca="1">'Incurred Bootstrap'!K132</f>
        <v>43</v>
      </c>
      <c r="L132" s="109">
        <f ca="1">'Incurred Bootstrap'!L132</f>
        <v>7</v>
      </c>
      <c r="M132" s="109">
        <f ca="1">'Incurred Bootstrap'!M132</f>
        <v>126</v>
      </c>
      <c r="N132" s="109">
        <f ca="1">'Incurred Bootstrap'!N132</f>
        <v>74</v>
      </c>
      <c r="O132" s="109">
        <f ca="1">'Incurred Bootstrap'!O132</f>
        <v>61</v>
      </c>
      <c r="P132" s="109">
        <f ca="1">'Incurred Bootstrap'!P132</f>
        <v>38</v>
      </c>
      <c r="Q132" s="109">
        <f ca="1">'Incurred Bootstrap'!Q132</f>
        <v>72</v>
      </c>
      <c r="R132" s="109">
        <f ca="1">'Incurred Bootstrap'!R132</f>
        <v>91</v>
      </c>
      <c r="S132" s="109">
        <f ca="1">'Incurred Bootstrap'!S132</f>
        <v>21</v>
      </c>
      <c r="T132" s="109">
        <f ca="1">'Incurred Bootstrap'!T132</f>
        <v>133</v>
      </c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</row>
    <row r="133" spans="1:43" x14ac:dyDescent="0.25">
      <c r="A133" s="17">
        <f t="shared" si="68"/>
        <v>1998</v>
      </c>
      <c r="B133" s="109">
        <f ca="1">'Incurred Bootstrap'!B133</f>
        <v>103</v>
      </c>
      <c r="C133" s="109">
        <f ca="1">'Incurred Bootstrap'!C133</f>
        <v>64</v>
      </c>
      <c r="D133" s="109">
        <f ca="1">'Incurred Bootstrap'!D133</f>
        <v>42</v>
      </c>
      <c r="E133" s="109">
        <f ca="1">'Incurred Bootstrap'!E133</f>
        <v>50</v>
      </c>
      <c r="F133" s="109">
        <f ca="1">'Incurred Bootstrap'!F133</f>
        <v>56</v>
      </c>
      <c r="G133" s="109">
        <f ca="1">'Incurred Bootstrap'!G133</f>
        <v>73</v>
      </c>
      <c r="H133" s="109">
        <f ca="1">'Incurred Bootstrap'!H133</f>
        <v>11</v>
      </c>
      <c r="I133" s="109">
        <f ca="1">'Incurred Bootstrap'!I133</f>
        <v>21</v>
      </c>
      <c r="J133" s="109">
        <f ca="1">'Incurred Bootstrap'!J133</f>
        <v>130</v>
      </c>
      <c r="K133" s="109">
        <f ca="1">'Incurred Bootstrap'!K133</f>
        <v>171</v>
      </c>
      <c r="L133" s="109">
        <f ca="1">'Incurred Bootstrap'!L133</f>
        <v>6</v>
      </c>
      <c r="M133" s="109">
        <f ca="1">'Incurred Bootstrap'!M133</f>
        <v>174</v>
      </c>
      <c r="N133" s="109">
        <f ca="1">'Incurred Bootstrap'!N133</f>
        <v>61</v>
      </c>
      <c r="O133" s="109">
        <f ca="1">'Incurred Bootstrap'!O133</f>
        <v>135</v>
      </c>
      <c r="P133" s="109">
        <f ca="1">'Incurred Bootstrap'!P133</f>
        <v>164</v>
      </c>
      <c r="Q133" s="109">
        <f ca="1">'Incurred Bootstrap'!Q133</f>
        <v>192</v>
      </c>
      <c r="R133" s="109">
        <f ca="1">'Incurred Bootstrap'!R133</f>
        <v>142</v>
      </c>
      <c r="S133" s="109">
        <f ca="1">'Incurred Bootstrap'!S133</f>
        <v>170</v>
      </c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</row>
    <row r="134" spans="1:43" x14ac:dyDescent="0.25">
      <c r="A134" s="17">
        <f t="shared" si="68"/>
        <v>1999</v>
      </c>
      <c r="B134" s="109">
        <f ca="1">'Incurred Bootstrap'!B134</f>
        <v>154</v>
      </c>
      <c r="C134" s="109">
        <f ca="1">'Incurred Bootstrap'!C134</f>
        <v>87</v>
      </c>
      <c r="D134" s="109">
        <f ca="1">'Incurred Bootstrap'!D134</f>
        <v>198</v>
      </c>
      <c r="E134" s="109">
        <f ca="1">'Incurred Bootstrap'!E134</f>
        <v>193</v>
      </c>
      <c r="F134" s="109">
        <f ca="1">'Incurred Bootstrap'!F134</f>
        <v>145</v>
      </c>
      <c r="G134" s="109">
        <f ca="1">'Incurred Bootstrap'!G134</f>
        <v>50</v>
      </c>
      <c r="H134" s="109">
        <f ca="1">'Incurred Bootstrap'!H134</f>
        <v>204</v>
      </c>
      <c r="I134" s="109">
        <f ca="1">'Incurred Bootstrap'!I134</f>
        <v>150</v>
      </c>
      <c r="J134" s="109">
        <f ca="1">'Incurred Bootstrap'!J134</f>
        <v>172</v>
      </c>
      <c r="K134" s="109">
        <f ca="1">'Incurred Bootstrap'!K134</f>
        <v>110</v>
      </c>
      <c r="L134" s="109">
        <f ca="1">'Incurred Bootstrap'!L134</f>
        <v>187</v>
      </c>
      <c r="M134" s="109">
        <f ca="1">'Incurred Bootstrap'!M134</f>
        <v>167</v>
      </c>
      <c r="N134" s="109">
        <f ca="1">'Incurred Bootstrap'!N134</f>
        <v>1</v>
      </c>
      <c r="O134" s="109">
        <f ca="1">'Incurred Bootstrap'!O134</f>
        <v>14</v>
      </c>
      <c r="P134" s="109">
        <f ca="1">'Incurred Bootstrap'!P134</f>
        <v>51</v>
      </c>
      <c r="Q134" s="109">
        <f ca="1">'Incurred Bootstrap'!Q134</f>
        <v>30</v>
      </c>
      <c r="R134" s="109">
        <f ca="1">'Incurred Bootstrap'!R134</f>
        <v>51</v>
      </c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</row>
    <row r="135" spans="1:43" x14ac:dyDescent="0.25">
      <c r="A135" s="17">
        <f t="shared" si="68"/>
        <v>2000</v>
      </c>
      <c r="B135" s="109">
        <f ca="1">'Incurred Bootstrap'!B135</f>
        <v>3</v>
      </c>
      <c r="C135" s="109">
        <f ca="1">'Incurred Bootstrap'!C135</f>
        <v>67</v>
      </c>
      <c r="D135" s="109">
        <f ca="1">'Incurred Bootstrap'!D135</f>
        <v>124</v>
      </c>
      <c r="E135" s="109">
        <f ca="1">'Incurred Bootstrap'!E135</f>
        <v>72</v>
      </c>
      <c r="F135" s="109">
        <f ca="1">'Incurred Bootstrap'!F135</f>
        <v>79</v>
      </c>
      <c r="G135" s="109">
        <f ca="1">'Incurred Bootstrap'!G135</f>
        <v>15</v>
      </c>
      <c r="H135" s="109">
        <f ca="1">'Incurred Bootstrap'!H135</f>
        <v>169</v>
      </c>
      <c r="I135" s="109">
        <f ca="1">'Incurred Bootstrap'!I135</f>
        <v>73</v>
      </c>
      <c r="J135" s="109">
        <f ca="1">'Incurred Bootstrap'!J135</f>
        <v>164</v>
      </c>
      <c r="K135" s="109">
        <f ca="1">'Incurred Bootstrap'!K135</f>
        <v>53</v>
      </c>
      <c r="L135" s="109">
        <f ca="1">'Incurred Bootstrap'!L135</f>
        <v>204</v>
      </c>
      <c r="M135" s="109">
        <f ca="1">'Incurred Bootstrap'!M135</f>
        <v>207</v>
      </c>
      <c r="N135" s="109">
        <f ca="1">'Incurred Bootstrap'!N135</f>
        <v>186</v>
      </c>
      <c r="O135" s="109">
        <f ca="1">'Incurred Bootstrap'!O135</f>
        <v>116</v>
      </c>
      <c r="P135" s="109">
        <f ca="1">'Incurred Bootstrap'!P135</f>
        <v>132</v>
      </c>
      <c r="Q135" s="109">
        <f ca="1">'Incurred Bootstrap'!Q135</f>
        <v>74</v>
      </c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</row>
    <row r="136" spans="1:43" x14ac:dyDescent="0.25">
      <c r="A136" s="17">
        <f t="shared" si="68"/>
        <v>2001</v>
      </c>
      <c r="B136" s="109">
        <f ca="1">'Incurred Bootstrap'!B136</f>
        <v>99</v>
      </c>
      <c r="C136" s="109">
        <f ca="1">'Incurred Bootstrap'!C136</f>
        <v>132</v>
      </c>
      <c r="D136" s="109">
        <f ca="1">'Incurred Bootstrap'!D136</f>
        <v>6</v>
      </c>
      <c r="E136" s="109">
        <f ca="1">'Incurred Bootstrap'!E136</f>
        <v>3</v>
      </c>
      <c r="F136" s="109">
        <f ca="1">'Incurred Bootstrap'!F136</f>
        <v>101</v>
      </c>
      <c r="G136" s="109">
        <f ca="1">'Incurred Bootstrap'!G136</f>
        <v>137</v>
      </c>
      <c r="H136" s="109">
        <f ca="1">'Incurred Bootstrap'!H136</f>
        <v>188</v>
      </c>
      <c r="I136" s="109">
        <f ca="1">'Incurred Bootstrap'!I136</f>
        <v>69</v>
      </c>
      <c r="J136" s="109">
        <f ca="1">'Incurred Bootstrap'!J136</f>
        <v>34</v>
      </c>
      <c r="K136" s="109">
        <f ca="1">'Incurred Bootstrap'!K136</f>
        <v>207</v>
      </c>
      <c r="L136" s="109">
        <f ca="1">'Incurred Bootstrap'!L136</f>
        <v>195</v>
      </c>
      <c r="M136" s="109">
        <f ca="1">'Incurred Bootstrap'!M136</f>
        <v>24</v>
      </c>
      <c r="N136" s="109">
        <f ca="1">'Incurred Bootstrap'!N136</f>
        <v>136</v>
      </c>
      <c r="O136" s="109">
        <f ca="1">'Incurred Bootstrap'!O136</f>
        <v>161</v>
      </c>
      <c r="P136" s="109">
        <f ca="1">'Incurred Bootstrap'!P136</f>
        <v>5</v>
      </c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</row>
    <row r="137" spans="1:43" x14ac:dyDescent="0.25">
      <c r="A137" s="17">
        <f t="shared" si="68"/>
        <v>2002</v>
      </c>
      <c r="B137" s="109">
        <f ca="1">'Incurred Bootstrap'!B137</f>
        <v>47</v>
      </c>
      <c r="C137" s="109">
        <f ca="1">'Incurred Bootstrap'!C137</f>
        <v>74</v>
      </c>
      <c r="D137" s="109">
        <f ca="1">'Incurred Bootstrap'!D137</f>
        <v>115</v>
      </c>
      <c r="E137" s="109">
        <f ca="1">'Incurred Bootstrap'!E137</f>
        <v>59</v>
      </c>
      <c r="F137" s="109">
        <f ca="1">'Incurred Bootstrap'!F137</f>
        <v>173</v>
      </c>
      <c r="G137" s="109">
        <f ca="1">'Incurred Bootstrap'!G137</f>
        <v>157</v>
      </c>
      <c r="H137" s="109">
        <f ca="1">'Incurred Bootstrap'!H137</f>
        <v>172</v>
      </c>
      <c r="I137" s="109">
        <f ca="1">'Incurred Bootstrap'!I137</f>
        <v>204</v>
      </c>
      <c r="J137" s="109">
        <f ca="1">'Incurred Bootstrap'!J137</f>
        <v>67</v>
      </c>
      <c r="K137" s="109">
        <f ca="1">'Incurred Bootstrap'!K137</f>
        <v>85</v>
      </c>
      <c r="L137" s="109">
        <f ca="1">'Incurred Bootstrap'!L137</f>
        <v>58</v>
      </c>
      <c r="M137" s="109">
        <f ca="1">'Incurred Bootstrap'!M137</f>
        <v>108</v>
      </c>
      <c r="N137" s="109">
        <f ca="1">'Incurred Bootstrap'!N137</f>
        <v>131</v>
      </c>
      <c r="O137" s="109">
        <f ca="1">'Incurred Bootstrap'!O137</f>
        <v>65</v>
      </c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</row>
    <row r="138" spans="1:43" x14ac:dyDescent="0.25">
      <c r="A138" s="17">
        <f t="shared" si="68"/>
        <v>2003</v>
      </c>
      <c r="B138" s="109">
        <f ca="1">'Incurred Bootstrap'!B138</f>
        <v>165</v>
      </c>
      <c r="C138" s="109">
        <f ca="1">'Incurred Bootstrap'!C138</f>
        <v>113</v>
      </c>
      <c r="D138" s="109">
        <f ca="1">'Incurred Bootstrap'!D138</f>
        <v>96</v>
      </c>
      <c r="E138" s="109">
        <f ca="1">'Incurred Bootstrap'!E138</f>
        <v>127</v>
      </c>
      <c r="F138" s="109">
        <f ca="1">'Incurred Bootstrap'!F138</f>
        <v>123</v>
      </c>
      <c r="G138" s="109">
        <f ca="1">'Incurred Bootstrap'!G138</f>
        <v>175</v>
      </c>
      <c r="H138" s="109">
        <f ca="1">'Incurred Bootstrap'!H138</f>
        <v>142</v>
      </c>
      <c r="I138" s="109">
        <f ca="1">'Incurred Bootstrap'!I138</f>
        <v>87</v>
      </c>
      <c r="J138" s="109">
        <f ca="1">'Incurred Bootstrap'!J138</f>
        <v>158</v>
      </c>
      <c r="K138" s="109">
        <f ca="1">'Incurred Bootstrap'!K138</f>
        <v>23</v>
      </c>
      <c r="L138" s="109">
        <f ca="1">'Incurred Bootstrap'!L138</f>
        <v>54</v>
      </c>
      <c r="M138" s="109">
        <f ca="1">'Incurred Bootstrap'!M138</f>
        <v>96</v>
      </c>
      <c r="N138" s="109">
        <f ca="1">'Incurred Bootstrap'!N138</f>
        <v>98</v>
      </c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</row>
    <row r="139" spans="1:43" x14ac:dyDescent="0.25">
      <c r="A139" s="17">
        <f t="shared" si="68"/>
        <v>2004</v>
      </c>
      <c r="B139" s="109">
        <f ca="1">'Incurred Bootstrap'!B139</f>
        <v>65</v>
      </c>
      <c r="C139" s="109">
        <f ca="1">'Incurred Bootstrap'!C139</f>
        <v>103</v>
      </c>
      <c r="D139" s="109">
        <f ca="1">'Incurred Bootstrap'!D139</f>
        <v>77</v>
      </c>
      <c r="E139" s="109">
        <f ca="1">'Incurred Bootstrap'!E139</f>
        <v>175</v>
      </c>
      <c r="F139" s="109">
        <f ca="1">'Incurred Bootstrap'!F139</f>
        <v>130</v>
      </c>
      <c r="G139" s="109">
        <f ca="1">'Incurred Bootstrap'!G139</f>
        <v>152</v>
      </c>
      <c r="H139" s="109">
        <f ca="1">'Incurred Bootstrap'!H139</f>
        <v>176</v>
      </c>
      <c r="I139" s="109">
        <f ca="1">'Incurred Bootstrap'!I139</f>
        <v>92</v>
      </c>
      <c r="J139" s="109">
        <f ca="1">'Incurred Bootstrap'!J139</f>
        <v>171</v>
      </c>
      <c r="K139" s="109">
        <f ca="1">'Incurred Bootstrap'!K139</f>
        <v>14</v>
      </c>
      <c r="L139" s="109">
        <f ca="1">'Incurred Bootstrap'!L139</f>
        <v>121</v>
      </c>
      <c r="M139" s="109">
        <f ca="1">'Incurred Bootstrap'!M139</f>
        <v>110</v>
      </c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</row>
    <row r="140" spans="1:43" x14ac:dyDescent="0.25">
      <c r="A140" s="17">
        <f t="shared" si="68"/>
        <v>2005</v>
      </c>
      <c r="B140" s="109">
        <f ca="1">'Incurred Bootstrap'!B140</f>
        <v>21</v>
      </c>
      <c r="C140" s="109">
        <f ca="1">'Incurred Bootstrap'!C140</f>
        <v>57</v>
      </c>
      <c r="D140" s="109">
        <f ca="1">'Incurred Bootstrap'!D140</f>
        <v>97</v>
      </c>
      <c r="E140" s="109">
        <f ca="1">'Incurred Bootstrap'!E140</f>
        <v>139</v>
      </c>
      <c r="F140" s="109">
        <f ca="1">'Incurred Bootstrap'!F140</f>
        <v>93</v>
      </c>
      <c r="G140" s="109">
        <f ca="1">'Incurred Bootstrap'!G140</f>
        <v>39</v>
      </c>
      <c r="H140" s="109">
        <f ca="1">'Incurred Bootstrap'!H140</f>
        <v>184</v>
      </c>
      <c r="I140" s="109">
        <f ca="1">'Incurred Bootstrap'!I140</f>
        <v>153</v>
      </c>
      <c r="J140" s="109">
        <f ca="1">'Incurred Bootstrap'!J140</f>
        <v>179</v>
      </c>
      <c r="K140" s="109">
        <f ca="1">'Incurred Bootstrap'!K140</f>
        <v>108</v>
      </c>
      <c r="L140" s="109">
        <f ca="1">'Incurred Bootstrap'!L140</f>
        <v>74</v>
      </c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</row>
    <row r="141" spans="1:43" x14ac:dyDescent="0.25">
      <c r="A141" s="17">
        <f t="shared" si="68"/>
        <v>2006</v>
      </c>
      <c r="B141" s="109">
        <f ca="1">'Incurred Bootstrap'!B141</f>
        <v>72</v>
      </c>
      <c r="C141" s="109">
        <f ca="1">'Incurred Bootstrap'!C141</f>
        <v>15</v>
      </c>
      <c r="D141" s="109">
        <f ca="1">'Incurred Bootstrap'!D141</f>
        <v>18</v>
      </c>
      <c r="E141" s="109">
        <f ca="1">'Incurred Bootstrap'!E141</f>
        <v>51</v>
      </c>
      <c r="F141" s="109">
        <f ca="1">'Incurred Bootstrap'!F141</f>
        <v>48</v>
      </c>
      <c r="G141" s="109">
        <f ca="1">'Incurred Bootstrap'!G141</f>
        <v>54</v>
      </c>
      <c r="H141" s="109">
        <f ca="1">'Incurred Bootstrap'!H141</f>
        <v>70</v>
      </c>
      <c r="I141" s="109">
        <f ca="1">'Incurred Bootstrap'!I141</f>
        <v>141</v>
      </c>
      <c r="J141" s="109">
        <f ca="1">'Incurred Bootstrap'!J141</f>
        <v>123</v>
      </c>
      <c r="K141" s="109">
        <f ca="1">'Incurred Bootstrap'!K141</f>
        <v>48</v>
      </c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</row>
    <row r="142" spans="1:43" x14ac:dyDescent="0.25">
      <c r="A142" s="17">
        <f t="shared" si="68"/>
        <v>2007</v>
      </c>
      <c r="B142" s="109">
        <f ca="1">'Incurred Bootstrap'!B142</f>
        <v>95</v>
      </c>
      <c r="C142" s="109">
        <f ca="1">'Incurred Bootstrap'!C142</f>
        <v>122</v>
      </c>
      <c r="D142" s="109">
        <f ca="1">'Incurred Bootstrap'!D142</f>
        <v>79</v>
      </c>
      <c r="E142" s="109">
        <f ca="1">'Incurred Bootstrap'!E142</f>
        <v>92</v>
      </c>
      <c r="F142" s="109">
        <f ca="1">'Incurred Bootstrap'!F142</f>
        <v>152</v>
      </c>
      <c r="G142" s="109">
        <f ca="1">'Incurred Bootstrap'!G142</f>
        <v>72</v>
      </c>
      <c r="H142" s="109">
        <f ca="1">'Incurred Bootstrap'!H142</f>
        <v>167</v>
      </c>
      <c r="I142" s="109">
        <f ca="1">'Incurred Bootstrap'!I142</f>
        <v>112</v>
      </c>
      <c r="J142" s="109">
        <f ca="1">'Incurred Bootstrap'!J142</f>
        <v>192</v>
      </c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</row>
    <row r="143" spans="1:43" x14ac:dyDescent="0.25">
      <c r="A143" s="17">
        <f t="shared" si="68"/>
        <v>2008</v>
      </c>
      <c r="B143" s="109">
        <f ca="1">'Incurred Bootstrap'!B143</f>
        <v>1</v>
      </c>
      <c r="C143" s="109">
        <f ca="1">'Incurred Bootstrap'!C143</f>
        <v>138</v>
      </c>
      <c r="D143" s="109">
        <f ca="1">'Incurred Bootstrap'!D143</f>
        <v>162</v>
      </c>
      <c r="E143" s="109">
        <f ca="1">'Incurred Bootstrap'!E143</f>
        <v>176</v>
      </c>
      <c r="F143" s="109">
        <f ca="1">'Incurred Bootstrap'!F143</f>
        <v>168</v>
      </c>
      <c r="G143" s="109">
        <f ca="1">'Incurred Bootstrap'!G143</f>
        <v>78</v>
      </c>
      <c r="H143" s="109">
        <f ca="1">'Incurred Bootstrap'!H143</f>
        <v>38</v>
      </c>
      <c r="I143" s="109">
        <f ca="1">'Incurred Bootstrap'!I143</f>
        <v>173</v>
      </c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</row>
    <row r="144" spans="1:43" x14ac:dyDescent="0.25">
      <c r="A144" s="17">
        <f t="shared" si="68"/>
        <v>2009</v>
      </c>
      <c r="B144" s="109">
        <f ca="1">'Incurred Bootstrap'!B144</f>
        <v>122</v>
      </c>
      <c r="C144" s="109">
        <f ca="1">'Incurred Bootstrap'!C144</f>
        <v>124</v>
      </c>
      <c r="D144" s="109">
        <f ca="1">'Incurred Bootstrap'!D144</f>
        <v>44</v>
      </c>
      <c r="E144" s="109">
        <f ca="1">'Incurred Bootstrap'!E144</f>
        <v>71</v>
      </c>
      <c r="F144" s="109">
        <f ca="1">'Incurred Bootstrap'!F144</f>
        <v>200</v>
      </c>
      <c r="G144" s="109">
        <f ca="1">'Incurred Bootstrap'!G144</f>
        <v>30</v>
      </c>
      <c r="H144" s="109">
        <f ca="1">'Incurred Bootstrap'!H144</f>
        <v>193</v>
      </c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</row>
    <row r="145" spans="1:43" x14ac:dyDescent="0.25">
      <c r="A145" s="17">
        <f t="shared" si="68"/>
        <v>2010</v>
      </c>
      <c r="B145" s="109">
        <f ca="1">'Incurred Bootstrap'!B145</f>
        <v>184</v>
      </c>
      <c r="C145" s="109">
        <f ca="1">'Incurred Bootstrap'!C145</f>
        <v>112</v>
      </c>
      <c r="D145" s="109">
        <f ca="1">'Incurred Bootstrap'!D145</f>
        <v>168</v>
      </c>
      <c r="E145" s="109">
        <f ca="1">'Incurred Bootstrap'!E145</f>
        <v>142</v>
      </c>
      <c r="F145" s="109">
        <f ca="1">'Incurred Bootstrap'!F145</f>
        <v>198</v>
      </c>
      <c r="G145" s="109">
        <f ca="1">'Incurred Bootstrap'!G145</f>
        <v>159</v>
      </c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</row>
    <row r="146" spans="1:43" x14ac:dyDescent="0.25">
      <c r="A146" s="17">
        <f t="shared" si="68"/>
        <v>2011</v>
      </c>
      <c r="B146" s="109">
        <f ca="1">'Incurred Bootstrap'!B146</f>
        <v>76</v>
      </c>
      <c r="C146" s="109">
        <f ca="1">'Incurred Bootstrap'!C146</f>
        <v>87</v>
      </c>
      <c r="D146" s="109">
        <f ca="1">'Incurred Bootstrap'!D146</f>
        <v>127</v>
      </c>
      <c r="E146" s="109">
        <f ca="1">'Incurred Bootstrap'!E146</f>
        <v>103</v>
      </c>
      <c r="F146" s="109">
        <f ca="1">'Incurred Bootstrap'!F146</f>
        <v>54</v>
      </c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</row>
    <row r="147" spans="1:43" x14ac:dyDescent="0.25">
      <c r="A147" s="17">
        <f t="shared" si="68"/>
        <v>2012</v>
      </c>
      <c r="B147" s="109">
        <f ca="1">'Incurred Bootstrap'!B147</f>
        <v>18</v>
      </c>
      <c r="C147" s="109">
        <f ca="1">'Incurred Bootstrap'!C147</f>
        <v>46</v>
      </c>
      <c r="D147" s="109">
        <f ca="1">'Incurred Bootstrap'!D147</f>
        <v>125</v>
      </c>
      <c r="E147" s="109">
        <f ca="1">'Incurred Bootstrap'!E147</f>
        <v>126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</row>
    <row r="148" spans="1:43" x14ac:dyDescent="0.25">
      <c r="A148" s="17">
        <f t="shared" si="68"/>
        <v>2013</v>
      </c>
      <c r="B148" s="109">
        <f ca="1">'Incurred Bootstrap'!B148</f>
        <v>116</v>
      </c>
      <c r="C148" s="109">
        <f ca="1">'Incurred Bootstrap'!C148</f>
        <v>153</v>
      </c>
      <c r="D148" s="109">
        <f ca="1">'Incurred Bootstrap'!D148</f>
        <v>131</v>
      </c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</row>
    <row r="149" spans="1:43" x14ac:dyDescent="0.25">
      <c r="A149" s="17">
        <f t="shared" si="68"/>
        <v>2014</v>
      </c>
      <c r="B149" s="109">
        <f ca="1">'Incurred Bootstrap'!B149</f>
        <v>8</v>
      </c>
      <c r="C149" s="109">
        <f ca="1">'Incurred Bootstrap'!C149</f>
        <v>113</v>
      </c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</row>
    <row r="150" spans="1:43" x14ac:dyDescent="0.25">
      <c r="A150" s="17">
        <f t="shared" si="68"/>
        <v>2015</v>
      </c>
      <c r="B150" s="109">
        <f ca="1">'Incurred Bootstrap'!B150</f>
        <v>83</v>
      </c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</row>
    <row r="151" spans="1:43" x14ac:dyDescent="0.25">
      <c r="A151" s="17"/>
      <c r="B151" s="55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</row>
    <row r="152" spans="1:43" x14ac:dyDescent="0.25">
      <c r="A152" s="17" t="s">
        <v>119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  <c r="AK152" s="55"/>
      <c r="AL152" s="55"/>
      <c r="AM152" s="55"/>
      <c r="AN152" s="55"/>
      <c r="AO152" s="55"/>
      <c r="AP152" s="7"/>
      <c r="AQ152" s="7"/>
    </row>
    <row r="153" spans="1:43" x14ac:dyDescent="0.25">
      <c r="A153" s="17">
        <f t="shared" ref="A153:A172" si="69">A9</f>
        <v>1996</v>
      </c>
      <c r="B153" s="55">
        <f t="shared" ref="B153:U153" ca="1" si="70">INDEX($B$110:$T$128,MATCH(B131,Row.Breaks,TRUE),B131-VLOOKUP(B131,Row.Breaks,TRUE)+1)</f>
        <v>-7.4415162728890243</v>
      </c>
      <c r="C153" s="55">
        <f t="shared" ca="1" si="70"/>
        <v>-64.100787923812135</v>
      </c>
      <c r="D153" s="55">
        <f t="shared" ca="1" si="70"/>
        <v>17.477313554648781</v>
      </c>
      <c r="E153" s="55">
        <f t="shared" ca="1" si="70"/>
        <v>7.0178759133444348</v>
      </c>
      <c r="F153" s="55">
        <f t="shared" ca="1" si="70"/>
        <v>-5.5125726597193463</v>
      </c>
      <c r="G153" s="55">
        <f t="shared" ca="1" si="70"/>
        <v>-11.506032616820114</v>
      </c>
      <c r="H153" s="55">
        <f t="shared" ca="1" si="70"/>
        <v>-28.995963546516485</v>
      </c>
      <c r="I153" s="55">
        <f t="shared" ca="1" si="70"/>
        <v>-61.382453935525561</v>
      </c>
      <c r="J153" s="55">
        <f t="shared" ca="1" si="70"/>
        <v>-20.175204051147137</v>
      </c>
      <c r="K153" s="55">
        <f t="shared" ca="1" si="70"/>
        <v>-17.594223842038069</v>
      </c>
      <c r="L153" s="55">
        <f t="shared" ca="1" si="70"/>
        <v>-47.455539924783032</v>
      </c>
      <c r="M153" s="55">
        <f t="shared" ca="1" si="70"/>
        <v>60.438038180739561</v>
      </c>
      <c r="N153" s="55">
        <f t="shared" ca="1" si="70"/>
        <v>-4.5207966754015301</v>
      </c>
      <c r="O153" s="55">
        <f t="shared" ca="1" si="70"/>
        <v>52.526143640640697</v>
      </c>
      <c r="P153" s="55">
        <f t="shared" ca="1" si="70"/>
        <v>34.192526520137861</v>
      </c>
      <c r="Q153" s="55">
        <f t="shared" ca="1" si="70"/>
        <v>-20.361266051859811</v>
      </c>
      <c r="R153" s="55">
        <f t="shared" ca="1" si="70"/>
        <v>-10.622843424327566</v>
      </c>
      <c r="S153" s="55">
        <f t="shared" ca="1" si="70"/>
        <v>-31.011387308982556</v>
      </c>
      <c r="T153" s="55">
        <f t="shared" ca="1" si="70"/>
        <v>-6.3802244249977198</v>
      </c>
      <c r="U153" s="55">
        <f t="shared" ca="1" si="70"/>
        <v>16.053358726847897</v>
      </c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  <c r="AK153" s="55"/>
      <c r="AL153" s="55"/>
      <c r="AM153" s="55"/>
      <c r="AN153" s="55"/>
      <c r="AO153" s="55"/>
      <c r="AP153" s="7"/>
      <c r="AQ153" s="7"/>
    </row>
    <row r="154" spans="1:43" x14ac:dyDescent="0.25">
      <c r="A154" s="17">
        <f t="shared" si="69"/>
        <v>1997</v>
      </c>
      <c r="B154" s="55">
        <f t="shared" ref="B154:T154" ca="1" si="71">INDEX($B$110:$T$128,MATCH(B132,Row.Breaks,TRUE),B132-VLOOKUP(B132,Row.Breaks,TRUE)+1)</f>
        <v>34.819478576197476</v>
      </c>
      <c r="C154" s="55">
        <f t="shared" ca="1" si="71"/>
        <v>-26.917653113958643</v>
      </c>
      <c r="D154" s="55">
        <f t="shared" ca="1" si="71"/>
        <v>-0.82206137589340134</v>
      </c>
      <c r="E154" s="55">
        <f t="shared" ca="1" si="71"/>
        <v>20.269535495453756</v>
      </c>
      <c r="F154" s="55">
        <f t="shared" ca="1" si="71"/>
        <v>-51.260456256726982</v>
      </c>
      <c r="G154" s="55">
        <f t="shared" ca="1" si="71"/>
        <v>-3.645359550353314</v>
      </c>
      <c r="H154" s="55">
        <f t="shared" ca="1" si="71"/>
        <v>47.917692099326679</v>
      </c>
      <c r="I154" s="55">
        <f t="shared" ca="1" si="71"/>
        <v>-47.455539924783032</v>
      </c>
      <c r="J154" s="55">
        <f t="shared" ca="1" si="71"/>
        <v>34.372064092150104</v>
      </c>
      <c r="K154" s="55">
        <f t="shared" ca="1" si="71"/>
        <v>65.946523776299685</v>
      </c>
      <c r="L154" s="55">
        <f t="shared" ca="1" si="71"/>
        <v>4.4230003817355099</v>
      </c>
      <c r="M154" s="55">
        <f t="shared" ca="1" si="71"/>
        <v>7.8696292519411317</v>
      </c>
      <c r="N154" s="55">
        <f t="shared" ca="1" si="71"/>
        <v>20.269535495453756</v>
      </c>
      <c r="O154" s="55">
        <f t="shared" ca="1" si="71"/>
        <v>50.796428274200196</v>
      </c>
      <c r="P154" s="55">
        <f t="shared" ca="1" si="71"/>
        <v>-31.478349317296242</v>
      </c>
      <c r="Q154" s="55">
        <f t="shared" ca="1" si="71"/>
        <v>19.951319991565146</v>
      </c>
      <c r="R154" s="55">
        <f t="shared" ca="1" si="71"/>
        <v>74.280621425907967</v>
      </c>
      <c r="S154" s="55">
        <f t="shared" ca="1" si="71"/>
        <v>-81.728897197208155</v>
      </c>
      <c r="T154" s="55">
        <f t="shared" ca="1" si="71"/>
        <v>-20.802690585739636</v>
      </c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</row>
    <row r="155" spans="1:43" x14ac:dyDescent="0.25">
      <c r="A155" s="17">
        <f t="shared" si="69"/>
        <v>1998</v>
      </c>
      <c r="B155" s="55">
        <f t="shared" ref="B155:S155" ca="1" si="72">INDEX($B$110:$T$128,MATCH(B133,Row.Breaks,TRUE),B133-VLOOKUP(B133,Row.Breaks,TRUE)+1)</f>
        <v>-0.19101040995667029</v>
      </c>
      <c r="C155" s="55">
        <f t="shared" ca="1" si="72"/>
        <v>-51.565000060774565</v>
      </c>
      <c r="D155" s="55">
        <f t="shared" ca="1" si="72"/>
        <v>16.053358726847897</v>
      </c>
      <c r="E155" s="55">
        <f t="shared" ca="1" si="72"/>
        <v>-34.093804276960149</v>
      </c>
      <c r="F155" s="55">
        <f t="shared" ca="1" si="72"/>
        <v>-73.927668097074616</v>
      </c>
      <c r="G155" s="55">
        <f t="shared" ca="1" si="72"/>
        <v>-64.813225849967566</v>
      </c>
      <c r="H155" s="55">
        <f t="shared" ca="1" si="72"/>
        <v>41.622792271770287</v>
      </c>
      <c r="I155" s="55">
        <f t="shared" ca="1" si="72"/>
        <v>-81.728897197208155</v>
      </c>
      <c r="J155" s="55">
        <f t="shared" ca="1" si="72"/>
        <v>-33.05139206525849</v>
      </c>
      <c r="K155" s="55">
        <f t="shared" ca="1" si="72"/>
        <v>12.662721926179298</v>
      </c>
      <c r="L155" s="55">
        <f t="shared" ca="1" si="72"/>
        <v>-48.258095310937705</v>
      </c>
      <c r="M155" s="55">
        <f t="shared" ca="1" si="72"/>
        <v>-20.063973127446921</v>
      </c>
      <c r="N155" s="55">
        <f t="shared" ca="1" si="72"/>
        <v>50.796428274200196</v>
      </c>
      <c r="O155" s="55">
        <f t="shared" ca="1" si="72"/>
        <v>-55.040240565688826</v>
      </c>
      <c r="P155" s="55">
        <f t="shared" ca="1" si="72"/>
        <v>33.158964821368933</v>
      </c>
      <c r="Q155" s="55">
        <f t="shared" ca="1" si="72"/>
        <v>-0.28601525327426436</v>
      </c>
      <c r="R155" s="55">
        <f t="shared" ca="1" si="72"/>
        <v>64.005940844769867</v>
      </c>
      <c r="S155" s="55">
        <f t="shared" ca="1" si="72"/>
        <v>-12.809867456322129</v>
      </c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</row>
    <row r="156" spans="1:43" x14ac:dyDescent="0.25">
      <c r="A156" s="17">
        <f t="shared" si="69"/>
        <v>1999</v>
      </c>
      <c r="B156" s="55">
        <f t="shared" ref="B156:R156" ca="1" si="73">INDEX($B$110:$T$128,MATCH(B134,Row.Breaks,TRUE),B134-VLOOKUP(B134,Row.Breaks,TRUE)+1)</f>
        <v>9.3107975829427296</v>
      </c>
      <c r="C156" s="55">
        <f t="shared" ca="1" si="73"/>
        <v>-3.0002064578569705</v>
      </c>
      <c r="D156" s="55">
        <f t="shared" ca="1" si="73"/>
        <v>13.091105946156775</v>
      </c>
      <c r="E156" s="55">
        <f t="shared" ca="1" si="73"/>
        <v>1.3346571901768751</v>
      </c>
      <c r="F156" s="55">
        <f t="shared" ca="1" si="73"/>
        <v>-62.322990067311181</v>
      </c>
      <c r="G156" s="55">
        <f t="shared" ca="1" si="73"/>
        <v>-34.093804276960149</v>
      </c>
      <c r="H156" s="55">
        <f t="shared" ca="1" si="73"/>
        <v>-3.645359550353314</v>
      </c>
      <c r="I156" s="55">
        <f t="shared" ca="1" si="73"/>
        <v>-16.812741708580958</v>
      </c>
      <c r="J156" s="55">
        <f t="shared" ca="1" si="73"/>
        <v>62.256678655722858</v>
      </c>
      <c r="K156" s="55">
        <f t="shared" ca="1" si="73"/>
        <v>34.372064092150104</v>
      </c>
      <c r="L156" s="55">
        <f t="shared" ca="1" si="73"/>
        <v>3.9685832323639403</v>
      </c>
      <c r="M156" s="55">
        <f t="shared" ca="1" si="73"/>
        <v>-20.175204051147137</v>
      </c>
      <c r="N156" s="55">
        <f t="shared" ca="1" si="73"/>
        <v>-19.623910543363625</v>
      </c>
      <c r="O156" s="55">
        <f t="shared" ca="1" si="73"/>
        <v>3.3542905410285715</v>
      </c>
      <c r="P156" s="55">
        <f t="shared" ca="1" si="73"/>
        <v>-13.800317475062231</v>
      </c>
      <c r="Q156" s="55">
        <f t="shared" ca="1" si="73"/>
        <v>-5.0746873153126515</v>
      </c>
      <c r="R156" s="55">
        <f t="shared" ca="1" si="73"/>
        <v>-13.800317475062231</v>
      </c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</row>
    <row r="157" spans="1:43" x14ac:dyDescent="0.25">
      <c r="A157" s="17">
        <f t="shared" si="69"/>
        <v>2000</v>
      </c>
      <c r="B157" s="55">
        <f t="shared" ref="B157:Q157" ca="1" si="74">INDEX($B$110:$T$128,MATCH(B135,Row.Breaks,TRUE),B135-VLOOKUP(B135,Row.Breaks,TRUE)+1)</f>
        <v>-41.791221761214146</v>
      </c>
      <c r="C157" s="55">
        <f t="shared" ca="1" si="74"/>
        <v>-4.8410908583790908</v>
      </c>
      <c r="D157" s="55">
        <f t="shared" ca="1" si="74"/>
        <v>-46.848558160451773</v>
      </c>
      <c r="E157" s="55">
        <f t="shared" ca="1" si="74"/>
        <v>19.951319991565146</v>
      </c>
      <c r="F157" s="55">
        <f t="shared" ca="1" si="74"/>
        <v>15.886036983891529</v>
      </c>
      <c r="G157" s="55">
        <f t="shared" ca="1" si="74"/>
        <v>-14.746752963628246</v>
      </c>
      <c r="H157" s="55">
        <f t="shared" ca="1" si="74"/>
        <v>-5.5125726597193463</v>
      </c>
      <c r="I157" s="55">
        <f t="shared" ca="1" si="74"/>
        <v>-64.813225849967566</v>
      </c>
      <c r="J157" s="55">
        <f t="shared" ca="1" si="74"/>
        <v>33.158964821368933</v>
      </c>
      <c r="K157" s="55">
        <f t="shared" ca="1" si="74"/>
        <v>39.658578322189932</v>
      </c>
      <c r="L157" s="55">
        <f t="shared" ca="1" si="74"/>
        <v>-3.645359550353314</v>
      </c>
      <c r="M157" s="55">
        <f t="shared" ca="1" si="74"/>
        <v>11.052620321568957</v>
      </c>
      <c r="N157" s="55">
        <f t="shared" ca="1" si="74"/>
        <v>-0.63388960612695444</v>
      </c>
      <c r="O157" s="55">
        <f t="shared" ca="1" si="74"/>
        <v>41.217737642104062</v>
      </c>
      <c r="P157" s="55">
        <f t="shared" ca="1" si="74"/>
        <v>-14.857822177060092</v>
      </c>
      <c r="Q157" s="55">
        <f t="shared" ca="1" si="74"/>
        <v>20.269535495453756</v>
      </c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</row>
    <row r="158" spans="1:43" x14ac:dyDescent="0.25">
      <c r="A158" s="17">
        <f t="shared" si="69"/>
        <v>2001</v>
      </c>
      <c r="B158" s="55">
        <f t="shared" ref="B158:P158" ca="1" si="75">INDEX($B$110:$T$128,MATCH(B136,Row.Breaks,TRUE),B136-VLOOKUP(B136,Row.Breaks,TRUE)+1)</f>
        <v>-721.16846274083105</v>
      </c>
      <c r="C158" s="55">
        <f t="shared" ca="1" si="75"/>
        <v>-14.857822177060092</v>
      </c>
      <c r="D158" s="55">
        <f t="shared" ca="1" si="75"/>
        <v>-48.258095310937705</v>
      </c>
      <c r="E158" s="55">
        <f t="shared" ca="1" si="75"/>
        <v>-41.791221761214146</v>
      </c>
      <c r="F158" s="55">
        <f t="shared" ca="1" si="75"/>
        <v>39.093462110533757</v>
      </c>
      <c r="G158" s="55">
        <f t="shared" ca="1" si="75"/>
        <v>-44.372235851644142</v>
      </c>
      <c r="H158" s="55">
        <f t="shared" ca="1" si="75"/>
        <v>-6.9831873647227152</v>
      </c>
      <c r="I158" s="55">
        <f t="shared" ca="1" si="75"/>
        <v>7.1150546313724767</v>
      </c>
      <c r="J158" s="55">
        <f t="shared" ca="1" si="75"/>
        <v>-47.877434026335216</v>
      </c>
      <c r="K158" s="55">
        <f t="shared" ca="1" si="75"/>
        <v>11.052620321568957</v>
      </c>
      <c r="L158" s="55">
        <f t="shared" ca="1" si="75"/>
        <v>7.9522300482742292</v>
      </c>
      <c r="M158" s="55">
        <f t="shared" ca="1" si="75"/>
        <v>-10.17358471878511</v>
      </c>
      <c r="N158" s="55">
        <f t="shared" ca="1" si="75"/>
        <v>-47.455539924783032</v>
      </c>
      <c r="O158" s="55">
        <f t="shared" ca="1" si="75"/>
        <v>22.568071267672856</v>
      </c>
      <c r="P158" s="55">
        <f t="shared" ca="1" si="75"/>
        <v>22.571279154883964</v>
      </c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</row>
    <row r="159" spans="1:43" x14ac:dyDescent="0.25">
      <c r="A159" s="17">
        <f t="shared" si="69"/>
        <v>2002</v>
      </c>
      <c r="B159" s="55">
        <f t="shared" ref="B159:O159" ca="1" si="76">INDEX($B$110:$T$128,MATCH(B137,Row.Breaks,TRUE),B137-VLOOKUP(B137,Row.Breaks,TRUE)+1)</f>
        <v>81.790485268903353</v>
      </c>
      <c r="C159" s="55">
        <f t="shared" ca="1" si="76"/>
        <v>20.269535495453756</v>
      </c>
      <c r="D159" s="55">
        <f t="shared" ca="1" si="76"/>
        <v>56.239140042017119</v>
      </c>
      <c r="E159" s="55">
        <f t="shared" ca="1" si="76"/>
        <v>-64.100787923812135</v>
      </c>
      <c r="F159" s="55">
        <f t="shared" ca="1" si="76"/>
        <v>0.78657516236298275</v>
      </c>
      <c r="G159" s="55">
        <f t="shared" ca="1" si="76"/>
        <v>-11.317430884600922</v>
      </c>
      <c r="H159" s="55">
        <f t="shared" ca="1" si="76"/>
        <v>62.256678655722858</v>
      </c>
      <c r="I159" s="55">
        <f t="shared" ca="1" si="76"/>
        <v>-3.645359550353314</v>
      </c>
      <c r="J159" s="55">
        <f t="shared" ca="1" si="76"/>
        <v>-4.8410908583790908</v>
      </c>
      <c r="K159" s="55">
        <f t="shared" ca="1" si="76"/>
        <v>14.259369733358058</v>
      </c>
      <c r="L159" s="55">
        <f t="shared" ca="1" si="76"/>
        <v>32.944935796834919</v>
      </c>
      <c r="M159" s="55">
        <f t="shared" ca="1" si="76"/>
        <v>-9.3201990188279691</v>
      </c>
      <c r="N159" s="55">
        <f t="shared" ca="1" si="76"/>
        <v>77.126215192948081</v>
      </c>
      <c r="O159" s="55">
        <f t="shared" ca="1" si="76"/>
        <v>47.917692099326679</v>
      </c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</row>
    <row r="160" spans="1:43" x14ac:dyDescent="0.25">
      <c r="A160" s="17">
        <f t="shared" si="69"/>
        <v>2003</v>
      </c>
      <c r="B160" s="55">
        <f t="shared" ref="B160:N160" ca="1" si="77">INDEX($B$110:$T$128,MATCH(B138,Row.Breaks,TRUE),B138-VLOOKUP(B138,Row.Breaks,TRUE)+1)</f>
        <v>-18.801055012062552</v>
      </c>
      <c r="C160" s="55">
        <f t="shared" ca="1" si="77"/>
        <v>-38.480362411308477</v>
      </c>
      <c r="D160" s="55">
        <f t="shared" ca="1" si="77"/>
        <v>10.600914396278588</v>
      </c>
      <c r="E160" s="55">
        <f t="shared" ca="1" si="77"/>
        <v>-29.525745925546374</v>
      </c>
      <c r="F160" s="55">
        <f t="shared" ca="1" si="77"/>
        <v>-20.205252734139105</v>
      </c>
      <c r="G160" s="55">
        <f t="shared" ca="1" si="77"/>
        <v>46.1647618681911</v>
      </c>
      <c r="H160" s="55">
        <f t="shared" ca="1" si="77"/>
        <v>64.005940844769867</v>
      </c>
      <c r="I160" s="55">
        <f t="shared" ca="1" si="77"/>
        <v>-3.0002064578569705</v>
      </c>
      <c r="J160" s="55">
        <f t="shared" ca="1" si="77"/>
        <v>-1.1713010974692619</v>
      </c>
      <c r="K160" s="55">
        <f t="shared" ca="1" si="77"/>
        <v>-50.395620931816296</v>
      </c>
      <c r="L160" s="55">
        <f t="shared" ca="1" si="77"/>
        <v>16.107247434056841</v>
      </c>
      <c r="M160" s="55">
        <f t="shared" ca="1" si="77"/>
        <v>10.600914396278588</v>
      </c>
      <c r="N160" s="55">
        <f t="shared" ca="1" si="77"/>
        <v>-52.167941229781498</v>
      </c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</row>
    <row r="161" spans="1:55" x14ac:dyDescent="0.25">
      <c r="A161" s="17">
        <f t="shared" si="69"/>
        <v>2004</v>
      </c>
      <c r="B161" s="55">
        <f t="shared" ref="B161:M161" ca="1" si="78">INDEX($B$110:$T$128,MATCH(B139,Row.Breaks,TRUE),B139-VLOOKUP(B139,Row.Breaks,TRUE)+1)</f>
        <v>47.917692099326679</v>
      </c>
      <c r="C161" s="55">
        <f t="shared" ca="1" si="78"/>
        <v>-0.19101040995667029</v>
      </c>
      <c r="D161" s="55">
        <f t="shared" ca="1" si="78"/>
        <v>52.171447223637138</v>
      </c>
      <c r="E161" s="55">
        <f t="shared" ca="1" si="78"/>
        <v>46.1647618681911</v>
      </c>
      <c r="F161" s="55">
        <f t="shared" ca="1" si="78"/>
        <v>-33.05139206525849</v>
      </c>
      <c r="G161" s="55">
        <f t="shared" ca="1" si="78"/>
        <v>5.7890944539952098</v>
      </c>
      <c r="H161" s="55">
        <f t="shared" ca="1" si="78"/>
        <v>-17.607748056822548</v>
      </c>
      <c r="I161" s="55">
        <f t="shared" ca="1" si="78"/>
        <v>72.648836113533093</v>
      </c>
      <c r="J161" s="55">
        <f t="shared" ca="1" si="78"/>
        <v>12.662721926179298</v>
      </c>
      <c r="K161" s="55">
        <f t="shared" ca="1" si="78"/>
        <v>3.3542905410285715</v>
      </c>
      <c r="L161" s="55">
        <f t="shared" ca="1" si="78"/>
        <v>-13.49281952138147</v>
      </c>
      <c r="M161" s="55">
        <f t="shared" ca="1" si="78"/>
        <v>34.372064092150104</v>
      </c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</row>
    <row r="162" spans="1:55" x14ac:dyDescent="0.25">
      <c r="A162" s="17">
        <f t="shared" si="69"/>
        <v>2005</v>
      </c>
      <c r="B162" s="55">
        <f t="shared" ref="B162:L162" ca="1" si="79">INDEX($B$110:$T$128,MATCH(B140,Row.Breaks,TRUE),B140-VLOOKUP(B140,Row.Breaks,TRUE)+1)</f>
        <v>-81.728897197208155</v>
      </c>
      <c r="C162" s="55">
        <f t="shared" ca="1" si="79"/>
        <v>-40.343896462173724</v>
      </c>
      <c r="D162" s="55">
        <f t="shared" ca="1" si="79"/>
        <v>-41.957289091171248</v>
      </c>
      <c r="E162" s="55">
        <f t="shared" ca="1" si="79"/>
        <v>38.778770558580348</v>
      </c>
      <c r="F162" s="55">
        <f t="shared" ca="1" si="79"/>
        <v>-16.251568412140159</v>
      </c>
      <c r="G162" s="55">
        <f t="shared" ca="1" si="79"/>
        <v>-88.804690674352742</v>
      </c>
      <c r="H162" s="55">
        <f t="shared" ca="1" si="79"/>
        <v>24.731227427704539</v>
      </c>
      <c r="I162" s="55">
        <f t="shared" ca="1" si="79"/>
        <v>53.287669823904388</v>
      </c>
      <c r="J162" s="55">
        <f t="shared" ca="1" si="79"/>
        <v>-18.83254869881268</v>
      </c>
      <c r="K162" s="55">
        <f t="shared" ca="1" si="79"/>
        <v>-9.3201990188279691</v>
      </c>
      <c r="L162" s="55">
        <f t="shared" ca="1" si="79"/>
        <v>20.269535495453756</v>
      </c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</row>
    <row r="163" spans="1:55" x14ac:dyDescent="0.25">
      <c r="A163" s="17">
        <f t="shared" si="69"/>
        <v>2006</v>
      </c>
      <c r="B163" s="55">
        <f t="shared" ref="B163:K163" ca="1" si="80">INDEX($B$110:$T$128,MATCH(B141,Row.Breaks,TRUE),B141-VLOOKUP(B141,Row.Breaks,TRUE)+1)</f>
        <v>19.951319991565146</v>
      </c>
      <c r="C163" s="55">
        <f t="shared" ca="1" si="80"/>
        <v>-14.746752963628246</v>
      </c>
      <c r="D163" s="55">
        <f t="shared" ca="1" si="80"/>
        <v>-7.217859714748494</v>
      </c>
      <c r="E163" s="55">
        <f t="shared" ca="1" si="80"/>
        <v>-13.800317475062231</v>
      </c>
      <c r="F163" s="55">
        <f t="shared" ca="1" si="80"/>
        <v>181.74137503490874</v>
      </c>
      <c r="G163" s="55">
        <f t="shared" ca="1" si="80"/>
        <v>16.107247434056841</v>
      </c>
      <c r="H163" s="55">
        <f t="shared" ca="1" si="80"/>
        <v>34.192526520137861</v>
      </c>
      <c r="I163" s="55">
        <f t="shared" ca="1" si="80"/>
        <v>93.099635703854716</v>
      </c>
      <c r="J163" s="55">
        <f t="shared" ca="1" si="80"/>
        <v>-20.205252734139105</v>
      </c>
      <c r="K163" s="55">
        <f t="shared" ca="1" si="80"/>
        <v>181.74137503490874</v>
      </c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</row>
    <row r="164" spans="1:55" x14ac:dyDescent="0.25">
      <c r="A164" s="17">
        <f t="shared" si="69"/>
        <v>2007</v>
      </c>
      <c r="B164" s="55">
        <f t="shared" ref="B164:J164" ca="1" si="81">INDEX($B$110:$T$128,MATCH(B142,Row.Breaks,TRUE),B142-VLOOKUP(B142,Row.Breaks,TRUE)+1)</f>
        <v>-31.361296303960064</v>
      </c>
      <c r="C164" s="55">
        <f t="shared" ca="1" si="81"/>
        <v>-46.998613801370013</v>
      </c>
      <c r="D164" s="55">
        <f t="shared" ca="1" si="81"/>
        <v>15.886036983891529</v>
      </c>
      <c r="E164" s="55">
        <f t="shared" ca="1" si="81"/>
        <v>72.648836113533093</v>
      </c>
      <c r="F164" s="55">
        <f t="shared" ca="1" si="81"/>
        <v>5.7890944539952098</v>
      </c>
      <c r="G164" s="55">
        <f t="shared" ca="1" si="81"/>
        <v>19.951319991565146</v>
      </c>
      <c r="H164" s="55">
        <f t="shared" ca="1" si="81"/>
        <v>-20.175204051147137</v>
      </c>
      <c r="I164" s="55">
        <f t="shared" ca="1" si="81"/>
        <v>7.0178759133444348</v>
      </c>
      <c r="J164" s="55">
        <f t="shared" ca="1" si="81"/>
        <v>-0.28601525327426436</v>
      </c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</row>
    <row r="165" spans="1:55" x14ac:dyDescent="0.25">
      <c r="A165" s="17">
        <f t="shared" si="69"/>
        <v>2008</v>
      </c>
      <c r="B165" s="55">
        <f t="shared" ref="B165:I165" ca="1" si="82">INDEX($B$110:$T$128,MATCH(B143,Row.Breaks,TRUE),B143-VLOOKUP(B143,Row.Breaks,TRUE)+1)</f>
        <v>-19.623910543363625</v>
      </c>
      <c r="C165" s="55">
        <f t="shared" ca="1" si="82"/>
        <v>-41.081429311959425</v>
      </c>
      <c r="D165" s="55">
        <f t="shared" ca="1" si="82"/>
        <v>-0.82206137589340134</v>
      </c>
      <c r="E165" s="55">
        <f t="shared" ca="1" si="82"/>
        <v>-17.607748056822548</v>
      </c>
      <c r="F165" s="55">
        <f t="shared" ca="1" si="82"/>
        <v>-21.705007262892888</v>
      </c>
      <c r="G165" s="55">
        <f t="shared" ca="1" si="82"/>
        <v>-19.693304401959242</v>
      </c>
      <c r="H165" s="55">
        <f t="shared" ca="1" si="82"/>
        <v>-31.478349317296242</v>
      </c>
      <c r="I165" s="55">
        <f t="shared" ca="1" si="82"/>
        <v>0.78657516236298275</v>
      </c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</row>
    <row r="166" spans="1:55" x14ac:dyDescent="0.25">
      <c r="A166" s="17">
        <f t="shared" si="69"/>
        <v>2009</v>
      </c>
      <c r="B166" s="55">
        <f t="shared" ref="B166:H166" ca="1" si="83">INDEX($B$110:$T$128,MATCH(B144,Row.Breaks,TRUE),B144-VLOOKUP(B144,Row.Breaks,TRUE)+1)</f>
        <v>-46.998613801370013</v>
      </c>
      <c r="C166" s="55">
        <f t="shared" ca="1" si="83"/>
        <v>-46.848558160451773</v>
      </c>
      <c r="D166" s="55">
        <f t="shared" ca="1" si="83"/>
        <v>-0.45322300214707373</v>
      </c>
      <c r="E166" s="55">
        <f t="shared" ca="1" si="83"/>
        <v>96.143220796046975</v>
      </c>
      <c r="F166" s="55">
        <f t="shared" ca="1" si="83"/>
        <v>4.2319284469202403</v>
      </c>
      <c r="G166" s="55">
        <f t="shared" ca="1" si="83"/>
        <v>-5.0746873153126515</v>
      </c>
      <c r="H166" s="55">
        <f t="shared" ca="1" si="83"/>
        <v>1.3346571901768751</v>
      </c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10"/>
      <c r="AU166" s="89" t="s">
        <v>85</v>
      </c>
      <c r="AV166" s="27"/>
      <c r="AW166" s="27"/>
      <c r="AX166" s="27"/>
      <c r="AY166" s="27"/>
      <c r="AZ166" s="27"/>
      <c r="BA166" s="10"/>
      <c r="BB166" s="10"/>
      <c r="BC166" s="10"/>
    </row>
    <row r="167" spans="1:55" x14ac:dyDescent="0.25">
      <c r="A167" s="17">
        <f t="shared" si="69"/>
        <v>2010</v>
      </c>
      <c r="B167" s="55">
        <f t="shared" ref="B167:G167" ca="1" si="84">INDEX($B$110:$T$128,MATCH(B145,Row.Breaks,TRUE),B145-VLOOKUP(B145,Row.Breaks,TRUE)+1)</f>
        <v>24.731227427704539</v>
      </c>
      <c r="C167" s="55">
        <f t="shared" ca="1" si="84"/>
        <v>7.0178759133444348</v>
      </c>
      <c r="D167" s="55">
        <f t="shared" ca="1" si="84"/>
        <v>-21.705007262892888</v>
      </c>
      <c r="E167" s="55">
        <f t="shared" ca="1" si="84"/>
        <v>64.005940844769867</v>
      </c>
      <c r="F167" s="55">
        <f t="shared" ca="1" si="84"/>
        <v>13.091105946156775</v>
      </c>
      <c r="G167" s="55">
        <f t="shared" ca="1" si="84"/>
        <v>-14.947883372135301</v>
      </c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24"/>
      <c r="AV167" s="25"/>
      <c r="AW167" s="25"/>
      <c r="AX167" s="25" t="s">
        <v>138</v>
      </c>
      <c r="AY167" s="95" t="s">
        <v>126</v>
      </c>
      <c r="AZ167" s="97" t="s">
        <v>124</v>
      </c>
      <c r="BA167" s="95"/>
      <c r="BB167" s="95"/>
      <c r="BC167" s="96" t="s">
        <v>128</v>
      </c>
    </row>
    <row r="168" spans="1:55" x14ac:dyDescent="0.25">
      <c r="A168" s="17">
        <f t="shared" si="69"/>
        <v>2011</v>
      </c>
      <c r="B168" s="55">
        <f ca="1">INDEX($B$110:$T$128,MATCH(B146,Row.Breaks,TRUE),B146-VLOOKUP(B146,Row.Breaks,TRUE)+1)</f>
        <v>57.448505523717422</v>
      </c>
      <c r="C168" s="55">
        <f ca="1">INDEX($B$110:$T$128,MATCH(C146,Row.Breaks,TRUE),C146-VLOOKUP(C146,Row.Breaks,TRUE)+1)</f>
        <v>-3.0002064578569705</v>
      </c>
      <c r="D168" s="55">
        <f ca="1">INDEX($B$110:$T$128,MATCH(D146,Row.Breaks,TRUE),D146-VLOOKUP(D146,Row.Breaks,TRUE)+1)</f>
        <v>-29.525745925546374</v>
      </c>
      <c r="E168" s="55">
        <f ca="1">INDEX($B$110:$T$128,MATCH(E146,Row.Breaks,TRUE),E146-VLOOKUP(E146,Row.Breaks,TRUE)+1)</f>
        <v>-0.19101040995667029</v>
      </c>
      <c r="F168" s="55">
        <f ca="1">INDEX($B$110:$T$128,MATCH(F146,Row.Breaks,TRUE),F146-VLOOKUP(F146,Row.Breaks,TRUE)+1)</f>
        <v>16.107247434056841</v>
      </c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29"/>
      <c r="AV168" s="10"/>
      <c r="AW168" s="10" t="s">
        <v>130</v>
      </c>
      <c r="AX168" t="s">
        <v>137</v>
      </c>
      <c r="AY168" s="91" t="s">
        <v>127</v>
      </c>
      <c r="AZ168" s="93" t="s">
        <v>125</v>
      </c>
      <c r="BA168" s="91" t="s">
        <v>83</v>
      </c>
      <c r="BB168" s="91" t="s">
        <v>84</v>
      </c>
      <c r="BC168" s="92" t="s">
        <v>129</v>
      </c>
    </row>
    <row r="169" spans="1:55" x14ac:dyDescent="0.25">
      <c r="A169" s="17">
        <f t="shared" si="69"/>
        <v>2012</v>
      </c>
      <c r="B169" s="55">
        <f ca="1">INDEX($B$110:$T$128,MATCH(B147,Row.Breaks,TRUE),B147-VLOOKUP(B147,Row.Breaks,TRUE)+1)</f>
        <v>-7.217859714748494</v>
      </c>
      <c r="C169" s="55">
        <f ca="1">INDEX($B$110:$T$128,MATCH(C147,Row.Breaks,TRUE),C147-VLOOKUP(C147,Row.Breaks,TRUE)+1)</f>
        <v>111.94610697057665</v>
      </c>
      <c r="D169" s="55">
        <f ca="1">INDEX($B$110:$T$128,MATCH(D147,Row.Breaks,TRUE),D147-VLOOKUP(D147,Row.Breaks,TRUE)+1)</f>
        <v>-50.898163123638525</v>
      </c>
      <c r="E169" s="55">
        <f ca="1">INDEX($B$110:$T$128,MATCH(E147,Row.Breaks,TRUE),E147-VLOOKUP(E147,Row.Breaks,TRUE)+1)</f>
        <v>7.8696292519411317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19"/>
      <c r="AU169" s="26"/>
      <c r="AV169" s="27" t="s">
        <v>123</v>
      </c>
      <c r="AW169" s="27">
        <f ca="1">AVERAGE(AX169:BC169)</f>
        <v>1.1724702479329776</v>
      </c>
      <c r="AX169" s="84">
        <f>IF(AX171&lt;=0,1,AX170/AX171)</f>
        <v>1.3685340442217784</v>
      </c>
      <c r="AY169" s="84">
        <f>IF(AY171&lt;=0,1,AY170/AY171)</f>
        <v>1.5612898288809698</v>
      </c>
      <c r="AZ169" s="32">
        <f ca="1">IF(ISERROR(PRODUCT($AZ$199:$AZ$219)),PRODUCT($BC$199:$BC$219),MIN(PRODUCT($AZ$199:$AZ$219),$BA$175))</f>
        <v>1.0574384431252373</v>
      </c>
      <c r="BA169" s="32">
        <f ca="1">IF(ISERROR(PRODUCT($BA$199:$BA$219)),PRODUCT($BC$199:$BC$219),MIN(PRODUCT($BA$199:$BA$219),$BA$175))</f>
        <v>1.0127779277508531</v>
      </c>
      <c r="BB169" s="32">
        <f ca="1">IF(ISERROR(PRODUCT($BB$199:$BB$219)),PRODUCT($BC$199:$BC$219),MIN(PRODUCT($BB$199:$BB$219),$BA$175))</f>
        <v>1.0038114908212756</v>
      </c>
      <c r="BC169" s="33">
        <f ca="1">PRODUCT(BC199:BC219)</f>
        <v>1.0309697527977517</v>
      </c>
    </row>
    <row r="170" spans="1:55" x14ac:dyDescent="0.25">
      <c r="A170" s="17">
        <f t="shared" si="69"/>
        <v>2013</v>
      </c>
      <c r="B170" s="55">
        <f ca="1">INDEX($B$110:$T$128,MATCH(B148,Row.Breaks,TRUE),B148-VLOOKUP(B148,Row.Breaks,TRUE)+1)</f>
        <v>41.217737642104062</v>
      </c>
      <c r="C170" s="55">
        <f ca="1">INDEX($B$110:$T$128,MATCH(C148,Row.Breaks,TRUE),C148-VLOOKUP(C148,Row.Breaks,TRUE)+1)</f>
        <v>53.287669823904388</v>
      </c>
      <c r="D170" s="55">
        <f ca="1">INDEX($B$110:$T$128,MATCH(D148,Row.Breaks,TRUE),D148-VLOOKUP(D148,Row.Breaks,TRUE)+1)</f>
        <v>77.126215192948081</v>
      </c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19"/>
      <c r="AU170" s="26"/>
      <c r="AV170" s="10" t="s">
        <v>81</v>
      </c>
      <c r="AW170" s="10"/>
      <c r="AX170" s="52">
        <f>AY170-INDEX(BEWSSummary,21*(Group-1)+1,2)</f>
        <v>1216364646.3200002</v>
      </c>
      <c r="AY170" s="94">
        <f>INDEX(BEWSSummary,21*(Group-1)+1,5)</f>
        <v>1387687619.8500001</v>
      </c>
      <c r="AZ170" s="10">
        <f ca="1">SLOPE(AX180:AX198,AW180:AW198)</f>
        <v>-1.8021661203979524</v>
      </c>
      <c r="BA170" s="10">
        <f ca="1">SLOPE(AX180:AX198,AU180:AU198)</f>
        <v>-1.9170047423589624E-2</v>
      </c>
      <c r="BB170" s="10">
        <f ca="1">SLOPE(AY180:AY198,AW180:AW198)</f>
        <v>0.74265583493256238</v>
      </c>
      <c r="BC170" s="28"/>
    </row>
    <row r="171" spans="1:55" x14ac:dyDescent="0.25">
      <c r="A171" s="17">
        <f t="shared" si="69"/>
        <v>2014</v>
      </c>
      <c r="B171" s="55">
        <f ca="1">INDEX($B$110:$T$128,MATCH(B149,Row.Breaks,TRUE),B149-VLOOKUP(B149,Row.Breaks,TRUE)+1)</f>
        <v>-7.4415162728890243</v>
      </c>
      <c r="C171" s="55">
        <f ca="1">INDEX($B$110:$T$128,MATCH(C149,Row.Breaks,TRUE),C149-VLOOKUP(C149,Row.Breaks,TRUE)+1)</f>
        <v>-38.480362411308477</v>
      </c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19"/>
      <c r="AU171" s="26"/>
      <c r="AV171" s="10" t="s">
        <v>82</v>
      </c>
      <c r="AW171" s="10"/>
      <c r="AX171" s="52">
        <f>AY171</f>
        <v>888808467.32000017</v>
      </c>
      <c r="AY171" s="94">
        <f>AY170-INDEX(BEWSSummary,21*(Group-1)+1,2)-INDEX(BEWSSummary,21*(Group-1)+1,1)</f>
        <v>888808467.32000017</v>
      </c>
      <c r="AZ171" s="10">
        <f ca="1">(INTERCEPT(AX180:AX198,AW180:AW198))</f>
        <v>4.5700848389494784</v>
      </c>
      <c r="BA171" s="10">
        <f ca="1">INTERCEPT(AX180:AX198,AU180:AU198)</f>
        <v>-1.339145439585073</v>
      </c>
      <c r="BB171" s="10">
        <f ca="1">INTERCEPT(AY180:AY198,AW180:AW198)</f>
        <v>-2.1145328946960245</v>
      </c>
      <c r="BC171" s="28"/>
    </row>
    <row r="172" spans="1:55" x14ac:dyDescent="0.25">
      <c r="A172" s="17">
        <f t="shared" si="69"/>
        <v>2015</v>
      </c>
      <c r="B172" s="55">
        <f ca="1">INDEX($B$110:$T$128,MATCH(B150,Row.Breaks,TRUE),B150-VLOOKUP(B150,Row.Breaks,TRUE)+1)</f>
        <v>52.526143640640697</v>
      </c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19"/>
      <c r="AU172" s="26"/>
      <c r="AV172" s="27"/>
      <c r="AW172" s="27"/>
      <c r="AX172" s="27"/>
      <c r="AY172" s="10"/>
      <c r="AZ172" s="10"/>
      <c r="BA172" s="10"/>
      <c r="BB172" s="10"/>
      <c r="BC172" s="28"/>
    </row>
    <row r="173" spans="1:55" x14ac:dyDescent="0.25">
      <c r="A173" s="17"/>
      <c r="B173" s="55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19"/>
      <c r="AU173" s="26"/>
      <c r="AZ173" s="10"/>
      <c r="BA173" s="10"/>
      <c r="BB173" s="10"/>
      <c r="BC173" s="28"/>
    </row>
    <row r="174" spans="1:55" x14ac:dyDescent="0.25">
      <c r="A174" s="57" t="s">
        <v>120</v>
      </c>
      <c r="B174" s="55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19"/>
      <c r="AU174" s="26"/>
      <c r="AV174" s="10"/>
      <c r="AY174" s="84" t="s">
        <v>131</v>
      </c>
      <c r="AZ174" t="s">
        <v>132</v>
      </c>
      <c r="BA174" t="s">
        <v>133</v>
      </c>
      <c r="BB174" s="10"/>
      <c r="BC174" s="28"/>
    </row>
    <row r="175" spans="1:55" x14ac:dyDescent="0.25">
      <c r="A175" s="17">
        <f t="shared" ref="A175:A194" si="85">A9</f>
        <v>1996</v>
      </c>
      <c r="B175" s="55">
        <f t="shared" ref="B175:B194" ca="1" si="86">B56+B153*SQRT(B56)</f>
        <v>154510453.73380524</v>
      </c>
      <c r="C175" s="11">
        <f t="shared" ref="C175:U175" ca="1" si="87">C56-B56+C153*SQRT(C56-B56)</f>
        <v>214372382.76265633</v>
      </c>
      <c r="D175" s="11">
        <f t="shared" ca="1" si="87"/>
        <v>128243246.28773075</v>
      </c>
      <c r="E175" s="11">
        <f t="shared" ca="1" si="87"/>
        <v>80393113.185227156</v>
      </c>
      <c r="F175" s="11">
        <f t="shared" ca="1" si="87"/>
        <v>51920645.199404508</v>
      </c>
      <c r="G175" s="11">
        <f t="shared" ca="1" si="87"/>
        <v>35912259.254803114</v>
      </c>
      <c r="H175" s="11">
        <f t="shared" ca="1" si="87"/>
        <v>26601827.685535811</v>
      </c>
      <c r="I175" s="11">
        <f t="shared" ca="1" si="87"/>
        <v>19055196.220934819</v>
      </c>
      <c r="J175" s="11">
        <f t="shared" ca="1" si="87"/>
        <v>14180478.715179477</v>
      </c>
      <c r="K175" s="11">
        <f t="shared" ca="1" si="87"/>
        <v>12082830.397381634</v>
      </c>
      <c r="L175" s="11">
        <f t="shared" ca="1" si="87"/>
        <v>7975654.6219495591</v>
      </c>
      <c r="M175" s="11">
        <f t="shared" ca="1" si="87"/>
        <v>8978620.285124382</v>
      </c>
      <c r="N175" s="11">
        <f t="shared" ca="1" si="87"/>
        <v>8545051.0385834742</v>
      </c>
      <c r="O175" s="11">
        <f t="shared" ca="1" si="87"/>
        <v>9035817.028053619</v>
      </c>
      <c r="P175" s="11">
        <f t="shared" ca="1" si="87"/>
        <v>7263768.0040604835</v>
      </c>
      <c r="Q175" s="11">
        <f t="shared" ca="1" si="87"/>
        <v>7124105.927717153</v>
      </c>
      <c r="R175" s="11">
        <f t="shared" ca="1" si="87"/>
        <v>6280706.4159624986</v>
      </c>
      <c r="S175" s="11">
        <f t="shared" ca="1" si="87"/>
        <v>6110544.0312212557</v>
      </c>
      <c r="T175" s="11">
        <f t="shared" ca="1" si="87"/>
        <v>5852021.2375765517</v>
      </c>
      <c r="U175" s="11">
        <f t="shared" ca="1" si="87"/>
        <v>7249572.8347159224</v>
      </c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7"/>
      <c r="AQ175" s="7"/>
      <c r="AR175" s="7"/>
      <c r="AS175" s="7"/>
      <c r="AT175" s="19"/>
      <c r="AU175" s="29"/>
      <c r="AV175" s="85"/>
      <c r="AY175" s="84">
        <f>(AY169-1)*2+1</f>
        <v>2.1225796577619396</v>
      </c>
      <c r="AZ175" s="86">
        <v>1.3</v>
      </c>
      <c r="BA175" s="84">
        <f>MAX(AY175,AZ175)</f>
        <v>2.1225796577619396</v>
      </c>
      <c r="BB175" s="10"/>
      <c r="BC175" s="28"/>
    </row>
    <row r="176" spans="1:55" x14ac:dyDescent="0.25">
      <c r="A176" s="17">
        <f t="shared" si="85"/>
        <v>1997</v>
      </c>
      <c r="B176" s="55">
        <f t="shared" ca="1" si="86"/>
        <v>180914274.34039164</v>
      </c>
      <c r="C176" s="11">
        <f t="shared" ref="C176:T176" ca="1" si="88">C57-B57+C154*SQRT(C57-B57)</f>
        <v>250878147.27339715</v>
      </c>
      <c r="D176" s="11">
        <f t="shared" ca="1" si="88"/>
        <v>149439615.91830441</v>
      </c>
      <c r="E176" s="11">
        <f t="shared" ca="1" si="88"/>
        <v>93954546.374705687</v>
      </c>
      <c r="F176" s="11">
        <f t="shared" ca="1" si="88"/>
        <v>60246928.053473912</v>
      </c>
      <c r="G176" s="11">
        <f t="shared" ca="1" si="88"/>
        <v>41972314.018594109</v>
      </c>
      <c r="H176" s="11">
        <f t="shared" ca="1" si="88"/>
        <v>31491409.24003515</v>
      </c>
      <c r="I176" s="11">
        <f t="shared" ca="1" si="88"/>
        <v>22330045.338827565</v>
      </c>
      <c r="J176" s="11">
        <f t="shared" ca="1" si="88"/>
        <v>16780020.896083515</v>
      </c>
      <c r="K176" s="11">
        <f t="shared" ca="1" si="88"/>
        <v>14422447.992905531</v>
      </c>
      <c r="L176" s="11">
        <f t="shared" ca="1" si="88"/>
        <v>9480223.0763304681</v>
      </c>
      <c r="M176" s="11">
        <f t="shared" ca="1" si="88"/>
        <v>10295463.532512248</v>
      </c>
      <c r="N176" s="11">
        <f t="shared" ca="1" si="88"/>
        <v>10052947.226030393</v>
      </c>
      <c r="O176" s="11">
        <f t="shared" ca="1" si="88"/>
        <v>10527096.132081943</v>
      </c>
      <c r="P176" s="11">
        <f t="shared" ca="1" si="88"/>
        <v>8280031.6420986224</v>
      </c>
      <c r="Q176" s="11">
        <f t="shared" ca="1" si="88"/>
        <v>8436401.5092785899</v>
      </c>
      <c r="R176" s="11">
        <f t="shared" ca="1" si="88"/>
        <v>7563274.8647694783</v>
      </c>
      <c r="S176" s="11">
        <f t="shared" ca="1" si="88"/>
        <v>7002386.7776567508</v>
      </c>
      <c r="T176" s="11">
        <f t="shared" ca="1" si="88"/>
        <v>6793849.0477173058</v>
      </c>
      <c r="U176" s="104">
        <f t="shared" ref="U176:U194" ca="1" si="89">U199-T199</f>
        <v>8479009.3122644424</v>
      </c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7"/>
      <c r="AQ176" s="7"/>
      <c r="AR176" s="7"/>
      <c r="AS176" s="7"/>
      <c r="AT176" s="19"/>
      <c r="AU176" s="29"/>
      <c r="AV176" s="85"/>
      <c r="AZ176" s="10"/>
      <c r="BA176" s="10"/>
      <c r="BB176" s="10"/>
      <c r="BC176" s="28"/>
    </row>
    <row r="177" spans="1:55" x14ac:dyDescent="0.25">
      <c r="A177" s="17">
        <f t="shared" si="85"/>
        <v>1998</v>
      </c>
      <c r="B177" s="55">
        <f t="shared" ca="1" si="86"/>
        <v>224563455.27332133</v>
      </c>
      <c r="C177" s="11">
        <f t="shared" ref="C177:S177" ca="1" si="90">C58-B58+C155*SQRT(C58-B58)</f>
        <v>311837816.23680347</v>
      </c>
      <c r="D177" s="11">
        <f t="shared" ca="1" si="90"/>
        <v>186209534.70933241</v>
      </c>
      <c r="E177" s="11">
        <f t="shared" ca="1" si="90"/>
        <v>116314206.95270281</v>
      </c>
      <c r="F177" s="11">
        <f t="shared" ca="1" si="90"/>
        <v>74832045.241762683</v>
      </c>
      <c r="G177" s="11">
        <f t="shared" ca="1" si="90"/>
        <v>51795522.603673406</v>
      </c>
      <c r="H177" s="11">
        <f t="shared" ca="1" si="90"/>
        <v>39117400.941254593</v>
      </c>
      <c r="I177" s="11">
        <f t="shared" ca="1" si="90"/>
        <v>27637288.066185024</v>
      </c>
      <c r="J177" s="11">
        <f t="shared" ca="1" si="90"/>
        <v>20557894.306235757</v>
      </c>
      <c r="K177" s="11">
        <f t="shared" ca="1" si="90"/>
        <v>17692982.669339921</v>
      </c>
      <c r="L177" s="11">
        <f t="shared" ca="1" si="90"/>
        <v>11615592.772751465</v>
      </c>
      <c r="M177" s="11">
        <f t="shared" ca="1" si="90"/>
        <v>12709621.22907741</v>
      </c>
      <c r="N177" s="11">
        <f t="shared" ca="1" si="90"/>
        <v>12610297.84497566</v>
      </c>
      <c r="O177" s="11">
        <f t="shared" ca="1" si="90"/>
        <v>12699830.226835731</v>
      </c>
      <c r="P177" s="11">
        <f t="shared" ca="1" si="90"/>
        <v>10524897.207982846</v>
      </c>
      <c r="Q177" s="11">
        <f t="shared" ca="1" si="90"/>
        <v>10426334.745125454</v>
      </c>
      <c r="R177" s="11">
        <f t="shared" ca="1" si="90"/>
        <v>9355435.9419430513</v>
      </c>
      <c r="S177" s="11">
        <f t="shared" ca="1" si="90"/>
        <v>8949428.5294243898</v>
      </c>
      <c r="T177" s="104">
        <f t="shared" ref="T177:T194" ca="1" si="91">T200-S200</f>
        <v>8462305.072678566</v>
      </c>
      <c r="U177" s="104">
        <f t="shared" ca="1" si="89"/>
        <v>10525179.958806038</v>
      </c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7"/>
      <c r="AQ177" s="7"/>
      <c r="AR177" s="7"/>
      <c r="AS177" s="7"/>
      <c r="AT177" s="19"/>
      <c r="AU177" s="29"/>
      <c r="AV177" s="85"/>
      <c r="AZ177" s="10"/>
      <c r="BA177" s="10"/>
      <c r="BB177" s="10"/>
      <c r="BC177" s="28"/>
    </row>
    <row r="178" spans="1:55" x14ac:dyDescent="0.25">
      <c r="A178" s="17">
        <f t="shared" si="85"/>
        <v>1999</v>
      </c>
      <c r="B178" s="55">
        <f t="shared" ca="1" si="86"/>
        <v>246989867.8620249</v>
      </c>
      <c r="C178" s="11">
        <f t="shared" ref="C178:R178" ca="1" si="92">C59-B59+C156*SQRT(C59-B59)</f>
        <v>343719275.15931016</v>
      </c>
      <c r="D178" s="11">
        <f t="shared" ca="1" si="92"/>
        <v>204628287.55799037</v>
      </c>
      <c r="E178" s="11">
        <f t="shared" ca="1" si="92"/>
        <v>128272654.12222274</v>
      </c>
      <c r="F178" s="11">
        <f t="shared" ca="1" si="92"/>
        <v>82393788.227202505</v>
      </c>
      <c r="G178" s="11">
        <f t="shared" ca="1" si="92"/>
        <v>57190332.71414426</v>
      </c>
      <c r="H178" s="11">
        <f t="shared" ca="1" si="92"/>
        <v>42688873.68883203</v>
      </c>
      <c r="I178" s="11">
        <f t="shared" ca="1" si="92"/>
        <v>30761518.816143952</v>
      </c>
      <c r="J178" s="11">
        <f t="shared" ca="1" si="92"/>
        <v>23059616.541190896</v>
      </c>
      <c r="K178" s="11">
        <f t="shared" ca="1" si="92"/>
        <v>19541043.214800298</v>
      </c>
      <c r="L178" s="11">
        <f t="shared" ca="1" si="92"/>
        <v>12964227.622029176</v>
      </c>
      <c r="M178" s="11">
        <f t="shared" ca="1" si="92"/>
        <v>13973656.991745498</v>
      </c>
      <c r="N178" s="11">
        <f t="shared" ca="1" si="92"/>
        <v>13591850.705678737</v>
      </c>
      <c r="O178" s="11">
        <f t="shared" ca="1" si="92"/>
        <v>14189574.546058714</v>
      </c>
      <c r="P178" s="11">
        <f t="shared" ca="1" si="92"/>
        <v>11404637.008293422</v>
      </c>
      <c r="Q178" s="11">
        <f t="shared" ca="1" si="92"/>
        <v>11444475.295741567</v>
      </c>
      <c r="R178" s="11">
        <f t="shared" ca="1" si="92"/>
        <v>10026759.153171623</v>
      </c>
      <c r="S178" s="104">
        <f t="shared" ref="S178:S194" ca="1" si="93">S201-R201</f>
        <v>9738357.087583065</v>
      </c>
      <c r="T178" s="104">
        <f t="shared" ca="1" si="91"/>
        <v>9317178.9087116718</v>
      </c>
      <c r="U178" s="104">
        <f t="shared" ca="1" si="89"/>
        <v>11588448.286885262</v>
      </c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7"/>
      <c r="AQ178" s="7"/>
      <c r="AR178" s="7"/>
      <c r="AS178" s="7"/>
      <c r="AT178" s="19"/>
      <c r="AU178" s="29"/>
      <c r="AV178" s="85"/>
      <c r="AZ178" s="98" t="s">
        <v>124</v>
      </c>
      <c r="BA178" s="91"/>
      <c r="BB178" s="91"/>
      <c r="BC178" s="92" t="s">
        <v>128</v>
      </c>
    </row>
    <row r="179" spans="1:55" x14ac:dyDescent="0.25">
      <c r="A179" s="17">
        <f t="shared" si="85"/>
        <v>2000</v>
      </c>
      <c r="B179" s="55">
        <f t="shared" ca="1" si="86"/>
        <v>232565924.13687041</v>
      </c>
      <c r="C179" s="11">
        <f t="shared" ref="C179:Q179" ca="1" si="94">C60-B60+C157*SQRT(C60-B60)</f>
        <v>324692205.24395692</v>
      </c>
      <c r="D179" s="11">
        <f t="shared" ca="1" si="94"/>
        <v>192493527.52495715</v>
      </c>
      <c r="E179" s="11">
        <f t="shared" ca="1" si="94"/>
        <v>121390224.22560643</v>
      </c>
      <c r="F179" s="11">
        <f t="shared" ca="1" si="94"/>
        <v>78518010.6043832</v>
      </c>
      <c r="G179" s="11">
        <f t="shared" ca="1" si="94"/>
        <v>54165746.506157994</v>
      </c>
      <c r="H179" s="11">
        <f t="shared" ca="1" si="94"/>
        <v>40317568.702953197</v>
      </c>
      <c r="I179" s="11">
        <f t="shared" ca="1" si="94"/>
        <v>28800074.140966702</v>
      </c>
      <c r="J179" s="11">
        <f t="shared" ca="1" si="94"/>
        <v>21658599.878355887</v>
      </c>
      <c r="K179" s="11">
        <f t="shared" ca="1" si="94"/>
        <v>18488041.520798266</v>
      </c>
      <c r="L179" s="11">
        <f t="shared" ca="1" si="94"/>
        <v>12221639.929904114</v>
      </c>
      <c r="M179" s="11">
        <f t="shared" ca="1" si="94"/>
        <v>13313245.595639195</v>
      </c>
      <c r="N179" s="11">
        <f t="shared" ca="1" si="94"/>
        <v>12907080.972449619</v>
      </c>
      <c r="O179" s="11">
        <f t="shared" ca="1" si="94"/>
        <v>13544436.356289711</v>
      </c>
      <c r="P179" s="11">
        <f t="shared" ca="1" si="94"/>
        <v>10769717.941924151</v>
      </c>
      <c r="Q179" s="11">
        <f t="shared" ca="1" si="94"/>
        <v>10895036.030350544</v>
      </c>
      <c r="R179" s="104">
        <f t="shared" ref="R179:R194" ca="1" si="95">R202-Q202</f>
        <v>9608717.3684129715</v>
      </c>
      <c r="S179" s="104">
        <f t="shared" ca="1" si="93"/>
        <v>9196486.9142003059</v>
      </c>
      <c r="T179" s="104">
        <f t="shared" ca="1" si="91"/>
        <v>8798744.2995374203</v>
      </c>
      <c r="U179" s="104">
        <f t="shared" ca="1" si="89"/>
        <v>10943633.722582817</v>
      </c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7"/>
      <c r="AQ179" s="7"/>
      <c r="AR179" s="7"/>
      <c r="AS179" s="7"/>
      <c r="AT179" s="19"/>
      <c r="AU179" s="90" t="s">
        <v>79</v>
      </c>
      <c r="AV179" s="30" t="s">
        <v>80</v>
      </c>
      <c r="AW179" s="30" t="s">
        <v>93</v>
      </c>
      <c r="AX179" s="30" t="s">
        <v>94</v>
      </c>
      <c r="AY179" s="99" t="s">
        <v>134</v>
      </c>
      <c r="AZ179" s="93" t="s">
        <v>125</v>
      </c>
      <c r="BA179" s="91" t="s">
        <v>83</v>
      </c>
      <c r="BB179" s="91" t="s">
        <v>84</v>
      </c>
      <c r="BC179" s="92" t="s">
        <v>129</v>
      </c>
    </row>
    <row r="180" spans="1:55" x14ac:dyDescent="0.25">
      <c r="A180" s="17">
        <f t="shared" si="85"/>
        <v>2001</v>
      </c>
      <c r="B180" s="55">
        <f t="shared" ca="1" si="86"/>
        <v>230727862.3465209</v>
      </c>
      <c r="C180" s="11">
        <f t="shared" ref="C180:P180" ca="1" si="96">C61-B61+C158*SQRT(C61-B61)</f>
        <v>336680472.09048069</v>
      </c>
      <c r="D180" s="11">
        <f t="shared" ca="1" si="96"/>
        <v>199701152.92039201</v>
      </c>
      <c r="E180" s="11">
        <f t="shared" ca="1" si="96"/>
        <v>125243891.29290141</v>
      </c>
      <c r="F180" s="11">
        <f t="shared" ca="1" si="96"/>
        <v>81667725.731243744</v>
      </c>
      <c r="G180" s="11">
        <f t="shared" ca="1" si="96"/>
        <v>55975797.001101308</v>
      </c>
      <c r="H180" s="11">
        <f t="shared" ca="1" si="96"/>
        <v>41819945.154789068</v>
      </c>
      <c r="I180" s="11">
        <f t="shared" ca="1" si="96"/>
        <v>30281767.65211612</v>
      </c>
      <c r="J180" s="11">
        <f t="shared" ca="1" si="96"/>
        <v>22084753.355040692</v>
      </c>
      <c r="K180" s="11">
        <f t="shared" ca="1" si="96"/>
        <v>19053114.471553065</v>
      </c>
      <c r="L180" s="11">
        <f t="shared" ca="1" si="96"/>
        <v>12721305.624549108</v>
      </c>
      <c r="M180" s="11">
        <f t="shared" ca="1" si="96"/>
        <v>13732738.86683665</v>
      </c>
      <c r="N180" s="11">
        <f t="shared" ca="1" si="96"/>
        <v>13219569.947620535</v>
      </c>
      <c r="O180" s="11">
        <f t="shared" ca="1" si="96"/>
        <v>13979751.352226116</v>
      </c>
      <c r="P180" s="11">
        <f t="shared" ca="1" si="96"/>
        <v>11299721.660249749</v>
      </c>
      <c r="Q180" s="104">
        <f t="shared" ref="Q180:Q194" ca="1" si="97">Q203-P203</f>
        <v>11138231.802194357</v>
      </c>
      <c r="R180" s="104">
        <f t="shared" ca="1" si="95"/>
        <v>9872563.1277942657</v>
      </c>
      <c r="S180" s="104">
        <f t="shared" ca="1" si="93"/>
        <v>9449013.2380042076</v>
      </c>
      <c r="T180" s="104">
        <f t="shared" ca="1" si="91"/>
        <v>9040349.009333849</v>
      </c>
      <c r="U180" s="104">
        <f t="shared" ca="1" si="89"/>
        <v>11244134.948627472</v>
      </c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7"/>
      <c r="AQ180" s="7"/>
      <c r="AR180" s="7"/>
      <c r="AS180" s="7"/>
      <c r="AT180" s="19"/>
      <c r="AU180" s="39">
        <v>12</v>
      </c>
      <c r="AV180" s="27">
        <f ca="1">B242</f>
        <v>2.3976655766150161</v>
      </c>
      <c r="AW180" s="32">
        <f t="shared" ref="AW180:AW219" si="98">LN(AU180)</f>
        <v>2.4849066497880004</v>
      </c>
      <c r="AX180" s="32">
        <f t="shared" ref="AX180:AX198" ca="1" si="99">IF(AV180&lt;=1,"",LN(AV180-1))</f>
        <v>0.33480339961204303</v>
      </c>
      <c r="AY180" s="32">
        <f t="shared" ref="AY180:AY194" ca="1" si="100">IF(AV180&lt;=1,"",LN(-LN(1-1/AV180)))</f>
        <v>-0.6167563242172126</v>
      </c>
      <c r="AZ180" s="32">
        <f t="shared" ref="AZ180:AZ219" ca="1" si="101">1+(EXP($AZ$171))*(AU180^$AZ$170)</f>
        <v>2.0962225915117476</v>
      </c>
      <c r="BA180" s="32">
        <f t="shared" ref="BA180:BA219" ca="1" si="102">1+EXP($BA$171+$BA$170*AU180)</f>
        <v>1.2082145982742822</v>
      </c>
      <c r="BB180" s="32">
        <f t="shared" ref="BB180:BB219" ca="1" si="103">1/(1-EXP(-EXP($BB$171)*AU180^$BB$170))</f>
        <v>1.8718502912449508</v>
      </c>
      <c r="BC180" s="33"/>
    </row>
    <row r="181" spans="1:55" x14ac:dyDescent="0.25">
      <c r="A181" s="17">
        <f t="shared" si="85"/>
        <v>2002</v>
      </c>
      <c r="B181" s="55">
        <f t="shared" ca="1" si="86"/>
        <v>228213622.71552122</v>
      </c>
      <c r="C181" s="11">
        <f t="shared" ref="C181:O181" ca="1" si="104">C62-B62+C159*SQRT(C62-B62)</f>
        <v>316473523.24014819</v>
      </c>
      <c r="D181" s="11">
        <f t="shared" ca="1" si="104"/>
        <v>188761897.1501005</v>
      </c>
      <c r="E181" s="11">
        <f t="shared" ca="1" si="104"/>
        <v>117241199.86549319</v>
      </c>
      <c r="F181" s="11">
        <f t="shared" ca="1" si="104"/>
        <v>76292843.582537457</v>
      </c>
      <c r="G181" s="11">
        <f t="shared" ca="1" si="104"/>
        <v>52743890.39484372</v>
      </c>
      <c r="H181" s="11">
        <f t="shared" ca="1" si="104"/>
        <v>39665996.494680084</v>
      </c>
      <c r="I181" s="11">
        <f t="shared" ca="1" si="104"/>
        <v>28352759.029821165</v>
      </c>
      <c r="J181" s="11">
        <f t="shared" ca="1" si="104"/>
        <v>20908854.654598638</v>
      </c>
      <c r="K181" s="11">
        <f t="shared" ca="1" si="104"/>
        <v>17889713.744841807</v>
      </c>
      <c r="L181" s="11">
        <f t="shared" ca="1" si="104"/>
        <v>12021617.988469748</v>
      </c>
      <c r="M181" s="11">
        <f t="shared" ca="1" si="104"/>
        <v>12885307.351572359</v>
      </c>
      <c r="N181" s="11">
        <f t="shared" ca="1" si="104"/>
        <v>12838278.555166606</v>
      </c>
      <c r="O181" s="11">
        <f t="shared" ca="1" si="104"/>
        <v>13209210.577433093</v>
      </c>
      <c r="P181" s="104">
        <f t="shared" ref="P181:P194" ca="1" si="105">P204-O204</f>
        <v>10598157.498590231</v>
      </c>
      <c r="Q181" s="104">
        <f t="shared" ca="1" si="97"/>
        <v>10584240.606168985</v>
      </c>
      <c r="R181" s="104">
        <f t="shared" ca="1" si="95"/>
        <v>9381523.5128774643</v>
      </c>
      <c r="S181" s="104">
        <f t="shared" ca="1" si="93"/>
        <v>8979040.0647082329</v>
      </c>
      <c r="T181" s="104">
        <f t="shared" ca="1" si="91"/>
        <v>8590701.8975560665</v>
      </c>
      <c r="U181" s="104">
        <f t="shared" ca="1" si="89"/>
        <v>10684876.362607241</v>
      </c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7"/>
      <c r="AQ181" s="7"/>
      <c r="AR181" s="7"/>
      <c r="AS181" s="7"/>
      <c r="AT181" s="19"/>
      <c r="AU181" s="40">
        <f t="shared" ref="AU181:AU219" si="106">+AU180+12</f>
        <v>24</v>
      </c>
      <c r="AV181" s="27">
        <f ca="1">C242</f>
        <v>1.3471116166777473</v>
      </c>
      <c r="AW181" s="32">
        <f t="shared" si="98"/>
        <v>3.1780538303479458</v>
      </c>
      <c r="AX181" s="32">
        <f t="shared" ca="1" si="99"/>
        <v>-1.0581088888618491</v>
      </c>
      <c r="AY181" s="32">
        <f t="shared" ca="1" si="100"/>
        <v>0.30459202441889455</v>
      </c>
      <c r="AZ181" s="32">
        <f t="shared" ca="1" si="101"/>
        <v>1.3143349622481737</v>
      </c>
      <c r="BA181" s="32">
        <f t="shared" ca="1" si="102"/>
        <v>1.165426783511591</v>
      </c>
      <c r="BB181" s="32">
        <f t="shared" ca="1" si="103"/>
        <v>1.3859281170999898</v>
      </c>
      <c r="BC181" s="33"/>
    </row>
    <row r="182" spans="1:55" x14ac:dyDescent="0.25">
      <c r="A182" s="17">
        <f t="shared" si="85"/>
        <v>2003</v>
      </c>
      <c r="B182" s="55">
        <f t="shared" ca="1" si="86"/>
        <v>157099290.33923763</v>
      </c>
      <c r="C182" s="11">
        <f t="shared" ref="C182:N182" ca="1" si="107">C63-B63+C160*SQRT(C63-B63)</f>
        <v>218548359.18632978</v>
      </c>
      <c r="D182" s="11">
        <f t="shared" ca="1" si="107"/>
        <v>130429304.20169593</v>
      </c>
      <c r="E182" s="11">
        <f t="shared" ca="1" si="107"/>
        <v>81482847.163279608</v>
      </c>
      <c r="F182" s="11">
        <f t="shared" ca="1" si="107"/>
        <v>52731695.416101672</v>
      </c>
      <c r="G182" s="11">
        <f t="shared" ca="1" si="107"/>
        <v>36896489.686311021</v>
      </c>
      <c r="H182" s="11">
        <f t="shared" ca="1" si="107"/>
        <v>27558522.47192321</v>
      </c>
      <c r="I182" s="11">
        <f t="shared" ca="1" si="107"/>
        <v>19653241.170761447</v>
      </c>
      <c r="J182" s="11">
        <f t="shared" ca="1" si="107"/>
        <v>14504137.718688881</v>
      </c>
      <c r="K182" s="11">
        <f t="shared" ca="1" si="107"/>
        <v>12181588.397999531</v>
      </c>
      <c r="L182" s="11">
        <f t="shared" ca="1" si="107"/>
        <v>8300415.4593204102</v>
      </c>
      <c r="M182" s="11">
        <f t="shared" ca="1" si="107"/>
        <v>8986563.2054380905</v>
      </c>
      <c r="N182" s="11">
        <f t="shared" ca="1" si="107"/>
        <v>8555560.4328519646</v>
      </c>
      <c r="O182" s="104">
        <f t="shared" ref="O182:O194" ca="1" si="108">O205-N205</f>
        <v>9103178.3007676601</v>
      </c>
      <c r="P182" s="104">
        <f t="shared" ca="1" si="105"/>
        <v>7323509.2676897049</v>
      </c>
      <c r="Q182" s="104">
        <f t="shared" ca="1" si="97"/>
        <v>7313892.4554619789</v>
      </c>
      <c r="R182" s="104">
        <f t="shared" ca="1" si="95"/>
        <v>6482794.2404844761</v>
      </c>
      <c r="S182" s="104">
        <f t="shared" ca="1" si="93"/>
        <v>6204671.249469161</v>
      </c>
      <c r="T182" s="104">
        <f t="shared" ca="1" si="91"/>
        <v>5936322.8911328316</v>
      </c>
      <c r="U182" s="104">
        <f t="shared" ca="1" si="89"/>
        <v>7383433.4954997301</v>
      </c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7"/>
      <c r="AQ182" s="7"/>
      <c r="AR182" s="7"/>
      <c r="AS182" s="7"/>
      <c r="AT182" s="19"/>
      <c r="AU182" s="79">
        <f t="shared" si="106"/>
        <v>36</v>
      </c>
      <c r="AV182" s="80">
        <f ca="1">D242</f>
        <v>1.1616869212604395</v>
      </c>
      <c r="AW182" s="81">
        <f t="shared" si="98"/>
        <v>3.5835189384561099</v>
      </c>
      <c r="AX182" s="81">
        <f t="shared" ca="1" si="99"/>
        <v>-1.8220933984133689</v>
      </c>
      <c r="AY182" s="81">
        <f t="shared" ca="1" si="100"/>
        <v>0.67903131364898939</v>
      </c>
      <c r="AZ182" s="81">
        <f t="shared" ca="1" si="101"/>
        <v>1.1513725013292522</v>
      </c>
      <c r="BA182" s="81">
        <f t="shared" ca="1" si="102"/>
        <v>1.131431806077984</v>
      </c>
      <c r="BB182" s="81">
        <f t="shared" ca="1" si="103"/>
        <v>1.2160915063661937</v>
      </c>
      <c r="BC182" s="82"/>
    </row>
    <row r="183" spans="1:55" x14ac:dyDescent="0.25">
      <c r="A183" s="17">
        <f t="shared" si="85"/>
        <v>2004</v>
      </c>
      <c r="B183" s="55">
        <f t="shared" ca="1" si="86"/>
        <v>115600231.20489253</v>
      </c>
      <c r="C183" s="11">
        <f t="shared" ref="C183:M183" ca="1" si="109">C64-B64+C161*SQRT(C64-B64)</f>
        <v>160276165.07044968</v>
      </c>
      <c r="D183" s="11">
        <f t="shared" ca="1" si="109"/>
        <v>95826173.077215865</v>
      </c>
      <c r="E183" s="11">
        <f t="shared" ca="1" si="109"/>
        <v>60154652.823898107</v>
      </c>
      <c r="F183" s="11">
        <f t="shared" ca="1" si="109"/>
        <v>38473658.688160524</v>
      </c>
      <c r="G183" s="11">
        <f t="shared" ca="1" si="109"/>
        <v>26814358.370975021</v>
      </c>
      <c r="H183" s="11">
        <f t="shared" ca="1" si="109"/>
        <v>19835417.408102822</v>
      </c>
      <c r="I183" s="11">
        <f t="shared" ca="1" si="109"/>
        <v>14661065.328126477</v>
      </c>
      <c r="J183" s="11">
        <f t="shared" ca="1" si="109"/>
        <v>10653880.419790119</v>
      </c>
      <c r="K183" s="11">
        <f t="shared" ca="1" si="109"/>
        <v>9050163.6719450317</v>
      </c>
      <c r="L183" s="11">
        <f t="shared" ca="1" si="109"/>
        <v>6004514.8016837146</v>
      </c>
      <c r="M183" s="11">
        <f t="shared" ca="1" si="109"/>
        <v>6638181.5950321248</v>
      </c>
      <c r="N183" s="104">
        <f t="shared" ref="N183:N194" ca="1" si="110">N206-M206</f>
        <v>6407838.5128567219</v>
      </c>
      <c r="O183" s="104">
        <f t="shared" ca="1" si="108"/>
        <v>6683269.4028410912</v>
      </c>
      <c r="P183" s="104">
        <f t="shared" ca="1" si="105"/>
        <v>5376691.9413241148</v>
      </c>
      <c r="Q183" s="104">
        <f t="shared" ca="1" si="97"/>
        <v>5369631.5779223442</v>
      </c>
      <c r="R183" s="104">
        <f t="shared" ca="1" si="95"/>
        <v>4759465.2066401243</v>
      </c>
      <c r="S183" s="104">
        <f t="shared" ca="1" si="93"/>
        <v>4555275.9867143631</v>
      </c>
      <c r="T183" s="104">
        <f t="shared" ca="1" si="91"/>
        <v>4358262.9970400333</v>
      </c>
      <c r="U183" s="104">
        <f t="shared" ca="1" si="89"/>
        <v>5420686.4391775131</v>
      </c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7"/>
      <c r="AQ183" s="7"/>
      <c r="AR183" s="7"/>
      <c r="AS183" s="7"/>
      <c r="AT183" s="19"/>
      <c r="AU183" s="40">
        <f t="shared" si="106"/>
        <v>48</v>
      </c>
      <c r="AV183" s="27">
        <f ca="1">E242</f>
        <v>1.0899235961737621</v>
      </c>
      <c r="AW183" s="32">
        <f t="shared" si="98"/>
        <v>3.8712010109078911</v>
      </c>
      <c r="AX183" s="32">
        <f t="shared" ca="1" si="99"/>
        <v>-2.4087949006008458</v>
      </c>
      <c r="AY183" s="32">
        <f t="shared" ca="1" si="100"/>
        <v>0.91424964993556146</v>
      </c>
      <c r="AZ183" s="32">
        <f t="shared" ca="1" si="101"/>
        <v>1.0901335816800688</v>
      </c>
      <c r="BA183" s="32">
        <f t="shared" ca="1" si="102"/>
        <v>1.1044227499455095</v>
      </c>
      <c r="BB183" s="32">
        <f t="shared" ca="1" si="103"/>
        <v>1.133462610327495</v>
      </c>
      <c r="BC183" s="33"/>
    </row>
    <row r="184" spans="1:55" x14ac:dyDescent="0.25">
      <c r="A184" s="17">
        <f t="shared" si="85"/>
        <v>2005</v>
      </c>
      <c r="B184" s="55">
        <f t="shared" ca="1" si="86"/>
        <v>63225152.055114567</v>
      </c>
      <c r="C184" s="11">
        <f t="shared" ref="C184:L184" ca="1" si="111">C65-B65+C162*SQRT(C65-B65)</f>
        <v>88581795.655005544</v>
      </c>
      <c r="D184" s="11">
        <f t="shared" ca="1" si="111"/>
        <v>52600236.996299133</v>
      </c>
      <c r="E184" s="11">
        <f t="shared" ca="1" si="111"/>
        <v>33413988.386146482</v>
      </c>
      <c r="F184" s="11">
        <f t="shared" ca="1" si="111"/>
        <v>21393522.356121089</v>
      </c>
      <c r="G184" s="11">
        <f t="shared" ca="1" si="111"/>
        <v>14524221.685191587</v>
      </c>
      <c r="H184" s="11">
        <f t="shared" ca="1" si="111"/>
        <v>11135445.347819855</v>
      </c>
      <c r="I184" s="11">
        <f t="shared" ca="1" si="111"/>
        <v>8135231.3793993127</v>
      </c>
      <c r="J184" s="11">
        <f t="shared" ca="1" si="111"/>
        <v>5844811.9491141178</v>
      </c>
      <c r="K184" s="11">
        <f t="shared" ca="1" si="111"/>
        <v>4996800.6890622973</v>
      </c>
      <c r="L184" s="11">
        <f t="shared" ca="1" si="111"/>
        <v>3388302.4540817724</v>
      </c>
      <c r="M184" s="104">
        <f t="shared" ref="M184:M194" ca="1" si="112">M207-L207</f>
        <v>3631639.1908442378</v>
      </c>
      <c r="N184" s="104">
        <f t="shared" ca="1" si="110"/>
        <v>3532008.6281990409</v>
      </c>
      <c r="O184" s="104">
        <f t="shared" ca="1" si="108"/>
        <v>3683826.4803414941</v>
      </c>
      <c r="P184" s="104">
        <f t="shared" ca="1" si="105"/>
        <v>2963639.344191134</v>
      </c>
      <c r="Q184" s="104">
        <f t="shared" ca="1" si="97"/>
        <v>2959747.6630253792</v>
      </c>
      <c r="R184" s="104">
        <f t="shared" ca="1" si="95"/>
        <v>2623423.1935991049</v>
      </c>
      <c r="S184" s="104">
        <f t="shared" ca="1" si="93"/>
        <v>2510873.8393799067</v>
      </c>
      <c r="T184" s="104">
        <f t="shared" ca="1" si="91"/>
        <v>2402280.0322793126</v>
      </c>
      <c r="U184" s="104">
        <f t="shared" ca="1" si="89"/>
        <v>2987889.1666077375</v>
      </c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7"/>
      <c r="AQ184" s="7"/>
      <c r="AR184" s="7"/>
      <c r="AS184" s="7"/>
      <c r="AT184" s="19"/>
      <c r="AU184" s="40">
        <f t="shared" si="106"/>
        <v>60</v>
      </c>
      <c r="AV184" s="27">
        <f ca="1">F242</f>
        <v>1.0570326297372759</v>
      </c>
      <c r="AW184" s="32">
        <f t="shared" si="98"/>
        <v>4.0943445622221004</v>
      </c>
      <c r="AX184" s="32">
        <f t="shared" ca="1" si="99"/>
        <v>-2.8641317234043053</v>
      </c>
      <c r="AY184" s="32">
        <f t="shared" ca="1" si="100"/>
        <v>1.0714456957953735</v>
      </c>
      <c r="AZ184" s="32">
        <f t="shared" ca="1" si="101"/>
        <v>1.0602890842113839</v>
      </c>
      <c r="BA184" s="32">
        <f t="shared" ca="1" si="102"/>
        <v>1.0829640178551037</v>
      </c>
      <c r="BB184" s="32">
        <f t="shared" ca="1" si="103"/>
        <v>1.0870457447977133</v>
      </c>
      <c r="BC184" s="33"/>
    </row>
    <row r="185" spans="1:55" x14ac:dyDescent="0.25">
      <c r="A185" s="17">
        <f t="shared" si="85"/>
        <v>2006</v>
      </c>
      <c r="B185" s="55">
        <f t="shared" ca="1" si="86"/>
        <v>53770815.001923941</v>
      </c>
      <c r="C185" s="11">
        <f t="shared" ref="C185:K185" ca="1" si="113">C66-B66+C163*SQRT(C66-B66)</f>
        <v>74554796.036211416</v>
      </c>
      <c r="D185" s="11">
        <f t="shared" ca="1" si="113"/>
        <v>44365026.554274976</v>
      </c>
      <c r="E185" s="11">
        <f t="shared" ca="1" si="113"/>
        <v>27790037.283668239</v>
      </c>
      <c r="F185" s="11">
        <f t="shared" ca="1" si="113"/>
        <v>18794232.536309797</v>
      </c>
      <c r="G185" s="11">
        <f t="shared" ca="1" si="113"/>
        <v>12537164.696527088</v>
      </c>
      <c r="H185" s="11">
        <f t="shared" ca="1" si="113"/>
        <v>9383133.3374396116</v>
      </c>
      <c r="I185" s="11">
        <f t="shared" ca="1" si="113"/>
        <v>6944007.9799443372</v>
      </c>
      <c r="J185" s="11">
        <f t="shared" ca="1" si="113"/>
        <v>4900051.9036824433</v>
      </c>
      <c r="K185" s="11">
        <f t="shared" ca="1" si="113"/>
        <v>4585250.4943239167</v>
      </c>
      <c r="L185" s="104">
        <f t="shared" ref="L185:L194" ca="1" si="114">L208-K208</f>
        <v>2831183.1834219098</v>
      </c>
      <c r="M185" s="104">
        <f t="shared" ca="1" si="112"/>
        <v>3078644.1731320322</v>
      </c>
      <c r="N185" s="104">
        <f t="shared" ca="1" si="110"/>
        <v>2994184.5021584332</v>
      </c>
      <c r="O185" s="104">
        <f t="shared" ca="1" si="108"/>
        <v>3122884.8276351988</v>
      </c>
      <c r="P185" s="104">
        <f t="shared" ca="1" si="105"/>
        <v>2512361.6413385272</v>
      </c>
      <c r="Q185" s="104">
        <f t="shared" ca="1" si="97"/>
        <v>2509062.5521628261</v>
      </c>
      <c r="R185" s="104">
        <f t="shared" ca="1" si="95"/>
        <v>2223950.7022050023</v>
      </c>
      <c r="S185" s="104">
        <f t="shared" ca="1" si="93"/>
        <v>2128539.4029684663</v>
      </c>
      <c r="T185" s="104">
        <f t="shared" ca="1" si="91"/>
        <v>2036481.3338983655</v>
      </c>
      <c r="U185" s="104">
        <f t="shared" ca="1" si="89"/>
        <v>2532918.9077847004</v>
      </c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7"/>
      <c r="AQ185" s="7"/>
      <c r="AR185" s="7"/>
      <c r="AS185" s="7"/>
      <c r="AT185" s="19"/>
      <c r="AU185" s="40">
        <f t="shared" si="106"/>
        <v>72</v>
      </c>
      <c r="AV185" s="27">
        <f ca="1">G242</f>
        <v>1.0403447262539804</v>
      </c>
      <c r="AW185" s="32">
        <f t="shared" si="98"/>
        <v>4.2766661190160553</v>
      </c>
      <c r="AX185" s="32">
        <f t="shared" ca="1" si="99"/>
        <v>-3.2102945928334394</v>
      </c>
      <c r="AY185" s="32">
        <f t="shared" ca="1" si="100"/>
        <v>1.1786078317264566</v>
      </c>
      <c r="AZ185" s="32">
        <f t="shared" ca="1" si="101"/>
        <v>1.0434051166790173</v>
      </c>
      <c r="BA185" s="32">
        <f t="shared" ca="1" si="102"/>
        <v>1.0659150258181642</v>
      </c>
      <c r="BB185" s="32">
        <f t="shared" ca="1" si="103"/>
        <v>1.0587923873026746</v>
      </c>
      <c r="BC185" s="33"/>
    </row>
    <row r="186" spans="1:55" x14ac:dyDescent="0.25">
      <c r="A186" s="17">
        <f t="shared" si="85"/>
        <v>2007</v>
      </c>
      <c r="B186" s="55">
        <f t="shared" ca="1" si="86"/>
        <v>47181738.459046409</v>
      </c>
      <c r="C186" s="11">
        <f t="shared" ref="C186:J186" ca="1" si="115">C67-B67+C164*SQRT(C67-B67)</f>
        <v>65628059.494618595</v>
      </c>
      <c r="D186" s="11">
        <f t="shared" ca="1" si="115"/>
        <v>39355273.639020599</v>
      </c>
      <c r="E186" s="11">
        <f t="shared" ca="1" si="115"/>
        <v>24987886.538955659</v>
      </c>
      <c r="F186" s="11">
        <f t="shared" ca="1" si="115"/>
        <v>15952940.031823756</v>
      </c>
      <c r="G186" s="11">
        <f t="shared" ca="1" si="115"/>
        <v>11097280.116602866</v>
      </c>
      <c r="H186" s="11">
        <f t="shared" ca="1" si="115"/>
        <v>8143696.625825909</v>
      </c>
      <c r="I186" s="11">
        <f t="shared" ca="1" si="115"/>
        <v>5941684.3929756656</v>
      </c>
      <c r="J186" s="11">
        <f t="shared" ca="1" si="115"/>
        <v>4370158.4994515274</v>
      </c>
      <c r="K186" s="104">
        <f t="shared" ref="K186:K194" ca="1" si="116">K209-J209</f>
        <v>3749620.242713064</v>
      </c>
      <c r="L186" s="104">
        <f t="shared" ca="1" si="114"/>
        <v>2488130.7479503751</v>
      </c>
      <c r="M186" s="104">
        <f t="shared" ca="1" si="112"/>
        <v>2705607.0670459569</v>
      </c>
      <c r="N186" s="104">
        <f t="shared" ca="1" si="110"/>
        <v>2631381.3138196468</v>
      </c>
      <c r="O186" s="104">
        <f t="shared" ca="1" si="108"/>
        <v>2744487.1131776571</v>
      </c>
      <c r="P186" s="104">
        <f t="shared" ca="1" si="105"/>
        <v>2207940.5834242404</v>
      </c>
      <c r="Q186" s="104">
        <f t="shared" ca="1" si="97"/>
        <v>2205041.2425174415</v>
      </c>
      <c r="R186" s="104">
        <f t="shared" ca="1" si="95"/>
        <v>1954476.1909026504</v>
      </c>
      <c r="S186" s="104">
        <f t="shared" ca="1" si="93"/>
        <v>1870625.810354203</v>
      </c>
      <c r="T186" s="104">
        <f t="shared" ca="1" si="91"/>
        <v>1789722.3514782488</v>
      </c>
      <c r="U186" s="104">
        <f t="shared" ca="1" si="89"/>
        <v>2226006.9406412244</v>
      </c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7"/>
      <c r="AQ186" s="7"/>
      <c r="AR186" s="7"/>
      <c r="AS186" s="7"/>
      <c r="AT186" s="7"/>
      <c r="AU186" s="40">
        <f t="shared" si="106"/>
        <v>84</v>
      </c>
      <c r="AV186" s="27">
        <f ca="1">H242</f>
        <v>1.0278607568970697</v>
      </c>
      <c r="AW186" s="32">
        <f t="shared" si="98"/>
        <v>4.4308167988433134</v>
      </c>
      <c r="AX186" s="32">
        <f t="shared" ca="1" si="99"/>
        <v>-3.5805361431219267</v>
      </c>
      <c r="AY186" s="32">
        <f t="shared" ca="1" si="100"/>
        <v>1.2831579953424517</v>
      </c>
      <c r="AZ186" s="32">
        <f t="shared" ca="1" si="101"/>
        <v>1.0328769629218901</v>
      </c>
      <c r="BA186" s="32">
        <f t="shared" ca="1" si="102"/>
        <v>1.0523695782935372</v>
      </c>
      <c r="BB186" s="32">
        <f t="shared" ca="1" si="103"/>
        <v>1.0406962495465621</v>
      </c>
      <c r="BC186" s="33"/>
    </row>
    <row r="187" spans="1:55" x14ac:dyDescent="0.25">
      <c r="A187" s="17">
        <f t="shared" si="85"/>
        <v>2008</v>
      </c>
      <c r="B187" s="55">
        <f t="shared" ca="1" si="86"/>
        <v>39874451.433903754</v>
      </c>
      <c r="C187" s="11">
        <f t="shared" ref="C187:I187" ca="1" si="117">C68-B68+C165*SQRT(C68-B68)</f>
        <v>55398708.056010075</v>
      </c>
      <c r="D187" s="11">
        <f t="shared" ca="1" si="117"/>
        <v>33122928.211994316</v>
      </c>
      <c r="E187" s="11">
        <f t="shared" ca="1" si="117"/>
        <v>20702595.272757739</v>
      </c>
      <c r="F187" s="11">
        <f t="shared" ca="1" si="117"/>
        <v>13363500.9045681</v>
      </c>
      <c r="G187" s="11">
        <f t="shared" ca="1" si="117"/>
        <v>9248915.7104481999</v>
      </c>
      <c r="H187" s="11">
        <f t="shared" ca="1" si="117"/>
        <v>6838356.7075718474</v>
      </c>
      <c r="I187" s="11">
        <f t="shared" ca="1" si="117"/>
        <v>5001491.6528482577</v>
      </c>
      <c r="J187" s="104">
        <f t="shared" ref="J187:J194" ca="1" si="118">J210-I210</f>
        <v>3681564.3277290761</v>
      </c>
      <c r="K187" s="104">
        <f t="shared" ca="1" si="116"/>
        <v>3153035.3945848048</v>
      </c>
      <c r="L187" s="104">
        <f t="shared" ca="1" si="114"/>
        <v>2092255.6970638335</v>
      </c>
      <c r="M187" s="104">
        <f t="shared" ca="1" si="112"/>
        <v>2275130.358284533</v>
      </c>
      <c r="N187" s="104">
        <f t="shared" ca="1" si="110"/>
        <v>2212714.3236028552</v>
      </c>
      <c r="O187" s="104">
        <f t="shared" ca="1" si="108"/>
        <v>2307824.3789215982</v>
      </c>
      <c r="P187" s="104">
        <f t="shared" ca="1" si="105"/>
        <v>1856645.3022025526</v>
      </c>
      <c r="Q187" s="104">
        <f t="shared" ca="1" si="97"/>
        <v>1854207.2621056139</v>
      </c>
      <c r="R187" s="104">
        <f t="shared" ca="1" si="95"/>
        <v>1643508.4645613134</v>
      </c>
      <c r="S187" s="104">
        <f t="shared" ca="1" si="93"/>
        <v>1572999.1327876449</v>
      </c>
      <c r="T187" s="104">
        <f t="shared" ca="1" si="91"/>
        <v>1504967.8515196741</v>
      </c>
      <c r="U187" s="104">
        <f t="shared" ca="1" si="89"/>
        <v>1871837.2043337524</v>
      </c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7"/>
      <c r="AQ187" s="7"/>
      <c r="AR187" s="7"/>
      <c r="AS187" s="7"/>
      <c r="AT187" s="7"/>
      <c r="AU187" s="40">
        <f t="shared" si="106"/>
        <v>96</v>
      </c>
      <c r="AV187" s="27">
        <f ca="1">I242</f>
        <v>1.0200574519981771</v>
      </c>
      <c r="AW187" s="32">
        <f t="shared" si="98"/>
        <v>4.5643481914678361</v>
      </c>
      <c r="AX187" s="32">
        <f t="shared" ca="1" si="99"/>
        <v>-3.9091545235499909</v>
      </c>
      <c r="AY187" s="32">
        <f t="shared" ca="1" si="100"/>
        <v>1.3683883701322539</v>
      </c>
      <c r="AZ187" s="32">
        <f t="shared" ca="1" si="101"/>
        <v>1.0258452400215776</v>
      </c>
      <c r="BA187" s="32">
        <f t="shared" ca="1" si="102"/>
        <v>1.0416077016825978</v>
      </c>
      <c r="BB187" s="32">
        <f t="shared" ca="1" si="103"/>
        <v>1.0286914992186527</v>
      </c>
      <c r="BC187" s="33"/>
    </row>
    <row r="188" spans="1:55" x14ac:dyDescent="0.25">
      <c r="A188" s="17">
        <f t="shared" si="85"/>
        <v>2009</v>
      </c>
      <c r="B188" s="55">
        <f t="shared" ca="1" si="86"/>
        <v>37249411.235521227</v>
      </c>
      <c r="C188" s="11">
        <f t="shared" ref="C188:H188" ca="1" si="119">C69-B69+C166*SQRT(C69-B69)</f>
        <v>51938920.328107074</v>
      </c>
      <c r="D188" s="11">
        <f t="shared" ca="1" si="119"/>
        <v>31086713.969789136</v>
      </c>
      <c r="E188" s="11">
        <f t="shared" ca="1" si="119"/>
        <v>19928650.905762494</v>
      </c>
      <c r="F188" s="11">
        <f t="shared" ca="1" si="119"/>
        <v>12630930.45992866</v>
      </c>
      <c r="G188" s="11">
        <f t="shared" ca="1" si="119"/>
        <v>8721198.4097172748</v>
      </c>
      <c r="H188" s="11">
        <f t="shared" ca="1" si="119"/>
        <v>6498696.7837950485</v>
      </c>
      <c r="I188" s="104">
        <f t="shared" ref="I188:I194" ca="1" si="120">I211-H211</f>
        <v>4682126.1854757369</v>
      </c>
      <c r="J188" s="104">
        <f t="shared" ca="1" si="118"/>
        <v>3464657.0311639309</v>
      </c>
      <c r="K188" s="104">
        <f t="shared" ca="1" si="116"/>
        <v>2967267.5191568434</v>
      </c>
      <c r="L188" s="104">
        <f t="shared" ca="1" si="114"/>
        <v>1968985.9436182678</v>
      </c>
      <c r="M188" s="104">
        <f t="shared" ca="1" si="112"/>
        <v>2141086.1500571072</v>
      </c>
      <c r="N188" s="104">
        <f t="shared" ca="1" si="110"/>
        <v>2082347.4905724823</v>
      </c>
      <c r="O188" s="104">
        <f t="shared" ca="1" si="108"/>
        <v>2171853.9320089221</v>
      </c>
      <c r="P188" s="104">
        <f t="shared" ca="1" si="105"/>
        <v>1747257.0429379046</v>
      </c>
      <c r="Q188" s="104">
        <f t="shared" ca="1" si="97"/>
        <v>1744962.6452275217</v>
      </c>
      <c r="R188" s="104">
        <f t="shared" ca="1" si="95"/>
        <v>1546677.6214208305</v>
      </c>
      <c r="S188" s="104">
        <f t="shared" ca="1" si="93"/>
        <v>1480322.4988843799</v>
      </c>
      <c r="T188" s="104">
        <f t="shared" ca="1" si="91"/>
        <v>1416299.4271675646</v>
      </c>
      <c r="U188" s="104">
        <f t="shared" ca="1" si="89"/>
        <v>1761553.8814147413</v>
      </c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7"/>
      <c r="AQ188" s="7"/>
      <c r="AR188" s="7"/>
      <c r="AS188" s="7"/>
      <c r="AT188" s="7"/>
      <c r="AU188" s="40">
        <f t="shared" si="106"/>
        <v>108</v>
      </c>
      <c r="AV188" s="27">
        <f ca="1">J242</f>
        <v>1.0168402130389944</v>
      </c>
      <c r="AW188" s="32">
        <f t="shared" si="98"/>
        <v>4.6821312271242199</v>
      </c>
      <c r="AX188" s="32">
        <f t="shared" ca="1" si="99"/>
        <v>-4.0839856194763371</v>
      </c>
      <c r="AY188" s="32">
        <f t="shared" ca="1" si="100"/>
        <v>1.4111541812448303</v>
      </c>
      <c r="AZ188" s="32">
        <f t="shared" ca="1" si="101"/>
        <v>1.0209023553574783</v>
      </c>
      <c r="BA188" s="32">
        <f t="shared" ca="1" si="102"/>
        <v>1.033057375975122</v>
      </c>
      <c r="BB188" s="32">
        <f t="shared" ca="1" si="103"/>
        <v>1.0205204534837387</v>
      </c>
      <c r="BC188" s="33"/>
    </row>
    <row r="189" spans="1:55" x14ac:dyDescent="0.25">
      <c r="A189" s="17">
        <f t="shared" si="85"/>
        <v>2010</v>
      </c>
      <c r="B189" s="55">
        <f t="shared" ca="1" si="86"/>
        <v>34399766.720165968</v>
      </c>
      <c r="C189" s="11">
        <f ca="1">C70-B70+C167*SQRT(C70-B70)</f>
        <v>47754862.352360331</v>
      </c>
      <c r="D189" s="11">
        <f ca="1">D70-C70+D167*SQRT(D70-C70)</f>
        <v>28255126.594093818</v>
      </c>
      <c r="E189" s="11">
        <f ca="1">E70-D70+E167*SQRT(E70-D70)</f>
        <v>18068607.876800738</v>
      </c>
      <c r="F189" s="11">
        <f ca="1">F70-E70+F167*SQRT(F70-E70)</f>
        <v>11557158.738443539</v>
      </c>
      <c r="G189" s="11">
        <f ca="1">G70-F70+G167*SQRT(G70-F70)</f>
        <v>7930081.6490088254</v>
      </c>
      <c r="H189" s="104">
        <f t="shared" ref="H189:H194" ca="1" si="121">H212-G212</f>
        <v>5969631.7855959833</v>
      </c>
      <c r="I189" s="104">
        <f t="shared" ca="1" si="120"/>
        <v>4288752.1801896691</v>
      </c>
      <c r="J189" s="104">
        <f t="shared" ca="1" si="118"/>
        <v>3173570.0421973765</v>
      </c>
      <c r="K189" s="104">
        <f t="shared" ca="1" si="116"/>
        <v>2717969.2596637905</v>
      </c>
      <c r="L189" s="104">
        <f t="shared" ca="1" si="114"/>
        <v>1803559.4138088524</v>
      </c>
      <c r="M189" s="104">
        <f t="shared" ca="1" si="112"/>
        <v>1961200.4312306345</v>
      </c>
      <c r="N189" s="104">
        <f t="shared" ca="1" si="110"/>
        <v>1907396.7651296258</v>
      </c>
      <c r="O189" s="104">
        <f t="shared" ca="1" si="108"/>
        <v>1989383.22398296</v>
      </c>
      <c r="P189" s="104">
        <f t="shared" ca="1" si="105"/>
        <v>1600459.3117325902</v>
      </c>
      <c r="Q189" s="104">
        <f t="shared" ca="1" si="97"/>
        <v>1598357.6803812087</v>
      </c>
      <c r="R189" s="104">
        <f t="shared" ca="1" si="95"/>
        <v>1416731.791957289</v>
      </c>
      <c r="S189" s="104">
        <f t="shared" ca="1" si="93"/>
        <v>1355951.568364054</v>
      </c>
      <c r="T189" s="104">
        <f t="shared" ca="1" si="91"/>
        <v>1297307.4657638967</v>
      </c>
      <c r="U189" s="104">
        <f t="shared" ca="1" si="89"/>
        <v>1613554.9855265915</v>
      </c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7"/>
      <c r="AQ189" s="7"/>
      <c r="AR189" s="7"/>
      <c r="AS189" s="7"/>
      <c r="AU189" s="40">
        <f t="shared" si="106"/>
        <v>120</v>
      </c>
      <c r="AV189" s="27">
        <f ca="1">K242</f>
        <v>1.0109895720691144</v>
      </c>
      <c r="AW189" s="32">
        <f t="shared" si="98"/>
        <v>4.7874917427820458</v>
      </c>
      <c r="AX189" s="32">
        <f t="shared" ca="1" si="99"/>
        <v>-4.5108084495308658</v>
      </c>
      <c r="AY189" s="32">
        <f t="shared" ca="1" si="100"/>
        <v>1.5088964498085331</v>
      </c>
      <c r="AZ189" s="32">
        <f t="shared" ca="1" si="101"/>
        <v>1.0172875172946654</v>
      </c>
      <c r="BA189" s="32">
        <f t="shared" ca="1" si="102"/>
        <v>1.0262641304895155</v>
      </c>
      <c r="BB189" s="32">
        <f t="shared" ca="1" si="103"/>
        <v>1.0148483597906386</v>
      </c>
      <c r="BC189" s="33"/>
    </row>
    <row r="190" spans="1:55" x14ac:dyDescent="0.25">
      <c r="A190" s="17">
        <f t="shared" si="85"/>
        <v>2011</v>
      </c>
      <c r="B190" s="55">
        <f t="shared" ca="1" si="86"/>
        <v>32406425.082129955</v>
      </c>
      <c r="C190" s="11">
        <f ca="1">C71-B71+C168*SQRT(C71-B71)</f>
        <v>44658664.692828849</v>
      </c>
      <c r="D190" s="11">
        <f ca="1">D71-C71+D168*SQRT(D71-C71)</f>
        <v>26418002.26766346</v>
      </c>
      <c r="E190" s="11">
        <f ca="1">E71-D71+E168*SQRT(E71-D71)</f>
        <v>16668216.248624308</v>
      </c>
      <c r="F190" s="11">
        <f ca="1">F71-E71+F168*SQRT(F71-E71)</f>
        <v>10834977.466092935</v>
      </c>
      <c r="G190" s="104">
        <f ca="1">G213-F213</f>
        <v>7470492.3362593651</v>
      </c>
      <c r="H190" s="104">
        <f t="shared" ca="1" si="121"/>
        <v>5586000.8101943731</v>
      </c>
      <c r="I190" s="104">
        <f t="shared" ca="1" si="120"/>
        <v>4013140.8458169401</v>
      </c>
      <c r="J190" s="104">
        <f t="shared" ca="1" si="118"/>
        <v>2969624.5034237802</v>
      </c>
      <c r="K190" s="104">
        <f t="shared" ca="1" si="116"/>
        <v>2543302.3395511806</v>
      </c>
      <c r="L190" s="104">
        <f t="shared" ca="1" si="114"/>
        <v>1687655.9072000086</v>
      </c>
      <c r="M190" s="104">
        <f t="shared" ca="1" si="112"/>
        <v>1835166.3203485608</v>
      </c>
      <c r="N190" s="104">
        <f t="shared" ca="1" si="110"/>
        <v>1784820.2800522447</v>
      </c>
      <c r="O190" s="104">
        <f t="shared" ca="1" si="108"/>
        <v>1861537.9809135795</v>
      </c>
      <c r="P190" s="104">
        <f t="shared" ca="1" si="105"/>
        <v>1497607.7810348272</v>
      </c>
      <c r="Q190" s="104">
        <f t="shared" ca="1" si="97"/>
        <v>1495641.2084130645</v>
      </c>
      <c r="R190" s="104">
        <f t="shared" ca="1" si="95"/>
        <v>1325687.2822200954</v>
      </c>
      <c r="S190" s="104">
        <f t="shared" ca="1" si="93"/>
        <v>1268813.0242374241</v>
      </c>
      <c r="T190" s="104">
        <f t="shared" ca="1" si="91"/>
        <v>1213937.6120842099</v>
      </c>
      <c r="U190" s="104">
        <f t="shared" ca="1" si="89"/>
        <v>1509861.877610743</v>
      </c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7"/>
      <c r="AQ190" s="7"/>
      <c r="AR190" s="7"/>
      <c r="AS190" s="7"/>
      <c r="AU190" s="40">
        <f t="shared" si="106"/>
        <v>132</v>
      </c>
      <c r="AV190" s="27">
        <f ca="1">L242</f>
        <v>1.0118202219604366</v>
      </c>
      <c r="AW190" s="32">
        <f t="shared" si="98"/>
        <v>4.8828019225863706</v>
      </c>
      <c r="AX190" s="32">
        <f t="shared" ca="1" si="99"/>
        <v>-4.4379434888017624</v>
      </c>
      <c r="AY190" s="32">
        <f t="shared" ca="1" si="100"/>
        <v>1.4928354191237334</v>
      </c>
      <c r="AZ190" s="32">
        <f t="shared" ca="1" si="101"/>
        <v>1.0145591537633798</v>
      </c>
      <c r="BA190" s="32">
        <f t="shared" ca="1" si="102"/>
        <v>1.0208668876467819</v>
      </c>
      <c r="BB190" s="32">
        <f t="shared" ca="1" si="103"/>
        <v>1.0108490205170442</v>
      </c>
      <c r="BC190" s="33"/>
    </row>
    <row r="191" spans="1:55" x14ac:dyDescent="0.25">
      <c r="A191" s="17">
        <f t="shared" si="85"/>
        <v>2012</v>
      </c>
      <c r="B191" s="55">
        <f t="shared" ca="1" si="86"/>
        <v>34250733.859025501</v>
      </c>
      <c r="C191" s="11">
        <f ca="1">C72-B72+C169*SQRT(C72-B72)</f>
        <v>48532924.407712519</v>
      </c>
      <c r="D191" s="11">
        <f ca="1">D72-C72+D169*SQRT(D72-C72)</f>
        <v>28130938.446093664</v>
      </c>
      <c r="E191" s="11">
        <f ca="1">E72-D72+E169*SQRT(E72-D72)</f>
        <v>17851531.201961122</v>
      </c>
      <c r="F191" s="104">
        <f ca="1">F214-E214</f>
        <v>11579113.287468821</v>
      </c>
      <c r="G191" s="104">
        <f ca="1">G214-F214</f>
        <v>8004258.1768772602</v>
      </c>
      <c r="H191" s="104">
        <f t="shared" ca="1" si="121"/>
        <v>5985119.9423663914</v>
      </c>
      <c r="I191" s="104">
        <f t="shared" ca="1" si="120"/>
        <v>4299879.3097182512</v>
      </c>
      <c r="J191" s="104">
        <f t="shared" ca="1" si="118"/>
        <v>3181803.8415506482</v>
      </c>
      <c r="K191" s="104">
        <f t="shared" ca="1" si="116"/>
        <v>2725021.0068238676</v>
      </c>
      <c r="L191" s="104">
        <f t="shared" ca="1" si="114"/>
        <v>1808238.7327265143</v>
      </c>
      <c r="M191" s="104">
        <f t="shared" ca="1" si="112"/>
        <v>1966288.7483711541</v>
      </c>
      <c r="N191" s="104">
        <f t="shared" ca="1" si="110"/>
        <v>1912345.4891352057</v>
      </c>
      <c r="O191" s="104">
        <f t="shared" ca="1" si="108"/>
        <v>1994544.6611295342</v>
      </c>
      <c r="P191" s="104">
        <f t="shared" ca="1" si="105"/>
        <v>1604611.689235121</v>
      </c>
      <c r="Q191" s="104">
        <f t="shared" ca="1" si="97"/>
        <v>1602504.6052198112</v>
      </c>
      <c r="R191" s="104">
        <f t="shared" ca="1" si="95"/>
        <v>1420407.4900377691</v>
      </c>
      <c r="S191" s="104">
        <f t="shared" ca="1" si="93"/>
        <v>1359469.5726929903</v>
      </c>
      <c r="T191" s="104">
        <f t="shared" ca="1" si="91"/>
        <v>1300673.3184882998</v>
      </c>
      <c r="U191" s="104">
        <f t="shared" ca="1" si="89"/>
        <v>1617741.3396387398</v>
      </c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7"/>
      <c r="AQ191" s="7"/>
      <c r="AR191" s="7"/>
      <c r="AS191" s="7"/>
      <c r="AU191" s="40">
        <f t="shared" si="106"/>
        <v>144</v>
      </c>
      <c r="AV191" s="27">
        <f ca="1">M242</f>
        <v>1.0113616482239796</v>
      </c>
      <c r="AW191" s="32">
        <f t="shared" si="98"/>
        <v>4.9698132995760007</v>
      </c>
      <c r="AX191" s="32">
        <f t="shared" ca="1" si="99"/>
        <v>-4.4775117860746425</v>
      </c>
      <c r="AY191" s="32">
        <f t="shared" ca="1" si="100"/>
        <v>1.5015874941009997</v>
      </c>
      <c r="AZ191" s="32">
        <f t="shared" ca="1" si="101"/>
        <v>1.0124461453525246</v>
      </c>
      <c r="BA191" s="32">
        <f t="shared" ca="1" si="102"/>
        <v>1.016578770815856</v>
      </c>
      <c r="BB191" s="32">
        <f t="shared" ca="1" si="103"/>
        <v>1.0079929152349667</v>
      </c>
      <c r="BC191" s="33"/>
    </row>
    <row r="192" spans="1:55" x14ac:dyDescent="0.25">
      <c r="A192" s="17">
        <f t="shared" si="85"/>
        <v>2013</v>
      </c>
      <c r="B192" s="55">
        <f t="shared" ca="1" si="86"/>
        <v>32748986.94560989</v>
      </c>
      <c r="C192" s="11">
        <f ca="1">C73-B73+C170*SQRT(C73-B73)</f>
        <v>45640225.008776441</v>
      </c>
      <c r="D192" s="11">
        <f ca="1">D73-C73+D170*SQRT(D73-C73)</f>
        <v>27328983.183131844</v>
      </c>
      <c r="E192" s="104">
        <f ca="1">E215-D215</f>
        <v>17093249.492995679</v>
      </c>
      <c r="F192" s="104">
        <f ca="1">F215-E215</f>
        <v>11043646.752470672</v>
      </c>
      <c r="G192" s="104">
        <f ca="1">G215-F215</f>
        <v>7634107.8652949929</v>
      </c>
      <c r="H192" s="104">
        <f t="shared" ca="1" si="121"/>
        <v>5708343.0115667284</v>
      </c>
      <c r="I192" s="104">
        <f t="shared" ca="1" si="120"/>
        <v>4101034.9407477081</v>
      </c>
      <c r="J192" s="104">
        <f t="shared" ca="1" si="118"/>
        <v>3034663.949593395</v>
      </c>
      <c r="K192" s="104">
        <f t="shared" ca="1" si="116"/>
        <v>2599004.6599676609</v>
      </c>
      <c r="L192" s="104">
        <f t="shared" ca="1" si="114"/>
        <v>1724618.2252986729</v>
      </c>
      <c r="M192" s="104">
        <f t="shared" ca="1" si="112"/>
        <v>1875359.3484458923</v>
      </c>
      <c r="N192" s="104">
        <f t="shared" ca="1" si="110"/>
        <v>1823910.6507011652</v>
      </c>
      <c r="O192" s="104">
        <f t="shared" ca="1" si="108"/>
        <v>1902308.5898450315</v>
      </c>
      <c r="P192" s="104">
        <f t="shared" ca="1" si="105"/>
        <v>1530407.7463319898</v>
      </c>
      <c r="Q192" s="104">
        <f t="shared" ca="1" si="97"/>
        <v>1528398.1026774943</v>
      </c>
      <c r="R192" s="104">
        <f t="shared" ca="1" si="95"/>
        <v>1354721.9182592034</v>
      </c>
      <c r="S192" s="104">
        <f t="shared" ca="1" si="93"/>
        <v>1296602.0245955884</v>
      </c>
      <c r="T192" s="104">
        <f t="shared" ca="1" si="91"/>
        <v>1240524.7546281219</v>
      </c>
      <c r="U192" s="104">
        <f t="shared" ca="1" si="89"/>
        <v>1542930.2268916965</v>
      </c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7"/>
      <c r="AQ192" s="7"/>
      <c r="AR192" s="7"/>
      <c r="AS192" s="7"/>
      <c r="AU192" s="40">
        <f t="shared" si="106"/>
        <v>156</v>
      </c>
      <c r="AV192" s="27">
        <f ca="1">N242</f>
        <v>1.0117168876997258</v>
      </c>
      <c r="AW192" s="32">
        <f t="shared" si="98"/>
        <v>5.0498560072495371</v>
      </c>
      <c r="AX192" s="32">
        <f t="shared" ca="1" si="99"/>
        <v>-4.4467240847300502</v>
      </c>
      <c r="AY192" s="32">
        <f t="shared" ca="1" si="100"/>
        <v>1.4947838701424945</v>
      </c>
      <c r="AZ192" s="32">
        <f t="shared" ca="1" si="101"/>
        <v>1.0107742681091552</v>
      </c>
      <c r="BA192" s="32">
        <f t="shared" ca="1" si="102"/>
        <v>1.0131718561204344</v>
      </c>
      <c r="BB192" s="32">
        <f t="shared" ca="1" si="103"/>
        <v>1.0059313327323176</v>
      </c>
      <c r="BC192" s="33"/>
    </row>
    <row r="193" spans="1:57" x14ac:dyDescent="0.25">
      <c r="A193" s="17">
        <f t="shared" si="85"/>
        <v>2014</v>
      </c>
      <c r="B193" s="55">
        <f t="shared" ca="1" si="86"/>
        <v>33289740.852947723</v>
      </c>
      <c r="C193" s="11">
        <f ca="1">C74-B74+C171*SQRT(C74-B74)</f>
        <v>46159715.076427758</v>
      </c>
      <c r="D193" s="104">
        <f ca="1">D216-C216</f>
        <v>27577829.091812953</v>
      </c>
      <c r="E193" s="104">
        <f ca="1">E216-D216</f>
        <v>17304912.205939516</v>
      </c>
      <c r="F193" s="104">
        <f ca="1">F216-E216</f>
        <v>11180398.294848785</v>
      </c>
      <c r="G193" s="104">
        <f ca="1">G216-F216</f>
        <v>7728639.6851421297</v>
      </c>
      <c r="H193" s="104">
        <f t="shared" ca="1" si="121"/>
        <v>5779028.4227132499</v>
      </c>
      <c r="I193" s="104">
        <f t="shared" ca="1" si="120"/>
        <v>4151817.3377279937</v>
      </c>
      <c r="J193" s="104">
        <f t="shared" ca="1" si="118"/>
        <v>3072241.661467731</v>
      </c>
      <c r="K193" s="104">
        <f t="shared" ca="1" si="116"/>
        <v>2631187.6792061925</v>
      </c>
      <c r="L193" s="104">
        <f t="shared" ca="1" si="114"/>
        <v>1745973.8705496788</v>
      </c>
      <c r="M193" s="104">
        <f t="shared" ca="1" si="112"/>
        <v>1898581.5946079791</v>
      </c>
      <c r="N193" s="104">
        <f t="shared" ca="1" si="110"/>
        <v>1846495.816655308</v>
      </c>
      <c r="O193" s="104">
        <f t="shared" ca="1" si="108"/>
        <v>1925864.5437406301</v>
      </c>
      <c r="P193" s="104">
        <f t="shared" ca="1" si="105"/>
        <v>1549358.5172565877</v>
      </c>
      <c r="Q193" s="104">
        <f t="shared" ca="1" si="97"/>
        <v>1547323.9885368943</v>
      </c>
      <c r="R193" s="104">
        <f t="shared" ca="1" si="95"/>
        <v>1371497.2023630738</v>
      </c>
      <c r="S193" s="104">
        <f t="shared" ca="1" si="93"/>
        <v>1312657.620241493</v>
      </c>
      <c r="T193" s="104">
        <f t="shared" ca="1" si="91"/>
        <v>1255885.9552673697</v>
      </c>
      <c r="U193" s="104">
        <f t="shared" ca="1" si="89"/>
        <v>1562036.0614985526</v>
      </c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7"/>
      <c r="AQ193" s="7"/>
      <c r="AR193" s="7"/>
      <c r="AS193" s="7"/>
      <c r="AU193" s="40">
        <f t="shared" si="106"/>
        <v>168</v>
      </c>
      <c r="AV193" s="27">
        <f ca="1">O242</f>
        <v>1.0093170720596143</v>
      </c>
      <c r="AW193" s="32">
        <f t="shared" si="98"/>
        <v>5.1239639794032588</v>
      </c>
      <c r="AX193" s="32">
        <f t="shared" ca="1" si="99"/>
        <v>-4.6759068563359341</v>
      </c>
      <c r="AY193" s="32">
        <f t="shared" ca="1" si="100"/>
        <v>1.5444045045313064</v>
      </c>
      <c r="AZ193" s="32">
        <f t="shared" ca="1" si="101"/>
        <v>1.0094272632026633</v>
      </c>
      <c r="BA193" s="32">
        <f t="shared" ca="1" si="102"/>
        <v>1.0104650577286158</v>
      </c>
      <c r="BB193" s="32">
        <f t="shared" ca="1" si="103"/>
        <v>1.0044295989820202</v>
      </c>
      <c r="BC193" s="33"/>
    </row>
    <row r="194" spans="1:57" x14ac:dyDescent="0.25">
      <c r="A194" s="17">
        <f t="shared" si="85"/>
        <v>2015</v>
      </c>
      <c r="B194" s="55">
        <f t="shared" ca="1" si="86"/>
        <v>29356556.946547687</v>
      </c>
      <c r="C194" s="104">
        <f ca="1">C217-B217</f>
        <v>41030649.092128128</v>
      </c>
      <c r="D194" s="104">
        <f ca="1">D217-C217</f>
        <v>24432216.88151446</v>
      </c>
      <c r="E194" s="104">
        <f ca="1">E217-D217</f>
        <v>15331060.567657113</v>
      </c>
      <c r="F194" s="104">
        <f ca="1">F217-E217</f>
        <v>9905127.5955058336</v>
      </c>
      <c r="G194" s="104">
        <f ca="1">G217-F217</f>
        <v>6847087.21479927</v>
      </c>
      <c r="H194" s="104">
        <f t="shared" ca="1" si="121"/>
        <v>5119854.623730436</v>
      </c>
      <c r="I194" s="104">
        <f t="shared" ca="1" si="120"/>
        <v>3678248.2518870831</v>
      </c>
      <c r="J194" s="104">
        <f t="shared" ca="1" si="118"/>
        <v>2721812.305657059</v>
      </c>
      <c r="K194" s="104">
        <f t="shared" ca="1" si="116"/>
        <v>2331066.3004079461</v>
      </c>
      <c r="L194" s="104">
        <f t="shared" ca="1" si="114"/>
        <v>1546822.7079335451</v>
      </c>
      <c r="M194" s="104">
        <f t="shared" ca="1" si="112"/>
        <v>1682023.5244870782</v>
      </c>
      <c r="N194" s="104">
        <f t="shared" ca="1" si="110"/>
        <v>1635878.8109512329</v>
      </c>
      <c r="O194" s="104">
        <f t="shared" ca="1" si="108"/>
        <v>1706194.4963267148</v>
      </c>
      <c r="P194" s="104">
        <f t="shared" ca="1" si="105"/>
        <v>1372633.9080139101</v>
      </c>
      <c r="Q194" s="104">
        <f t="shared" ca="1" si="97"/>
        <v>1370831.4439125359</v>
      </c>
      <c r="R194" s="104">
        <f t="shared" ca="1" si="95"/>
        <v>1215060.003054142</v>
      </c>
      <c r="S194" s="104">
        <f t="shared" ca="1" si="93"/>
        <v>1162931.8450752795</v>
      </c>
      <c r="T194" s="104">
        <f t="shared" ca="1" si="91"/>
        <v>1112635.7312385142</v>
      </c>
      <c r="U194" s="104">
        <f t="shared" ca="1" si="89"/>
        <v>1383865.4124740064</v>
      </c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7"/>
      <c r="AQ194" s="7"/>
      <c r="AR194" s="7"/>
      <c r="AS194" s="7"/>
      <c r="AU194" s="40">
        <f t="shared" si="106"/>
        <v>180</v>
      </c>
      <c r="AV194" s="27">
        <f ca="1">P242</f>
        <v>1.0092189438509243</v>
      </c>
      <c r="AW194" s="32">
        <f t="shared" si="98"/>
        <v>5.1929568508902104</v>
      </c>
      <c r="AX194" s="32">
        <f t="shared" ca="1" si="99"/>
        <v>-4.686494797766259</v>
      </c>
      <c r="AY194" s="32">
        <f t="shared" ca="1" si="100"/>
        <v>1.546641128318226</v>
      </c>
      <c r="AZ194" s="32">
        <f t="shared" ca="1" si="101"/>
        <v>1.0083250514545059</v>
      </c>
      <c r="BA194" s="32">
        <f t="shared" ca="1" si="102"/>
        <v>1.0083145026989295</v>
      </c>
      <c r="BB194" s="32">
        <f t="shared" ca="1" si="103"/>
        <v>1.0033269633095496</v>
      </c>
      <c r="BC194" s="33"/>
    </row>
    <row r="195" spans="1:57" x14ac:dyDescent="0.25">
      <c r="A195" s="17"/>
      <c r="B195" s="55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U195" s="40">
        <f t="shared" si="106"/>
        <v>192</v>
      </c>
      <c r="AV195" s="27">
        <f ca="1">Q242</f>
        <v>1.0080967260137208</v>
      </c>
      <c r="AW195" s="32">
        <f t="shared" si="98"/>
        <v>5.2574953720277815</v>
      </c>
      <c r="AX195" s="32">
        <f t="shared" ca="1" si="99"/>
        <v>-4.8162954948498378</v>
      </c>
      <c r="AY195" s="32"/>
      <c r="AZ195" s="32">
        <f t="shared" ca="1" si="101"/>
        <v>1.0074109607021273</v>
      </c>
      <c r="BA195" s="32">
        <f t="shared" ca="1" si="102"/>
        <v>1.00660588378232</v>
      </c>
      <c r="BB195" s="32">
        <f t="shared" ca="1" si="103"/>
        <v>1.0025116772847376</v>
      </c>
      <c r="BC195" s="33"/>
    </row>
    <row r="196" spans="1:57" x14ac:dyDescent="0.25">
      <c r="A196" s="57" t="s">
        <v>121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19"/>
      <c r="M196" s="19"/>
      <c r="N196" s="19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U196" s="40">
        <f t="shared" si="106"/>
        <v>204</v>
      </c>
      <c r="AV196" s="27">
        <f ca="1">R242</f>
        <v>1.0076871220605559</v>
      </c>
      <c r="AW196" s="32">
        <f t="shared" si="98"/>
        <v>5.3181199938442161</v>
      </c>
      <c r="AX196" s="32">
        <f t="shared" ca="1" si="99"/>
        <v>-4.8682088099125522</v>
      </c>
      <c r="AY196" s="32"/>
      <c r="AZ196" s="32">
        <f t="shared" ca="1" si="101"/>
        <v>1.0066439352150942</v>
      </c>
      <c r="BA196" s="32">
        <f t="shared" ca="1" si="102"/>
        <v>1.0052483837128512</v>
      </c>
      <c r="BB196" s="32">
        <f t="shared" ca="1" si="103"/>
        <v>1.0019050813637231</v>
      </c>
      <c r="BC196" s="33"/>
      <c r="BE196" s="61">
        <f ca="1">1-1/AZ169</f>
        <v>5.431847451609495E-2</v>
      </c>
    </row>
    <row r="197" spans="1:57" x14ac:dyDescent="0.25">
      <c r="A197" s="15" t="s">
        <v>72</v>
      </c>
      <c r="B197" s="20">
        <f t="shared" ref="B197:U197" si="122">B8</f>
        <v>12</v>
      </c>
      <c r="C197" s="20">
        <f t="shared" si="122"/>
        <v>24</v>
      </c>
      <c r="D197" s="20">
        <f t="shared" si="122"/>
        <v>36</v>
      </c>
      <c r="E197" s="20">
        <f t="shared" si="122"/>
        <v>48</v>
      </c>
      <c r="F197" s="20">
        <f t="shared" si="122"/>
        <v>60</v>
      </c>
      <c r="G197" s="20">
        <f t="shared" si="122"/>
        <v>72</v>
      </c>
      <c r="H197" s="20">
        <f t="shared" si="122"/>
        <v>84</v>
      </c>
      <c r="I197" s="20">
        <f t="shared" si="122"/>
        <v>96</v>
      </c>
      <c r="J197" s="20">
        <f t="shared" si="122"/>
        <v>108</v>
      </c>
      <c r="K197" s="20">
        <f t="shared" si="122"/>
        <v>120</v>
      </c>
      <c r="L197" s="20">
        <f t="shared" si="122"/>
        <v>132</v>
      </c>
      <c r="M197" s="20">
        <f t="shared" si="122"/>
        <v>144</v>
      </c>
      <c r="N197" s="20">
        <f t="shared" si="122"/>
        <v>156</v>
      </c>
      <c r="O197" s="20">
        <f t="shared" si="122"/>
        <v>168</v>
      </c>
      <c r="P197" s="20">
        <f t="shared" si="122"/>
        <v>180</v>
      </c>
      <c r="Q197" s="20">
        <f t="shared" si="122"/>
        <v>192</v>
      </c>
      <c r="R197" s="20">
        <f t="shared" si="122"/>
        <v>204</v>
      </c>
      <c r="S197" s="20">
        <f t="shared" si="122"/>
        <v>216</v>
      </c>
      <c r="T197" s="20">
        <f t="shared" si="122"/>
        <v>228</v>
      </c>
      <c r="U197" s="20">
        <f t="shared" si="122"/>
        <v>240</v>
      </c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  <c r="AM197" s="20"/>
      <c r="AN197" s="20"/>
      <c r="AO197" s="20"/>
      <c r="AQ197" s="7" t="s">
        <v>99</v>
      </c>
      <c r="AR197" t="s">
        <v>86</v>
      </c>
      <c r="AU197" s="40">
        <f t="shared" si="106"/>
        <v>216</v>
      </c>
      <c r="AV197" s="27">
        <f ca="1">S242</f>
        <v>1.0072985537090331</v>
      </c>
      <c r="AW197" s="32">
        <f t="shared" si="98"/>
        <v>5.3752784076841653</v>
      </c>
      <c r="AX197" s="32">
        <f t="shared" ca="1" si="99"/>
        <v>-4.9200790725068186</v>
      </c>
      <c r="AY197" s="32"/>
      <c r="AZ197" s="32">
        <f t="shared" ca="1" si="101"/>
        <v>1.0059936194830013</v>
      </c>
      <c r="BA197" s="32">
        <f t="shared" ca="1" si="102"/>
        <v>1.0041698480483481</v>
      </c>
      <c r="BB197" s="32">
        <f t="shared" ca="1" si="103"/>
        <v>1.0014512095713719</v>
      </c>
      <c r="BC197" s="33"/>
    </row>
    <row r="198" spans="1:57" x14ac:dyDescent="0.25">
      <c r="A198" s="17">
        <f t="shared" ref="A198:A216" si="123">A110</f>
        <v>1996</v>
      </c>
      <c r="B198" s="56">
        <f ca="1">SUM($B175:B175)</f>
        <v>154510453.73380524</v>
      </c>
      <c r="C198" s="58">
        <f ca="1">SUM($B175:C175)</f>
        <v>368882836.49646157</v>
      </c>
      <c r="D198" s="58">
        <f ca="1">SUM($B175:D175)</f>
        <v>497126082.78419232</v>
      </c>
      <c r="E198" s="58">
        <f ca="1">SUM($B175:E175)</f>
        <v>577519195.96941948</v>
      </c>
      <c r="F198" s="58">
        <f ca="1">SUM($B175:F175)</f>
        <v>629439841.16882396</v>
      </c>
      <c r="G198" s="58">
        <f ca="1">SUM($B175:G175)</f>
        <v>665352100.42362702</v>
      </c>
      <c r="H198" s="58">
        <f ca="1">SUM($B175:H175)</f>
        <v>691953928.10916281</v>
      </c>
      <c r="I198" s="58">
        <f ca="1">SUM($B175:I175)</f>
        <v>711009124.33009768</v>
      </c>
      <c r="J198" s="58">
        <f ca="1">SUM($B175:J175)</f>
        <v>725189603.04527712</v>
      </c>
      <c r="K198" s="58">
        <f ca="1">SUM($B175:K175)</f>
        <v>737272433.44265878</v>
      </c>
      <c r="L198" s="58">
        <f ca="1">SUM($B175:L175)</f>
        <v>745248088.06460834</v>
      </c>
      <c r="M198" s="58">
        <f ca="1">SUM($B175:M175)</f>
        <v>754226708.34973276</v>
      </c>
      <c r="N198" s="58">
        <f ca="1">SUM($B175:N175)</f>
        <v>762771759.38831627</v>
      </c>
      <c r="O198" s="58">
        <f ca="1">SUM($B175:O175)</f>
        <v>771807576.41636992</v>
      </c>
      <c r="P198" s="58">
        <f ca="1">SUM($B175:P175)</f>
        <v>779071344.42043042</v>
      </c>
      <c r="Q198" s="58">
        <f ca="1">SUM($B175:Q175)</f>
        <v>786195450.34814763</v>
      </c>
      <c r="R198" s="58">
        <f ca="1">SUM($B175:R175)</f>
        <v>792476156.76411009</v>
      </c>
      <c r="S198" s="58">
        <f ca="1">SUM($B175:S175)</f>
        <v>798586700.79533136</v>
      </c>
      <c r="T198" s="58">
        <f ca="1">SUM($B175:T175)</f>
        <v>804438722.03290796</v>
      </c>
      <c r="U198" s="11">
        <f ca="1">SUM($B175:U175)</f>
        <v>811688294.86762393</v>
      </c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Q198" s="59">
        <f t="shared" ref="AQ198:AQ217" ca="1" si="124">U198*INDEX($AW$169:$BC$169,INT(RAND()*COUNT($AW$169:$BC$169))+1)</f>
        <v>951680376.32773888</v>
      </c>
      <c r="AR198" s="43">
        <f ca="1">AQ198-AS245</f>
        <v>138701838.94773889</v>
      </c>
      <c r="AU198" s="40">
        <f t="shared" si="106"/>
        <v>228</v>
      </c>
      <c r="AV198" s="27">
        <f ca="1">T242</f>
        <v>1.0090119640392192</v>
      </c>
      <c r="AW198" s="32">
        <f t="shared" si="98"/>
        <v>5.4293456289544411</v>
      </c>
      <c r="AX198" s="32">
        <f t="shared" ca="1" si="99"/>
        <v>-4.7092022467419801</v>
      </c>
      <c r="AY198" s="32"/>
      <c r="AZ198" s="32">
        <f t="shared" ca="1" si="101"/>
        <v>1.0054371627391061</v>
      </c>
      <c r="BA198" s="32">
        <f t="shared" ca="1" si="102"/>
        <v>1.0033129499856759</v>
      </c>
      <c r="BB198" s="32">
        <f t="shared" ca="1" si="103"/>
        <v>1.0011098678684496</v>
      </c>
      <c r="BC198" s="33">
        <f ca="1">MAX(+AV198,1)</f>
        <v>1.0090119640392192</v>
      </c>
      <c r="BE198" t="s">
        <v>146</v>
      </c>
    </row>
    <row r="199" spans="1:57" x14ac:dyDescent="0.25">
      <c r="A199" s="17">
        <f t="shared" si="123"/>
        <v>1997</v>
      </c>
      <c r="B199" s="56">
        <f ca="1">SUM($B176:B176)</f>
        <v>180914274.34039164</v>
      </c>
      <c r="C199" s="58">
        <f ca="1">SUM($B176:C176)</f>
        <v>431792421.61378878</v>
      </c>
      <c r="D199" s="58">
        <f ca="1">SUM($B176:D176)</f>
        <v>581232037.53209317</v>
      </c>
      <c r="E199" s="58">
        <f ca="1">SUM($B176:E176)</f>
        <v>675186583.90679884</v>
      </c>
      <c r="F199" s="58">
        <f ca="1">SUM($B176:F176)</f>
        <v>735433511.96027279</v>
      </c>
      <c r="G199" s="58">
        <f ca="1">SUM($B176:G176)</f>
        <v>777405825.97886693</v>
      </c>
      <c r="H199" s="58">
        <f ca="1">SUM($B176:H176)</f>
        <v>808897235.21890211</v>
      </c>
      <c r="I199" s="58">
        <f ca="1">SUM($B176:I176)</f>
        <v>831227280.55772972</v>
      </c>
      <c r="J199" s="58">
        <f ca="1">SUM($B176:J176)</f>
        <v>848007301.4538132</v>
      </c>
      <c r="K199" s="58">
        <f ca="1">SUM($B176:K176)</f>
        <v>862429749.44671869</v>
      </c>
      <c r="L199" s="58">
        <f ca="1">SUM($B176:L176)</f>
        <v>871909972.52304912</v>
      </c>
      <c r="M199" s="58">
        <f ca="1">SUM($B176:M176)</f>
        <v>882205436.0555613</v>
      </c>
      <c r="N199" s="58">
        <f ca="1">SUM($B176:N176)</f>
        <v>892258383.28159165</v>
      </c>
      <c r="O199" s="58">
        <f ca="1">SUM($B176:O176)</f>
        <v>902785479.41367364</v>
      </c>
      <c r="P199" s="58">
        <f ca="1">SUM($B176:P176)</f>
        <v>911065511.0557723</v>
      </c>
      <c r="Q199" s="58">
        <f ca="1">SUM($B176:Q176)</f>
        <v>919501912.56505084</v>
      </c>
      <c r="R199" s="58">
        <f ca="1">SUM($B176:R176)</f>
        <v>927065187.4298203</v>
      </c>
      <c r="S199" s="58">
        <f ca="1">SUM($B176:S176)</f>
        <v>934067574.20747709</v>
      </c>
      <c r="T199" s="58">
        <f ca="1">SUM($B176:T176)</f>
        <v>940861423.25519443</v>
      </c>
      <c r="U199" s="105">
        <f t="shared" ref="U199:U217" ca="1" si="125">T199*T$242</f>
        <v>949340432.56745887</v>
      </c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05"/>
      <c r="AH199" s="105"/>
      <c r="AI199" s="105"/>
      <c r="AJ199" s="105"/>
      <c r="AK199" s="105"/>
      <c r="AL199" s="105"/>
      <c r="AM199" s="105"/>
      <c r="AN199" s="105"/>
      <c r="AO199" s="105"/>
      <c r="AQ199" s="59">
        <f t="shared" ca="1" si="124"/>
        <v>1003869069.009973</v>
      </c>
      <c r="AR199" s="43">
        <f ca="1">AQ199-AS246</f>
        <v>63403487.639972925</v>
      </c>
      <c r="AU199" s="41">
        <f t="shared" si="106"/>
        <v>240</v>
      </c>
      <c r="AV199" s="34"/>
      <c r="AW199" s="35">
        <f t="shared" si="98"/>
        <v>5.4806389233419912</v>
      </c>
      <c r="AX199" s="35"/>
      <c r="AY199" s="35"/>
      <c r="AZ199" s="35">
        <f t="shared" ca="1" si="101"/>
        <v>1.0049570873089648</v>
      </c>
      <c r="BA199" s="35">
        <f t="shared" ca="1" si="102"/>
        <v>1.0026321433012262</v>
      </c>
      <c r="BB199" s="35">
        <f t="shared" ca="1" si="103"/>
        <v>1.0008519500388791</v>
      </c>
      <c r="BC199" s="37">
        <f t="shared" ref="BC199:BC219" ca="1" si="126">+(BC198-1)*(EXP($BA$170*12)*(1+(RAND()-0.5)*2/5))+1</f>
        <v>1.0079618235330075</v>
      </c>
      <c r="BE199">
        <f ca="1">IF($BE$196=0,1,(1/PRODUCT(AZ200:AZ$219)-1/PRODUCT(AZ199:AZ$219))/$BE$196)</f>
        <v>8.6302605698362234E-2</v>
      </c>
    </row>
    <row r="200" spans="1:57" x14ac:dyDescent="0.25">
      <c r="A200" s="17">
        <f t="shared" si="123"/>
        <v>1998</v>
      </c>
      <c r="B200" s="56">
        <f ca="1">SUM($B177:B177)</f>
        <v>224563455.27332133</v>
      </c>
      <c r="C200" s="58">
        <f ca="1">SUM($B177:C177)</f>
        <v>536401271.5101248</v>
      </c>
      <c r="D200" s="58">
        <f ca="1">SUM($B177:D177)</f>
        <v>722610806.21945715</v>
      </c>
      <c r="E200" s="58">
        <f ca="1">SUM($B177:E177)</f>
        <v>838925013.17215991</v>
      </c>
      <c r="F200" s="58">
        <f ca="1">SUM($B177:F177)</f>
        <v>913757058.41392255</v>
      </c>
      <c r="G200" s="58">
        <f ca="1">SUM($B177:G177)</f>
        <v>965552581.01759601</v>
      </c>
      <c r="H200" s="58">
        <f ca="1">SUM($B177:H177)</f>
        <v>1004669981.9588506</v>
      </c>
      <c r="I200" s="58">
        <f ca="1">SUM($B177:I177)</f>
        <v>1032307270.0250356</v>
      </c>
      <c r="J200" s="58">
        <f ca="1">SUM($B177:J177)</f>
        <v>1052865164.3312714</v>
      </c>
      <c r="K200" s="58">
        <f ca="1">SUM($B177:K177)</f>
        <v>1070558147.0006113</v>
      </c>
      <c r="L200" s="58">
        <f ca="1">SUM($B177:L177)</f>
        <v>1082173739.7733629</v>
      </c>
      <c r="M200" s="58">
        <f ca="1">SUM($B177:M177)</f>
        <v>1094883361.0024402</v>
      </c>
      <c r="N200" s="58">
        <f ca="1">SUM($B177:N177)</f>
        <v>1107493658.8474159</v>
      </c>
      <c r="O200" s="58">
        <f ca="1">SUM($B177:O177)</f>
        <v>1120193489.0742517</v>
      </c>
      <c r="P200" s="58">
        <f ca="1">SUM($B177:P177)</f>
        <v>1130718386.2822344</v>
      </c>
      <c r="Q200" s="58">
        <f ca="1">SUM($B177:Q177)</f>
        <v>1141144721.02736</v>
      </c>
      <c r="R200" s="58">
        <f ca="1">SUM($B177:R177)</f>
        <v>1150500156.9693031</v>
      </c>
      <c r="S200" s="58">
        <f ca="1">SUM($B177:S177)</f>
        <v>1159449585.4987276</v>
      </c>
      <c r="T200" s="105">
        <f t="shared" ref="T200:T217" ca="1" si="127">S200*S$242</f>
        <v>1167911890.5714061</v>
      </c>
      <c r="U200" s="105">
        <f t="shared" ca="1" si="125"/>
        <v>1178437070.5302122</v>
      </c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05"/>
      <c r="AH200" s="105"/>
      <c r="AI200" s="105"/>
      <c r="AJ200" s="105"/>
      <c r="AK200" s="105"/>
      <c r="AL200" s="105"/>
      <c r="AM200" s="105"/>
      <c r="AN200" s="105"/>
      <c r="AO200" s="105"/>
      <c r="AQ200" s="59">
        <f t="shared" ca="1" si="124"/>
        <v>1214932975.2922394</v>
      </c>
      <c r="AR200" s="43">
        <f t="shared" ref="AR200:AR217" ca="1" si="128">AQ200-AS247</f>
        <v>53043175.302239418</v>
      </c>
      <c r="AU200" s="41">
        <f t="shared" si="106"/>
        <v>252</v>
      </c>
      <c r="AV200" s="36"/>
      <c r="AW200" s="35">
        <f t="shared" si="98"/>
        <v>5.5294290875114234</v>
      </c>
      <c r="AX200" s="36"/>
      <c r="AY200" s="35"/>
      <c r="AZ200" s="35">
        <f t="shared" ca="1" si="101"/>
        <v>1.0045398335631202</v>
      </c>
      <c r="BA200" s="35">
        <f t="shared" ca="1" si="102"/>
        <v>1.0020912414579588</v>
      </c>
      <c r="BB200" s="35">
        <f t="shared" ca="1" si="103"/>
        <v>1.0006562232572691</v>
      </c>
      <c r="BC200" s="37">
        <f t="shared" ca="1" si="126"/>
        <v>1.0052414853844873</v>
      </c>
      <c r="BE200">
        <f ca="1">IF($BE$196=0,1,(1/PRODUCT(AZ201:AZ$219)-1/PRODUCT(AZ200:AZ$219))/$BE$196)</f>
        <v>7.9430041383837552E-2</v>
      </c>
    </row>
    <row r="201" spans="1:57" x14ac:dyDescent="0.25">
      <c r="A201" s="17">
        <f t="shared" si="123"/>
        <v>1999</v>
      </c>
      <c r="B201" s="56">
        <f ca="1">SUM($B178:B178)</f>
        <v>246989867.8620249</v>
      </c>
      <c r="C201" s="58">
        <f ca="1">SUM($B178:C178)</f>
        <v>590709143.02133512</v>
      </c>
      <c r="D201" s="58">
        <f ca="1">SUM($B178:D178)</f>
        <v>795337430.57932544</v>
      </c>
      <c r="E201" s="58">
        <f ca="1">SUM($B178:E178)</f>
        <v>923610084.70154822</v>
      </c>
      <c r="F201" s="58">
        <f ca="1">SUM($B178:F178)</f>
        <v>1006003872.9287508</v>
      </c>
      <c r="G201" s="58">
        <f ca="1">SUM($B178:G178)</f>
        <v>1063194205.642895</v>
      </c>
      <c r="H201" s="58">
        <f ca="1">SUM($B178:H178)</f>
        <v>1105883079.331727</v>
      </c>
      <c r="I201" s="58">
        <f ca="1">SUM($B178:I178)</f>
        <v>1136644598.147871</v>
      </c>
      <c r="J201" s="58">
        <f ca="1">SUM($B178:J178)</f>
        <v>1159704214.6890619</v>
      </c>
      <c r="K201" s="58">
        <f ca="1">SUM($B178:K178)</f>
        <v>1179245257.9038622</v>
      </c>
      <c r="L201" s="58">
        <f ca="1">SUM($B178:L178)</f>
        <v>1192209485.5258913</v>
      </c>
      <c r="M201" s="58">
        <f ca="1">SUM($B178:M178)</f>
        <v>1206183142.5176368</v>
      </c>
      <c r="N201" s="58">
        <f ca="1">SUM($B178:N178)</f>
        <v>1219774993.2233155</v>
      </c>
      <c r="O201" s="58">
        <f ca="1">SUM($B178:O178)</f>
        <v>1233964567.7693741</v>
      </c>
      <c r="P201" s="58">
        <f ca="1">SUM($B178:P178)</f>
        <v>1245369204.7776675</v>
      </c>
      <c r="Q201" s="58">
        <f ca="1">SUM($B178:Q178)</f>
        <v>1256813680.0734091</v>
      </c>
      <c r="R201" s="58">
        <f ca="1">SUM($B178:R178)</f>
        <v>1266840439.2265806</v>
      </c>
      <c r="S201" s="105">
        <f t="shared" ref="S201:S217" ca="1" si="129">R201*R$242</f>
        <v>1276578796.3141637</v>
      </c>
      <c r="T201" s="105">
        <f t="shared" ca="1" si="127"/>
        <v>1285895975.2228754</v>
      </c>
      <c r="U201" s="105">
        <f t="shared" ca="1" si="125"/>
        <v>1297484423.5097606</v>
      </c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05"/>
      <c r="AH201" s="105"/>
      <c r="AI201" s="105"/>
      <c r="AJ201" s="105"/>
      <c r="AK201" s="105"/>
      <c r="AL201" s="105"/>
      <c r="AM201" s="105"/>
      <c r="AN201" s="105"/>
      <c r="AO201" s="105"/>
      <c r="AQ201" s="59">
        <f t="shared" ca="1" si="124"/>
        <v>1337667195.3647914</v>
      </c>
      <c r="AR201" s="43">
        <f t="shared" ca="1" si="128"/>
        <v>70395878.094791412</v>
      </c>
      <c r="AU201" s="41">
        <f t="shared" si="106"/>
        <v>264</v>
      </c>
      <c r="AV201" s="36"/>
      <c r="AW201" s="35">
        <f t="shared" si="98"/>
        <v>5.575949103146316</v>
      </c>
      <c r="AX201" s="36"/>
      <c r="AY201" s="35"/>
      <c r="AZ201" s="35">
        <f t="shared" ca="1" si="101"/>
        <v>1.0041747461546711</v>
      </c>
      <c r="BA201" s="35">
        <f t="shared" ca="1" si="102"/>
        <v>1.0016614942026327</v>
      </c>
      <c r="BB201" s="35">
        <f t="shared" ca="1" si="103"/>
        <v>1.0005070953092714</v>
      </c>
      <c r="BC201" s="37">
        <f t="shared" ca="1" si="126"/>
        <v>1.0040900268179946</v>
      </c>
      <c r="BE201">
        <f ca="1">IF($BE$196=0,1,(1/PRODUCT(AZ202:AZ$219)-1/PRODUCT(AZ201:AZ$219))/$BE$196)</f>
        <v>7.3373982810215177E-2</v>
      </c>
    </row>
    <row r="202" spans="1:57" x14ac:dyDescent="0.25">
      <c r="A202" s="17">
        <f t="shared" si="123"/>
        <v>2000</v>
      </c>
      <c r="B202" s="56">
        <f ca="1">SUM($B179:B179)</f>
        <v>232565924.13687041</v>
      </c>
      <c r="C202" s="58">
        <f ca="1">SUM($B179:C179)</f>
        <v>557258129.38082731</v>
      </c>
      <c r="D202" s="58">
        <f ca="1">SUM($B179:D179)</f>
        <v>749751656.90578449</v>
      </c>
      <c r="E202" s="58">
        <f ca="1">SUM($B179:E179)</f>
        <v>871141881.13139093</v>
      </c>
      <c r="F202" s="58">
        <f ca="1">SUM($B179:F179)</f>
        <v>949659891.73577416</v>
      </c>
      <c r="G202" s="58">
        <f ca="1">SUM($B179:G179)</f>
        <v>1003825638.2419322</v>
      </c>
      <c r="H202" s="58">
        <f ca="1">SUM($B179:H179)</f>
        <v>1044143206.9448854</v>
      </c>
      <c r="I202" s="58">
        <f ca="1">SUM($B179:I179)</f>
        <v>1072943281.085852</v>
      </c>
      <c r="J202" s="58">
        <f ca="1">SUM($B179:J179)</f>
        <v>1094601880.9642079</v>
      </c>
      <c r="K202" s="58">
        <f ca="1">SUM($B179:K179)</f>
        <v>1113089922.4850061</v>
      </c>
      <c r="L202" s="58">
        <f ca="1">SUM($B179:L179)</f>
        <v>1125311562.4149103</v>
      </c>
      <c r="M202" s="58">
        <f ca="1">SUM($B179:M179)</f>
        <v>1138624808.0105495</v>
      </c>
      <c r="N202" s="58">
        <f ca="1">SUM($B179:N179)</f>
        <v>1151531888.9829991</v>
      </c>
      <c r="O202" s="58">
        <f ca="1">SUM($B179:O179)</f>
        <v>1165076325.3392887</v>
      </c>
      <c r="P202" s="58">
        <f ca="1">SUM($B179:P179)</f>
        <v>1175846043.2812128</v>
      </c>
      <c r="Q202" s="58">
        <f ca="1">SUM($B179:Q179)</f>
        <v>1186741079.3115633</v>
      </c>
      <c r="R202" s="105">
        <f t="shared" ref="R202:R217" ca="1" si="130">Q202*Q$242</f>
        <v>1196349796.6799762</v>
      </c>
      <c r="S202" s="105">
        <f t="shared" ca="1" si="129"/>
        <v>1205546283.5941765</v>
      </c>
      <c r="T202" s="105">
        <f t="shared" ca="1" si="127"/>
        <v>1214345027.893714</v>
      </c>
      <c r="U202" s="105">
        <f t="shared" ca="1" si="125"/>
        <v>1225288661.6162968</v>
      </c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05"/>
      <c r="AH202" s="105"/>
      <c r="AI202" s="105"/>
      <c r="AJ202" s="105"/>
      <c r="AK202" s="105"/>
      <c r="AL202" s="105"/>
      <c r="AM202" s="105"/>
      <c r="AN202" s="105"/>
      <c r="AO202" s="105"/>
      <c r="AQ202" s="59">
        <f t="shared" ca="1" si="124"/>
        <v>1913030724.8247006</v>
      </c>
      <c r="AR202" s="43">
        <f t="shared" ca="1" si="128"/>
        <v>725297213.00470066</v>
      </c>
      <c r="AU202" s="41">
        <f t="shared" si="106"/>
        <v>276</v>
      </c>
      <c r="AV202" s="36"/>
      <c r="AW202" s="35">
        <f t="shared" si="98"/>
        <v>5.6204008657171496</v>
      </c>
      <c r="AX202" s="36"/>
      <c r="AY202" s="35"/>
      <c r="AZ202" s="35">
        <f t="shared" ca="1" si="101"/>
        <v>1.0038533546041957</v>
      </c>
      <c r="BA202" s="35">
        <f t="shared" ca="1" si="102"/>
        <v>1.0013200594196696</v>
      </c>
      <c r="BB202" s="35">
        <f t="shared" ca="1" si="103"/>
        <v>1.000393047085089</v>
      </c>
      <c r="BC202" s="37">
        <f t="shared" ca="1" si="126"/>
        <v>1.002840620603062</v>
      </c>
      <c r="BE202">
        <f ca="1">IF($BE$196=0,1,(1/PRODUCT(AZ203:AZ$219)-1/PRODUCT(AZ202:AZ$219))/$BE$196)</f>
        <v>6.8008045254343522E-2</v>
      </c>
    </row>
    <row r="203" spans="1:57" x14ac:dyDescent="0.25">
      <c r="A203" s="17">
        <f t="shared" si="123"/>
        <v>2001</v>
      </c>
      <c r="B203" s="56">
        <f ca="1">SUM($B180:B180)</f>
        <v>230727862.3465209</v>
      </c>
      <c r="C203" s="58">
        <f ca="1">SUM($B180:C180)</f>
        <v>567408334.43700159</v>
      </c>
      <c r="D203" s="58">
        <f ca="1">SUM($B180:D180)</f>
        <v>767109487.35739362</v>
      </c>
      <c r="E203" s="58">
        <f ca="1">SUM($B180:E180)</f>
        <v>892353378.65029502</v>
      </c>
      <c r="F203" s="58">
        <f ca="1">SUM($B180:F180)</f>
        <v>974021104.38153875</v>
      </c>
      <c r="G203" s="58">
        <f ca="1">SUM($B180:G180)</f>
        <v>1029996901.38264</v>
      </c>
      <c r="H203" s="58">
        <f ca="1">SUM($B180:H180)</f>
        <v>1071816846.5374291</v>
      </c>
      <c r="I203" s="58">
        <f ca="1">SUM($B180:I180)</f>
        <v>1102098614.1895452</v>
      </c>
      <c r="J203" s="58">
        <f ca="1">SUM($B180:J180)</f>
        <v>1124183367.5445859</v>
      </c>
      <c r="K203" s="58">
        <f ca="1">SUM($B180:K180)</f>
        <v>1143236482.016139</v>
      </c>
      <c r="L203" s="58">
        <f ca="1">SUM($B180:L180)</f>
        <v>1155957787.6406882</v>
      </c>
      <c r="M203" s="58">
        <f ca="1">SUM($B180:M180)</f>
        <v>1169690526.5075247</v>
      </c>
      <c r="N203" s="58">
        <f ca="1">SUM($B180:N180)</f>
        <v>1182910096.4551454</v>
      </c>
      <c r="O203" s="58">
        <f ca="1">SUM($B180:O180)</f>
        <v>1196889847.8073714</v>
      </c>
      <c r="P203" s="58">
        <f ca="1">SUM($B180:P180)</f>
        <v>1208189569.4676211</v>
      </c>
      <c r="Q203" s="105">
        <f t="shared" ref="Q203:Q217" ca="1" si="131">P203*P$242</f>
        <v>1219327801.2698154</v>
      </c>
      <c r="R203" s="105">
        <f t="shared" ca="1" si="130"/>
        <v>1229200364.3976097</v>
      </c>
      <c r="S203" s="105">
        <f t="shared" ca="1" si="129"/>
        <v>1238649377.6356139</v>
      </c>
      <c r="T203" s="105">
        <f t="shared" ca="1" si="127"/>
        <v>1247689726.6449478</v>
      </c>
      <c r="U203" s="105">
        <f t="shared" ca="1" si="125"/>
        <v>1258933861.5935752</v>
      </c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05"/>
      <c r="AH203" s="105"/>
      <c r="AI203" s="105"/>
      <c r="AJ203" s="105"/>
      <c r="AK203" s="105"/>
      <c r="AL203" s="105"/>
      <c r="AM203" s="105"/>
      <c r="AN203" s="105"/>
      <c r="AO203" s="105"/>
      <c r="AQ203" s="59">
        <f t="shared" ca="1" si="124"/>
        <v>1297922732.0758471</v>
      </c>
      <c r="AR203" s="43">
        <f t="shared" ca="1" si="128"/>
        <v>76903443.045847178</v>
      </c>
      <c r="AU203" s="41">
        <f t="shared" si="106"/>
        <v>288</v>
      </c>
      <c r="AV203" s="36"/>
      <c r="AW203" s="35">
        <f t="shared" si="98"/>
        <v>5.6629604801359461</v>
      </c>
      <c r="AX203" s="36"/>
      <c r="AY203" s="35"/>
      <c r="AZ203" s="35">
        <f t="shared" ca="1" si="101"/>
        <v>1.0035688542270653</v>
      </c>
      <c r="BA203" s="35">
        <f t="shared" ca="1" si="102"/>
        <v>1.0010487890169566</v>
      </c>
      <c r="BB203" s="35">
        <f t="shared" ca="1" si="103"/>
        <v>1.0003055216944601</v>
      </c>
      <c r="BC203" s="37">
        <f t="shared" ca="1" si="126"/>
        <v>1.0022887898214001</v>
      </c>
      <c r="BE203">
        <f ca="1">IF($BE$196=0,1,(1/PRODUCT(AZ204:AZ$219)-1/PRODUCT(AZ203:AZ$219))/$BE$196)</f>
        <v>6.3229594881549209E-2</v>
      </c>
    </row>
    <row r="204" spans="1:57" x14ac:dyDescent="0.25">
      <c r="A204" s="17">
        <f t="shared" si="123"/>
        <v>2002</v>
      </c>
      <c r="B204" s="56">
        <f ca="1">SUM($B181:B181)</f>
        <v>228213622.71552122</v>
      </c>
      <c r="C204" s="58">
        <f ca="1">SUM($B181:C181)</f>
        <v>544687145.9556694</v>
      </c>
      <c r="D204" s="58">
        <f ca="1">SUM($B181:D181)</f>
        <v>733449043.10576987</v>
      </c>
      <c r="E204" s="58">
        <f ca="1">SUM($B181:E181)</f>
        <v>850690242.97126305</v>
      </c>
      <c r="F204" s="58">
        <f ca="1">SUM($B181:F181)</f>
        <v>926983086.55380046</v>
      </c>
      <c r="G204" s="58">
        <f ca="1">SUM($B181:G181)</f>
        <v>979726976.94864416</v>
      </c>
      <c r="H204" s="58">
        <f ca="1">SUM($B181:H181)</f>
        <v>1019392973.4433242</v>
      </c>
      <c r="I204" s="58">
        <f ca="1">SUM($B181:I181)</f>
        <v>1047745732.4731454</v>
      </c>
      <c r="J204" s="58">
        <f ca="1">SUM($B181:J181)</f>
        <v>1068654587.127744</v>
      </c>
      <c r="K204" s="58">
        <f ca="1">SUM($B181:K181)</f>
        <v>1086544300.8725858</v>
      </c>
      <c r="L204" s="58">
        <f ca="1">SUM($B181:L181)</f>
        <v>1098565918.8610556</v>
      </c>
      <c r="M204" s="58">
        <f ca="1">SUM($B181:M181)</f>
        <v>1111451226.2126279</v>
      </c>
      <c r="N204" s="58">
        <f ca="1">SUM($B181:N181)</f>
        <v>1124289504.7677946</v>
      </c>
      <c r="O204" s="58">
        <f ca="1">SUM($B181:O181)</f>
        <v>1137498715.3452277</v>
      </c>
      <c r="P204" s="105">
        <f t="shared" ref="P204:P217" ca="1" si="132">O204*O$242</f>
        <v>1148096872.8438179</v>
      </c>
      <c r="Q204" s="105">
        <f t="shared" ca="1" si="131"/>
        <v>1158681113.4499869</v>
      </c>
      <c r="R204" s="105">
        <f t="shared" ca="1" si="130"/>
        <v>1168062636.9628644</v>
      </c>
      <c r="S204" s="105">
        <f t="shared" ca="1" si="129"/>
        <v>1177041677.0275726</v>
      </c>
      <c r="T204" s="105">
        <f t="shared" ca="1" si="127"/>
        <v>1185632378.9251287</v>
      </c>
      <c r="U204" s="105">
        <f t="shared" ca="1" si="125"/>
        <v>1196317255.2877359</v>
      </c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05"/>
      <c r="AH204" s="105"/>
      <c r="AI204" s="105"/>
      <c r="AJ204" s="105"/>
      <c r="AK204" s="105"/>
      <c r="AL204" s="105"/>
      <c r="AM204" s="105"/>
      <c r="AN204" s="105"/>
      <c r="AO204" s="105"/>
      <c r="AQ204" s="59">
        <f t="shared" ca="1" si="124"/>
        <v>1402646388.9137111</v>
      </c>
      <c r="AR204" s="43">
        <f t="shared" ca="1" si="128"/>
        <v>267675279.2737112</v>
      </c>
      <c r="AU204" s="41">
        <f t="shared" si="106"/>
        <v>300</v>
      </c>
      <c r="AV204" s="36"/>
      <c r="AW204" s="35">
        <f t="shared" si="98"/>
        <v>5.7037824746562009</v>
      </c>
      <c r="AX204" s="36"/>
      <c r="AY204" s="35"/>
      <c r="AZ204" s="35">
        <f t="shared" ca="1" si="101"/>
        <v>1.0033157259330285</v>
      </c>
      <c r="BA204" s="35">
        <f t="shared" ca="1" si="102"/>
        <v>1.0008332643104538</v>
      </c>
      <c r="BB204" s="35">
        <f t="shared" ca="1" si="103"/>
        <v>1.0002381305207377</v>
      </c>
      <c r="BC204" s="37">
        <f t="shared" ca="1" si="126"/>
        <v>1.0015336817206875</v>
      </c>
      <c r="BE204">
        <f ca="1">IF($BE$196=0,1,(1/PRODUCT(AZ205:AZ$219)-1/PRODUCT(AZ204:AZ$219))/$BE$196)</f>
        <v>5.8954558396109975E-2</v>
      </c>
    </row>
    <row r="205" spans="1:57" x14ac:dyDescent="0.25">
      <c r="A205" s="17">
        <f t="shared" si="123"/>
        <v>2003</v>
      </c>
      <c r="B205" s="56">
        <f ca="1">SUM($B182:B182)</f>
        <v>157099290.33923763</v>
      </c>
      <c r="C205" s="58">
        <f ca="1">SUM($B182:C182)</f>
        <v>375647649.52556741</v>
      </c>
      <c r="D205" s="58">
        <f ca="1">SUM($B182:D182)</f>
        <v>506076953.72726333</v>
      </c>
      <c r="E205" s="58">
        <f ca="1">SUM($B182:E182)</f>
        <v>587559800.89054298</v>
      </c>
      <c r="F205" s="58">
        <f ca="1">SUM($B182:F182)</f>
        <v>640291496.30664468</v>
      </c>
      <c r="G205" s="58">
        <f ca="1">SUM($B182:G182)</f>
        <v>677187985.99295568</v>
      </c>
      <c r="H205" s="58">
        <f ca="1">SUM($B182:H182)</f>
        <v>704746508.46487892</v>
      </c>
      <c r="I205" s="58">
        <f ca="1">SUM($B182:I182)</f>
        <v>724399749.63564038</v>
      </c>
      <c r="J205" s="58">
        <f ca="1">SUM($B182:J182)</f>
        <v>738903887.35432923</v>
      </c>
      <c r="K205" s="58">
        <f ca="1">SUM($B182:K182)</f>
        <v>751085475.75232875</v>
      </c>
      <c r="L205" s="58">
        <f ca="1">SUM($B182:L182)</f>
        <v>759385891.21164918</v>
      </c>
      <c r="M205" s="58">
        <f ca="1">SUM($B182:M182)</f>
        <v>768372454.41708732</v>
      </c>
      <c r="N205" s="58">
        <f ca="1">SUM($B182:N182)</f>
        <v>776928014.84993923</v>
      </c>
      <c r="O205" s="105">
        <f t="shared" ref="O205:O217" ca="1" si="133">N205*N$242</f>
        <v>786031193.15070689</v>
      </c>
      <c r="P205" s="105">
        <f t="shared" ca="1" si="132"/>
        <v>793354702.41839659</v>
      </c>
      <c r="Q205" s="105">
        <f t="shared" ca="1" si="131"/>
        <v>800668594.87385857</v>
      </c>
      <c r="R205" s="105">
        <f t="shared" ca="1" si="130"/>
        <v>807151389.11434305</v>
      </c>
      <c r="S205" s="105">
        <f t="shared" ca="1" si="129"/>
        <v>813356060.36381221</v>
      </c>
      <c r="T205" s="105">
        <f t="shared" ca="1" si="127"/>
        <v>819292383.25494504</v>
      </c>
      <c r="U205" s="105">
        <f t="shared" ca="1" si="125"/>
        <v>826675816.75044477</v>
      </c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05"/>
      <c r="AH205" s="105"/>
      <c r="AI205" s="105"/>
      <c r="AJ205" s="105"/>
      <c r="AK205" s="105"/>
      <c r="AL205" s="105"/>
      <c r="AM205" s="105"/>
      <c r="AN205" s="105"/>
      <c r="AO205" s="105"/>
      <c r="AQ205" s="59">
        <f t="shared" ca="1" si="124"/>
        <v>1290680544.4743378</v>
      </c>
      <c r="AR205" s="43">
        <f t="shared" ca="1" si="128"/>
        <v>512996643.17433786</v>
      </c>
      <c r="AU205" s="41">
        <f t="shared" si="106"/>
        <v>312</v>
      </c>
      <c r="AV205" s="36"/>
      <c r="AW205" s="35">
        <f t="shared" si="98"/>
        <v>5.7430031878094825</v>
      </c>
      <c r="AX205" s="36"/>
      <c r="AY205" s="35"/>
      <c r="AZ205" s="35">
        <f t="shared" ca="1" si="101"/>
        <v>1.0030894538988404</v>
      </c>
      <c r="BA205" s="35">
        <f t="shared" ca="1" si="102"/>
        <v>1.0006620296359421</v>
      </c>
      <c r="BB205" s="35">
        <f t="shared" ca="1" si="103"/>
        <v>1.0001860814624506</v>
      </c>
      <c r="BC205" s="37">
        <f t="shared" ca="1" si="126"/>
        <v>1.0011378206036754</v>
      </c>
      <c r="BE205">
        <f ca="1">IF($BE$196=0,1,(1/PRODUCT(AZ206:AZ$219)-1/PRODUCT(AZ205:AZ$219))/$BE$196)</f>
        <v>5.5113514099376031E-2</v>
      </c>
    </row>
    <row r="206" spans="1:57" x14ac:dyDescent="0.25">
      <c r="A206" s="17">
        <f t="shared" si="123"/>
        <v>2004</v>
      </c>
      <c r="B206" s="56">
        <f ca="1">SUM($B183:B183)</f>
        <v>115600231.20489253</v>
      </c>
      <c r="C206" s="58">
        <f ca="1">SUM($B183:C183)</f>
        <v>275876396.27534223</v>
      </c>
      <c r="D206" s="58">
        <f ca="1">SUM($B183:D183)</f>
        <v>371702569.35255808</v>
      </c>
      <c r="E206" s="58">
        <f ca="1">SUM($B183:E183)</f>
        <v>431857222.17645621</v>
      </c>
      <c r="F206" s="58">
        <f ca="1">SUM($B183:F183)</f>
        <v>470330880.86461675</v>
      </c>
      <c r="G206" s="58">
        <f ca="1">SUM($B183:G183)</f>
        <v>497145239.23559177</v>
      </c>
      <c r="H206" s="58">
        <f ca="1">SUM($B183:H183)</f>
        <v>516980656.64369458</v>
      </c>
      <c r="I206" s="58">
        <f ca="1">SUM($B183:I183)</f>
        <v>531641721.97182107</v>
      </c>
      <c r="J206" s="58">
        <f ca="1">SUM($B183:J183)</f>
        <v>542295602.39161122</v>
      </c>
      <c r="K206" s="58">
        <f ca="1">SUM($B183:K183)</f>
        <v>551345766.06355619</v>
      </c>
      <c r="L206" s="58">
        <f ca="1">SUM($B183:L183)</f>
        <v>557350280.86523986</v>
      </c>
      <c r="M206" s="58">
        <f ca="1">SUM($B183:M183)</f>
        <v>563988462.46027195</v>
      </c>
      <c r="N206" s="105">
        <f t="shared" ref="N206:N217" ca="1" si="134">M206*M$242</f>
        <v>570396300.97312868</v>
      </c>
      <c r="O206" s="105">
        <f t="shared" ca="1" si="133"/>
        <v>577079570.37596977</v>
      </c>
      <c r="P206" s="105">
        <f t="shared" ca="1" si="132"/>
        <v>582456262.31729388</v>
      </c>
      <c r="Q206" s="105">
        <f t="shared" ca="1" si="131"/>
        <v>587825893.89521623</v>
      </c>
      <c r="R206" s="105">
        <f t="shared" ca="1" si="130"/>
        <v>592585359.10185635</v>
      </c>
      <c r="S206" s="105">
        <f t="shared" ca="1" si="129"/>
        <v>597140635.08857071</v>
      </c>
      <c r="T206" s="105">
        <f t="shared" ca="1" si="127"/>
        <v>601498898.08561075</v>
      </c>
      <c r="U206" s="105">
        <f t="shared" ca="1" si="125"/>
        <v>606919584.52478826</v>
      </c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05"/>
      <c r="AH206" s="105"/>
      <c r="AI206" s="105"/>
      <c r="AJ206" s="105"/>
      <c r="AK206" s="105"/>
      <c r="AL206" s="105"/>
      <c r="AM206" s="105"/>
      <c r="AN206" s="105"/>
      <c r="AO206" s="105"/>
      <c r="AQ206" s="59">
        <f t="shared" ca="1" si="124"/>
        <v>711595155.74315822</v>
      </c>
      <c r="AR206" s="43">
        <f t="shared" ca="1" si="128"/>
        <v>149112193.67315829</v>
      </c>
      <c r="AU206" s="41">
        <f t="shared" si="106"/>
        <v>324</v>
      </c>
      <c r="AV206" s="36"/>
      <c r="AW206" s="35">
        <f t="shared" si="98"/>
        <v>5.780743515792329</v>
      </c>
      <c r="AX206" s="36"/>
      <c r="AY206" s="35"/>
      <c r="AZ206" s="35">
        <f t="shared" ca="1" si="101"/>
        <v>1.0028863132712591</v>
      </c>
      <c r="BA206" s="35">
        <f t="shared" ca="1" si="102"/>
        <v>1.00052598345251</v>
      </c>
      <c r="BB206" s="35">
        <f t="shared" ca="1" si="103"/>
        <v>1.0001457643335168</v>
      </c>
      <c r="BC206" s="37">
        <f t="shared" ca="1" si="126"/>
        <v>1.0010369723711183</v>
      </c>
      <c r="BE206">
        <f ca="1">IF($BE$196=0,1,(1/PRODUCT(AZ207:AZ$219)-1/PRODUCT(AZ206:AZ$219))/$BE$196)</f>
        <v>5.1648714259580474E-2</v>
      </c>
    </row>
    <row r="207" spans="1:57" x14ac:dyDescent="0.25">
      <c r="A207" s="17">
        <f t="shared" si="123"/>
        <v>2005</v>
      </c>
      <c r="B207" s="56">
        <f ca="1">SUM($B184:B184)</f>
        <v>63225152.055114567</v>
      </c>
      <c r="C207" s="58">
        <f ca="1">SUM($B184:C184)</f>
        <v>151806947.71012011</v>
      </c>
      <c r="D207" s="58">
        <f ca="1">SUM($B184:D184)</f>
        <v>204407184.70641923</v>
      </c>
      <c r="E207" s="58">
        <f ca="1">SUM($B184:E184)</f>
        <v>237821173.09256572</v>
      </c>
      <c r="F207" s="58">
        <f ca="1">SUM($B184:F184)</f>
        <v>259214695.44868681</v>
      </c>
      <c r="G207" s="58">
        <f ca="1">SUM($B184:G184)</f>
        <v>273738917.13387841</v>
      </c>
      <c r="H207" s="58">
        <f ca="1">SUM($B184:H184)</f>
        <v>284874362.48169827</v>
      </c>
      <c r="I207" s="58">
        <f ca="1">SUM($B184:I184)</f>
        <v>293009593.86109757</v>
      </c>
      <c r="J207" s="58">
        <f ca="1">SUM($B184:J184)</f>
        <v>298854405.81021172</v>
      </c>
      <c r="K207" s="58">
        <f ca="1">SUM($B184:K184)</f>
        <v>303851206.49927402</v>
      </c>
      <c r="L207" s="58">
        <f ca="1">SUM($B184:L184)</f>
        <v>307239508.95335579</v>
      </c>
      <c r="M207" s="105">
        <f t="shared" ref="M207:M217" ca="1" si="135">L207*L$242</f>
        <v>310871148.14420003</v>
      </c>
      <c r="N207" s="105">
        <f t="shared" ca="1" si="134"/>
        <v>314403156.77239907</v>
      </c>
      <c r="O207" s="105">
        <f t="shared" ca="1" si="133"/>
        <v>318086983.25274056</v>
      </c>
      <c r="P207" s="105">
        <f t="shared" ca="1" si="132"/>
        <v>321050622.5969317</v>
      </c>
      <c r="Q207" s="105">
        <f t="shared" ca="1" si="131"/>
        <v>324010370.25995708</v>
      </c>
      <c r="R207" s="105">
        <f t="shared" ca="1" si="130"/>
        <v>326633793.45355618</v>
      </c>
      <c r="S207" s="105">
        <f t="shared" ca="1" si="129"/>
        <v>329144667.29293609</v>
      </c>
      <c r="T207" s="105">
        <f t="shared" ca="1" si="127"/>
        <v>331546947.3252154</v>
      </c>
      <c r="U207" s="105">
        <f t="shared" ca="1" si="125"/>
        <v>334534836.49182314</v>
      </c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05"/>
      <c r="AH207" s="105"/>
      <c r="AI207" s="105"/>
      <c r="AJ207" s="105"/>
      <c r="AK207" s="105"/>
      <c r="AL207" s="105"/>
      <c r="AM207" s="105"/>
      <c r="AN207" s="105"/>
      <c r="AO207" s="105"/>
      <c r="AQ207" s="59">
        <f t="shared" ca="1" si="124"/>
        <v>338809498.46265912</v>
      </c>
      <c r="AR207" s="43">
        <f t="shared" ca="1" si="128"/>
        <v>30240097.302659154</v>
      </c>
      <c r="AU207" s="41">
        <f t="shared" si="106"/>
        <v>336</v>
      </c>
      <c r="AV207" s="36"/>
      <c r="AW207" s="35">
        <f t="shared" si="98"/>
        <v>5.8171111599632042</v>
      </c>
      <c r="AX207" s="36"/>
      <c r="AY207" s="35"/>
      <c r="AZ207" s="35">
        <f t="shared" ca="1" si="101"/>
        <v>1.0027032086784731</v>
      </c>
      <c r="BA207" s="35">
        <f t="shared" ca="1" si="102"/>
        <v>1.0004178945734363</v>
      </c>
      <c r="BB207" s="35">
        <f t="shared" ca="1" si="103"/>
        <v>1.000114448324376</v>
      </c>
      <c r="BC207" s="37">
        <f t="shared" ca="1" si="126"/>
        <v>1.0008351992374647</v>
      </c>
      <c r="BE207">
        <f ca="1">IF($BE$196=0,1,(1/PRODUCT(AZ208:AZ$219)-1/PRODUCT(AZ207:AZ$219))/$BE$196)</f>
        <v>4.8511792930402461E-2</v>
      </c>
    </row>
    <row r="208" spans="1:57" x14ac:dyDescent="0.25">
      <c r="A208" s="17">
        <f t="shared" si="123"/>
        <v>2006</v>
      </c>
      <c r="B208" s="56">
        <f ca="1">SUM($B185:B185)</f>
        <v>53770815.001923941</v>
      </c>
      <c r="C208" s="58">
        <f ca="1">SUM($B185:C185)</f>
        <v>128325611.03813535</v>
      </c>
      <c r="D208" s="58">
        <f ca="1">SUM($B185:D185)</f>
        <v>172690637.59241033</v>
      </c>
      <c r="E208" s="58">
        <f ca="1">SUM($B185:E185)</f>
        <v>200480674.87607858</v>
      </c>
      <c r="F208" s="58">
        <f ca="1">SUM($B185:F185)</f>
        <v>219274907.41238838</v>
      </c>
      <c r="G208" s="58">
        <f ca="1">SUM($B185:G185)</f>
        <v>231812072.10891548</v>
      </c>
      <c r="H208" s="58">
        <f ca="1">SUM($B185:H185)</f>
        <v>241195205.4463551</v>
      </c>
      <c r="I208" s="58">
        <f ca="1">SUM($B185:I185)</f>
        <v>248139213.42629945</v>
      </c>
      <c r="J208" s="58">
        <f ca="1">SUM($B185:J185)</f>
        <v>253039265.32998189</v>
      </c>
      <c r="K208" s="58">
        <f ca="1">SUM($B185:K185)</f>
        <v>257624515.8243058</v>
      </c>
      <c r="L208" s="105">
        <f t="shared" ref="L208:L217" ca="1" si="136">K208*K$242</f>
        <v>260455699.00772771</v>
      </c>
      <c r="M208" s="105">
        <f t="shared" ca="1" si="135"/>
        <v>263534343.18085974</v>
      </c>
      <c r="N208" s="105">
        <f t="shared" ca="1" si="134"/>
        <v>266528527.68301818</v>
      </c>
      <c r="O208" s="105">
        <f t="shared" ca="1" si="133"/>
        <v>269651412.51065338</v>
      </c>
      <c r="P208" s="105">
        <f t="shared" ca="1" si="132"/>
        <v>272163774.1519919</v>
      </c>
      <c r="Q208" s="105">
        <f t="shared" ca="1" si="131"/>
        <v>274672836.70415473</v>
      </c>
      <c r="R208" s="105">
        <f t="shared" ca="1" si="130"/>
        <v>276896787.40635973</v>
      </c>
      <c r="S208" s="105">
        <f t="shared" ca="1" si="129"/>
        <v>279025326.8093282</v>
      </c>
      <c r="T208" s="105">
        <f t="shared" ca="1" si="127"/>
        <v>281061808.14322656</v>
      </c>
      <c r="U208" s="105">
        <f t="shared" ca="1" si="125"/>
        <v>283594727.05101126</v>
      </c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05"/>
      <c r="AH208" s="105"/>
      <c r="AI208" s="105"/>
      <c r="AJ208" s="105"/>
      <c r="AK208" s="105"/>
      <c r="AL208" s="105"/>
      <c r="AM208" s="105"/>
      <c r="AN208" s="105"/>
      <c r="AO208" s="105"/>
      <c r="AQ208" s="59">
        <f t="shared" ca="1" si="124"/>
        <v>299883966.65134794</v>
      </c>
      <c r="AR208" s="43">
        <f t="shared" ca="1" si="128"/>
        <v>43658878.421347916</v>
      </c>
      <c r="AU208" s="41">
        <f t="shared" si="106"/>
        <v>348</v>
      </c>
      <c r="AV208" s="36"/>
      <c r="AW208" s="35">
        <f t="shared" si="98"/>
        <v>5.8522024797744745</v>
      </c>
      <c r="AX208" s="36"/>
      <c r="AY208" s="35"/>
      <c r="AZ208" s="35">
        <f t="shared" ca="1" si="101"/>
        <v>1.0025375500775624</v>
      </c>
      <c r="BA208" s="35">
        <f t="shared" ca="1" si="102"/>
        <v>1.0003320178109676</v>
      </c>
      <c r="BB208" s="35">
        <f t="shared" ca="1" si="103"/>
        <v>1.0000900599540943</v>
      </c>
      <c r="BC208" s="37">
        <f t="shared" ca="1" si="126"/>
        <v>1.0007845561666049</v>
      </c>
      <c r="BE208">
        <f ca="1">IF($BE$196=0,1,(1/PRODUCT(AZ209:AZ$219)-1/PRODUCT(AZ208:AZ$219))/$BE$196)</f>
        <v>4.5661984170381253E-2</v>
      </c>
    </row>
    <row r="209" spans="1:57" x14ac:dyDescent="0.25">
      <c r="A209" s="17">
        <f t="shared" si="123"/>
        <v>2007</v>
      </c>
      <c r="B209" s="56">
        <f ca="1">SUM($B186:B186)</f>
        <v>47181738.459046409</v>
      </c>
      <c r="C209" s="58">
        <f ca="1">SUM($B186:C186)</f>
        <v>112809797.953665</v>
      </c>
      <c r="D209" s="58">
        <f ca="1">SUM($B186:D186)</f>
        <v>152165071.59268561</v>
      </c>
      <c r="E209" s="58">
        <f ca="1">SUM($B186:E186)</f>
        <v>177152958.13164127</v>
      </c>
      <c r="F209" s="58">
        <f ca="1">SUM($B186:F186)</f>
        <v>193105898.16346502</v>
      </c>
      <c r="G209" s="58">
        <f ca="1">SUM($B186:G186)</f>
        <v>204203178.28006789</v>
      </c>
      <c r="H209" s="58">
        <f ca="1">SUM($B186:H186)</f>
        <v>212346874.9058938</v>
      </c>
      <c r="I209" s="58">
        <f ca="1">SUM($B186:I186)</f>
        <v>218288559.29886946</v>
      </c>
      <c r="J209" s="58">
        <f ca="1">SUM($B186:J186)</f>
        <v>222658717.79832098</v>
      </c>
      <c r="K209" s="105">
        <f t="shared" ref="K209:K217" ca="1" si="137">J209*J$242</f>
        <v>226408338.04103404</v>
      </c>
      <c r="L209" s="105">
        <f t="shared" ca="1" si="136"/>
        <v>228896468.78898442</v>
      </c>
      <c r="M209" s="105">
        <f t="shared" ca="1" si="135"/>
        <v>231602075.85603037</v>
      </c>
      <c r="N209" s="105">
        <f t="shared" ca="1" si="134"/>
        <v>234233457.16985002</v>
      </c>
      <c r="O209" s="105">
        <f t="shared" ca="1" si="133"/>
        <v>236977944.28302768</v>
      </c>
      <c r="P209" s="105">
        <f t="shared" ca="1" si="132"/>
        <v>239185884.86645192</v>
      </c>
      <c r="Q209" s="105">
        <f t="shared" ca="1" si="131"/>
        <v>241390926.10896936</v>
      </c>
      <c r="R209" s="105">
        <f t="shared" ca="1" si="130"/>
        <v>243345402.29987201</v>
      </c>
      <c r="S209" s="105">
        <f t="shared" ca="1" si="129"/>
        <v>245216028.11022621</v>
      </c>
      <c r="T209" s="105">
        <f t="shared" ca="1" si="127"/>
        <v>247005750.46170446</v>
      </c>
      <c r="U209" s="105">
        <f t="shared" ca="1" si="125"/>
        <v>249231757.40234569</v>
      </c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05"/>
      <c r="AH209" s="105"/>
      <c r="AI209" s="105"/>
      <c r="AJ209" s="105"/>
      <c r="AK209" s="105"/>
      <c r="AL209" s="105"/>
      <c r="AM209" s="105"/>
      <c r="AN209" s="105"/>
      <c r="AO209" s="105"/>
      <c r="AQ209" s="59">
        <f t="shared" ca="1" si="124"/>
        <v>389123007.86641169</v>
      </c>
      <c r="AR209" s="43">
        <f t="shared" ca="1" si="128"/>
        <v>166374668.42641169</v>
      </c>
      <c r="AU209" s="41">
        <f t="shared" si="106"/>
        <v>360</v>
      </c>
      <c r="AV209" s="36"/>
      <c r="AW209" s="35">
        <f t="shared" si="98"/>
        <v>5.8861040314501558</v>
      </c>
      <c r="AX209" s="36"/>
      <c r="AY209" s="35"/>
      <c r="AZ209" s="35">
        <f t="shared" ca="1" si="101"/>
        <v>1.002387156363068</v>
      </c>
      <c r="BA209" s="35">
        <f t="shared" ca="1" si="102"/>
        <v>1.0002637886055643</v>
      </c>
      <c r="BB209" s="35">
        <f t="shared" ca="1" si="103"/>
        <v>1.0000710192252891</v>
      </c>
      <c r="BC209" s="37">
        <f t="shared" ca="1" si="126"/>
        <v>1.0005634658822828</v>
      </c>
      <c r="BE209">
        <f ca="1">IF($BE$196=0,1,(1/PRODUCT(AZ210:AZ$219)-1/PRODUCT(AZ209:AZ$219))/$BE$196)</f>
        <v>4.3064724441785641E-2</v>
      </c>
    </row>
    <row r="210" spans="1:57" x14ac:dyDescent="0.25">
      <c r="A210" s="17">
        <f t="shared" si="123"/>
        <v>2008</v>
      </c>
      <c r="B210" s="56">
        <f ca="1">SUM($B187:B187)</f>
        <v>39874451.433903754</v>
      </c>
      <c r="C210" s="58">
        <f ca="1">SUM($B187:C187)</f>
        <v>95273159.489913821</v>
      </c>
      <c r="D210" s="58">
        <f ca="1">SUM($B187:D187)</f>
        <v>128396087.70190814</v>
      </c>
      <c r="E210" s="58">
        <f ca="1">SUM($B187:E187)</f>
        <v>149098682.97466588</v>
      </c>
      <c r="F210" s="58">
        <f ca="1">SUM($B187:F187)</f>
        <v>162462183.87923399</v>
      </c>
      <c r="G210" s="58">
        <f ca="1">SUM($B187:G187)</f>
        <v>171711099.58968219</v>
      </c>
      <c r="H210" s="58">
        <f ca="1">SUM($B187:H187)</f>
        <v>178549456.29725403</v>
      </c>
      <c r="I210" s="58">
        <f ca="1">SUM($B187:I187)</f>
        <v>183550947.95010227</v>
      </c>
      <c r="J210" s="105">
        <f t="shared" ref="J210:J217" ca="1" si="138">I210*I$242</f>
        <v>187232512.27783135</v>
      </c>
      <c r="K210" s="105">
        <f t="shared" ca="1" si="137"/>
        <v>190385547.67241615</v>
      </c>
      <c r="L210" s="105">
        <f t="shared" ca="1" si="136"/>
        <v>192477803.36947998</v>
      </c>
      <c r="M210" s="105">
        <f t="shared" ca="1" si="135"/>
        <v>194752933.72776452</v>
      </c>
      <c r="N210" s="105">
        <f t="shared" ca="1" si="134"/>
        <v>196965648.05136737</v>
      </c>
      <c r="O210" s="105">
        <f t="shared" ca="1" si="133"/>
        <v>199273472.43028897</v>
      </c>
      <c r="P210" s="105">
        <f t="shared" ca="1" si="132"/>
        <v>201130117.73249152</v>
      </c>
      <c r="Q210" s="105">
        <f t="shared" ca="1" si="131"/>
        <v>202984324.99459714</v>
      </c>
      <c r="R210" s="105">
        <f t="shared" ca="1" si="130"/>
        <v>204627833.45915845</v>
      </c>
      <c r="S210" s="105">
        <f t="shared" ca="1" si="129"/>
        <v>206200832.5919461</v>
      </c>
      <c r="T210" s="105">
        <f t="shared" ca="1" si="127"/>
        <v>207705800.44346577</v>
      </c>
      <c r="U210" s="105">
        <f t="shared" ca="1" si="125"/>
        <v>209577637.64779952</v>
      </c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05"/>
      <c r="AH210" s="105"/>
      <c r="AI210" s="105"/>
      <c r="AJ210" s="105"/>
      <c r="AK210" s="105"/>
      <c r="AL210" s="105"/>
      <c r="AM210" s="105"/>
      <c r="AN210" s="105"/>
      <c r="AO210" s="105"/>
      <c r="AQ210" s="59">
        <f t="shared" ca="1" si="124"/>
        <v>245723544.77412325</v>
      </c>
      <c r="AR210" s="43">
        <f t="shared" ca="1" si="128"/>
        <v>61436147.704123259</v>
      </c>
      <c r="AU210" s="41">
        <f t="shared" si="106"/>
        <v>372</v>
      </c>
      <c r="AV210" s="36"/>
      <c r="AW210" s="35">
        <f t="shared" si="98"/>
        <v>5.9188938542731462</v>
      </c>
      <c r="AX210" s="36"/>
      <c r="AY210" s="35"/>
      <c r="AZ210" s="35">
        <f t="shared" ca="1" si="101"/>
        <v>1.0022501798436403</v>
      </c>
      <c r="BA210" s="35">
        <f t="shared" ca="1" si="102"/>
        <v>1.000209580408421</v>
      </c>
      <c r="BB210" s="35">
        <f t="shared" ca="1" si="103"/>
        <v>1.0000561181247714</v>
      </c>
      <c r="BC210" s="37">
        <f t="shared" ca="1" si="126"/>
        <v>1.0005008063023009</v>
      </c>
      <c r="BE210">
        <f ca="1">IF($BE$196=0,1,(1/PRODUCT(AZ211:AZ$219)-1/PRODUCT(AZ210:AZ$219))/$BE$196)</f>
        <v>4.0690547096808923E-2</v>
      </c>
    </row>
    <row r="211" spans="1:57" x14ac:dyDescent="0.25">
      <c r="A211" s="17">
        <f t="shared" si="123"/>
        <v>2009</v>
      </c>
      <c r="B211" s="56">
        <f ca="1">SUM($B188:B188)</f>
        <v>37249411.235521227</v>
      </c>
      <c r="C211" s="58">
        <f ca="1">SUM($B188:C188)</f>
        <v>89188331.563628301</v>
      </c>
      <c r="D211" s="58">
        <f ca="1">SUM($B188:D188)</f>
        <v>120275045.53341743</v>
      </c>
      <c r="E211" s="58">
        <f ca="1">SUM($B188:E188)</f>
        <v>140203696.43917993</v>
      </c>
      <c r="F211" s="58">
        <f ca="1">SUM($B188:F188)</f>
        <v>152834626.89910859</v>
      </c>
      <c r="G211" s="58">
        <f ca="1">SUM($B188:G188)</f>
        <v>161555825.30882585</v>
      </c>
      <c r="H211" s="58">
        <f ca="1">SUM($B188:H188)</f>
        <v>168054522.09262091</v>
      </c>
      <c r="I211" s="105">
        <f t="shared" ref="I211:I217" ca="1" si="139">H211*H$242</f>
        <v>172736648.27809665</v>
      </c>
      <c r="J211" s="105">
        <f t="shared" ca="1" si="138"/>
        <v>176201305.30926058</v>
      </c>
      <c r="K211" s="105">
        <f t="shared" ca="1" si="137"/>
        <v>179168572.82841742</v>
      </c>
      <c r="L211" s="105">
        <f t="shared" ca="1" si="136"/>
        <v>181137558.77203569</v>
      </c>
      <c r="M211" s="105">
        <f t="shared" ca="1" si="135"/>
        <v>183278644.9220928</v>
      </c>
      <c r="N211" s="105">
        <f t="shared" ca="1" si="134"/>
        <v>185360992.41266528</v>
      </c>
      <c r="O211" s="105">
        <f t="shared" ca="1" si="133"/>
        <v>187532846.3446742</v>
      </c>
      <c r="P211" s="105">
        <f t="shared" ca="1" si="132"/>
        <v>189280103.3876121</v>
      </c>
      <c r="Q211" s="105">
        <f t="shared" ca="1" si="131"/>
        <v>191025066.03283963</v>
      </c>
      <c r="R211" s="105">
        <f t="shared" ca="1" si="130"/>
        <v>192571743.65426046</v>
      </c>
      <c r="S211" s="105">
        <f t="shared" ca="1" si="129"/>
        <v>194052066.15314484</v>
      </c>
      <c r="T211" s="105">
        <f t="shared" ca="1" si="127"/>
        <v>195468365.5803124</v>
      </c>
      <c r="U211" s="105">
        <f t="shared" ca="1" si="125"/>
        <v>197229919.46172714</v>
      </c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05"/>
      <c r="AH211" s="105"/>
      <c r="AI211" s="105"/>
      <c r="AJ211" s="105"/>
      <c r="AK211" s="105"/>
      <c r="AL211" s="105"/>
      <c r="AM211" s="105"/>
      <c r="AN211" s="105"/>
      <c r="AO211" s="105"/>
      <c r="AQ211" s="59">
        <f t="shared" ca="1" si="124"/>
        <v>208558498.97332469</v>
      </c>
      <c r="AR211" s="43">
        <f t="shared" ca="1" si="128"/>
        <v>40302804.043324679</v>
      </c>
      <c r="AU211" s="41">
        <f t="shared" si="106"/>
        <v>384</v>
      </c>
      <c r="AV211" s="36"/>
      <c r="AW211" s="35">
        <f t="shared" si="98"/>
        <v>5.9506425525877269</v>
      </c>
      <c r="AX211" s="36"/>
      <c r="AY211" s="35"/>
      <c r="AZ211" s="35">
        <f t="shared" ca="1" si="101"/>
        <v>1.002125046564962</v>
      </c>
      <c r="BA211" s="35">
        <f t="shared" ca="1" si="102"/>
        <v>1.0001665119215437</v>
      </c>
      <c r="BB211" s="35">
        <f t="shared" ca="1" si="103"/>
        <v>1.0000444301083482</v>
      </c>
      <c r="BC211" s="37">
        <f t="shared" ca="1" si="126"/>
        <v>1.0004502334928418</v>
      </c>
      <c r="BE211">
        <f ca="1">IF($BE$196=0,1,(1/PRODUCT(AZ212:AZ$219)-1/PRODUCT(AZ211:AZ$219))/$BE$196)</f>
        <v>3.8514201019031004E-2</v>
      </c>
    </row>
    <row r="212" spans="1:57" x14ac:dyDescent="0.25">
      <c r="A212" s="17">
        <f t="shared" si="123"/>
        <v>2010</v>
      </c>
      <c r="B212" s="56">
        <f ca="1">SUM($B189:B189)</f>
        <v>34399766.720165968</v>
      </c>
      <c r="C212" s="58">
        <f ca="1">SUM($B189:C189)</f>
        <v>82154629.072526306</v>
      </c>
      <c r="D212" s="58">
        <f ca="1">SUM($B189:D189)</f>
        <v>110409755.66662012</v>
      </c>
      <c r="E212" s="58">
        <f ca="1">SUM($B189:E189)</f>
        <v>128478363.54342085</v>
      </c>
      <c r="F212" s="58">
        <f ca="1">SUM($B189:F189)</f>
        <v>140035522.2818644</v>
      </c>
      <c r="G212" s="58">
        <f ca="1">SUM($B189:G189)</f>
        <v>147965603.93087322</v>
      </c>
      <c r="H212" s="105">
        <f t="shared" ref="H212:H217" ca="1" si="140">G212*G$242</f>
        <v>153935235.7164692</v>
      </c>
      <c r="I212" s="105">
        <f t="shared" ca="1" si="139"/>
        <v>158223987.89665887</v>
      </c>
      <c r="J212" s="105">
        <f t="shared" ca="1" si="138"/>
        <v>161397557.93885624</v>
      </c>
      <c r="K212" s="105">
        <f t="shared" ca="1" si="137"/>
        <v>164115527.19852003</v>
      </c>
      <c r="L212" s="105">
        <f t="shared" ca="1" si="136"/>
        <v>165919086.61232889</v>
      </c>
      <c r="M212" s="105">
        <f t="shared" ca="1" si="135"/>
        <v>167880287.04355952</v>
      </c>
      <c r="N212" s="105">
        <f t="shared" ca="1" si="134"/>
        <v>169787683.80868915</v>
      </c>
      <c r="O212" s="105">
        <f t="shared" ca="1" si="133"/>
        <v>171777067.03267211</v>
      </c>
      <c r="P212" s="105">
        <f t="shared" ca="1" si="132"/>
        <v>173377526.3444047</v>
      </c>
      <c r="Q212" s="105">
        <f t="shared" ca="1" si="131"/>
        <v>174975884.02478591</v>
      </c>
      <c r="R212" s="105">
        <f t="shared" ca="1" si="130"/>
        <v>176392615.8167432</v>
      </c>
      <c r="S212" s="105">
        <f t="shared" ca="1" si="129"/>
        <v>177748567.38510725</v>
      </c>
      <c r="T212" s="105">
        <f t="shared" ca="1" si="127"/>
        <v>179045874.85087115</v>
      </c>
      <c r="U212" s="105">
        <f t="shared" ca="1" si="125"/>
        <v>180659429.83639774</v>
      </c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05"/>
      <c r="AH212" s="105"/>
      <c r="AI212" s="105"/>
      <c r="AJ212" s="105"/>
      <c r="AK212" s="105"/>
      <c r="AL212" s="105"/>
      <c r="AM212" s="105"/>
      <c r="AN212" s="105"/>
      <c r="AO212" s="105"/>
      <c r="AQ212" s="59">
        <f t="shared" ca="1" si="124"/>
        <v>181348011.59499606</v>
      </c>
      <c r="AR212" s="43">
        <f t="shared" ca="1" si="128"/>
        <v>33732259.994996041</v>
      </c>
      <c r="AU212" s="41">
        <f t="shared" si="106"/>
        <v>396</v>
      </c>
      <c r="AV212" s="36"/>
      <c r="AW212" s="35">
        <f t="shared" si="98"/>
        <v>5.9814142112544806</v>
      </c>
      <c r="AX212" s="36"/>
      <c r="AY212" s="35"/>
      <c r="AZ212" s="35">
        <f t="shared" ca="1" si="101"/>
        <v>1.0020104087796264</v>
      </c>
      <c r="BA212" s="35">
        <f t="shared" ca="1" si="102"/>
        <v>1.0001322939497308</v>
      </c>
      <c r="BB212" s="35">
        <f t="shared" ca="1" si="103"/>
        <v>1.0000352423762737</v>
      </c>
      <c r="BC212" s="37">
        <f t="shared" ca="1" si="126"/>
        <v>1.0003094235077243</v>
      </c>
      <c r="BE212">
        <f ca="1">IF($BE$196=0,1,(1/PRODUCT(AZ213:AZ$219)-1/PRODUCT(AZ212:AZ$219))/$BE$196)</f>
        <v>3.6513942795687294E-2</v>
      </c>
    </row>
    <row r="213" spans="1:57" x14ac:dyDescent="0.25">
      <c r="A213" s="17">
        <f t="shared" si="123"/>
        <v>2011</v>
      </c>
      <c r="B213" s="56">
        <f ca="1">SUM($B190:B190)</f>
        <v>32406425.082129955</v>
      </c>
      <c r="C213" s="58">
        <f ca="1">SUM($B190:C190)</f>
        <v>77065089.774958804</v>
      </c>
      <c r="D213" s="58">
        <f ca="1">SUM($B190:D190)</f>
        <v>103483092.04262227</v>
      </c>
      <c r="E213" s="58">
        <f ca="1">SUM($B190:E190)</f>
        <v>120151308.29124658</v>
      </c>
      <c r="F213" s="58">
        <f ca="1">SUM($B190:F190)</f>
        <v>130986285.75733951</v>
      </c>
      <c r="G213" s="105">
        <f ca="1">F213*F$242</f>
        <v>138456778.09359887</v>
      </c>
      <c r="H213" s="105">
        <f t="shared" ca="1" si="140"/>
        <v>144042778.90379325</v>
      </c>
      <c r="I213" s="105">
        <f t="shared" ca="1" si="139"/>
        <v>148055919.74961019</v>
      </c>
      <c r="J213" s="105">
        <f t="shared" ca="1" si="138"/>
        <v>151025544.25303397</v>
      </c>
      <c r="K213" s="105">
        <f t="shared" ca="1" si="137"/>
        <v>153568846.59258515</v>
      </c>
      <c r="L213" s="105">
        <f t="shared" ca="1" si="136"/>
        <v>155256502.49978516</v>
      </c>
      <c r="M213" s="105">
        <f t="shared" ca="1" si="135"/>
        <v>157091668.82013372</v>
      </c>
      <c r="N213" s="105">
        <f t="shared" ca="1" si="134"/>
        <v>158876489.10018596</v>
      </c>
      <c r="O213" s="105">
        <f t="shared" ca="1" si="133"/>
        <v>160738027.08109954</v>
      </c>
      <c r="P213" s="105">
        <f t="shared" ca="1" si="132"/>
        <v>162235634.86213437</v>
      </c>
      <c r="Q213" s="105">
        <f t="shared" ca="1" si="131"/>
        <v>163731276.07054743</v>
      </c>
      <c r="R213" s="105">
        <f t="shared" ca="1" si="130"/>
        <v>165056963.35276753</v>
      </c>
      <c r="S213" s="105">
        <f t="shared" ca="1" si="129"/>
        <v>166325776.37700495</v>
      </c>
      <c r="T213" s="105">
        <f t="shared" ca="1" si="127"/>
        <v>167539713.98908916</v>
      </c>
      <c r="U213" s="105">
        <f t="shared" ca="1" si="125"/>
        <v>169049575.8666999</v>
      </c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05"/>
      <c r="AH213" s="105"/>
      <c r="AI213" s="105"/>
      <c r="AJ213" s="105"/>
      <c r="AK213" s="105"/>
      <c r="AL213" s="105"/>
      <c r="AM213" s="105"/>
      <c r="AN213" s="105"/>
      <c r="AO213" s="105"/>
      <c r="AQ213" s="59">
        <f t="shared" ca="1" si="124"/>
        <v>198205598.12939435</v>
      </c>
      <c r="AR213" s="43">
        <f t="shared" ca="1" si="128"/>
        <v>67424563.189394355</v>
      </c>
      <c r="AU213" s="41">
        <f t="shared" si="106"/>
        <v>408</v>
      </c>
      <c r="AV213" s="36"/>
      <c r="AW213" s="35">
        <f t="shared" si="98"/>
        <v>6.0112671744041615</v>
      </c>
      <c r="AX213" s="36"/>
      <c r="AY213" s="35"/>
      <c r="AZ213" s="35">
        <f t="shared" ca="1" si="101"/>
        <v>1.001905106810594</v>
      </c>
      <c r="BA213" s="35">
        <f t="shared" ca="1" si="102"/>
        <v>1.0001051077242584</v>
      </c>
      <c r="BB213" s="35">
        <f t="shared" ca="1" si="103"/>
        <v>1.0000280049949772</v>
      </c>
      <c r="BC213" s="37">
        <f t="shared" ca="1" si="126"/>
        <v>1.000221893068159</v>
      </c>
      <c r="BE213">
        <f ca="1">IF($BE$196=0,1,(1/PRODUCT(AZ214:AZ$219)-1/PRODUCT(AZ213:AZ$219))/$BE$196)</f>
        <v>3.4670964331127464E-2</v>
      </c>
    </row>
    <row r="214" spans="1:57" x14ac:dyDescent="0.25">
      <c r="A214" s="17">
        <f t="shared" si="123"/>
        <v>2012</v>
      </c>
      <c r="B214" s="56">
        <f ca="1">SUM($B191:B191)</f>
        <v>34250733.859025501</v>
      </c>
      <c r="C214" s="58">
        <f ca="1">SUM($B191:C191)</f>
        <v>82783658.266738027</v>
      </c>
      <c r="D214" s="58">
        <f ca="1">SUM($B191:D191)</f>
        <v>110914596.71283169</v>
      </c>
      <c r="E214" s="58">
        <f ca="1">SUM($B191:E191)</f>
        <v>128766127.91479281</v>
      </c>
      <c r="F214" s="105">
        <f ca="1">E214*E$242</f>
        <v>140345241.20226163</v>
      </c>
      <c r="G214" s="105">
        <f ca="1">F214*F$242</f>
        <v>148349499.37913889</v>
      </c>
      <c r="H214" s="105">
        <f t="shared" ca="1" si="140"/>
        <v>154334619.32150528</v>
      </c>
      <c r="I214" s="105">
        <f t="shared" ca="1" si="139"/>
        <v>158634498.63122353</v>
      </c>
      <c r="J214" s="105">
        <f t="shared" ca="1" si="138"/>
        <v>161816302.47277418</v>
      </c>
      <c r="K214" s="105">
        <f t="shared" ca="1" si="137"/>
        <v>164541323.47959805</v>
      </c>
      <c r="L214" s="105">
        <f t="shared" ca="1" si="136"/>
        <v>166349562.21232456</v>
      </c>
      <c r="M214" s="105">
        <f t="shared" ca="1" si="135"/>
        <v>168315850.96069571</v>
      </c>
      <c r="N214" s="105">
        <f t="shared" ca="1" si="134"/>
        <v>170228196.44983092</v>
      </c>
      <c r="O214" s="105">
        <f t="shared" ca="1" si="133"/>
        <v>172222741.11096045</v>
      </c>
      <c r="P214" s="105">
        <f t="shared" ca="1" si="132"/>
        <v>173827352.80019557</v>
      </c>
      <c r="Q214" s="105">
        <f t="shared" ca="1" si="131"/>
        <v>175429857.40541539</v>
      </c>
      <c r="R214" s="105">
        <f t="shared" ca="1" si="130"/>
        <v>176850264.89545316</v>
      </c>
      <c r="S214" s="105">
        <f t="shared" ca="1" si="129"/>
        <v>178209734.46814615</v>
      </c>
      <c r="T214" s="105">
        <f t="shared" ca="1" si="127"/>
        <v>179510407.78663445</v>
      </c>
      <c r="U214" s="105">
        <f t="shared" ca="1" si="125"/>
        <v>181128149.12627319</v>
      </c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05"/>
      <c r="AH214" s="105"/>
      <c r="AI214" s="105"/>
      <c r="AJ214" s="105"/>
      <c r="AK214" s="105"/>
      <c r="AL214" s="105"/>
      <c r="AM214" s="105"/>
      <c r="AN214" s="105"/>
      <c r="AO214" s="105"/>
      <c r="AQ214" s="59">
        <f t="shared" ca="1" si="124"/>
        <v>282793536.95488584</v>
      </c>
      <c r="AR214" s="43">
        <f t="shared" ca="1" si="128"/>
        <v>154520743.18488586</v>
      </c>
      <c r="AU214" s="41">
        <f t="shared" si="106"/>
        <v>420</v>
      </c>
      <c r="AV214" s="36"/>
      <c r="AW214" s="35">
        <f t="shared" si="98"/>
        <v>6.0402547112774139</v>
      </c>
      <c r="AX214" s="36"/>
      <c r="AY214" s="35"/>
      <c r="AZ214" s="35">
        <f t="shared" ca="1" si="101"/>
        <v>1.0018081382390405</v>
      </c>
      <c r="BA214" s="35">
        <f t="shared" ca="1" si="102"/>
        <v>1.000083508230885</v>
      </c>
      <c r="BB214" s="35">
        <f t="shared" ca="1" si="103"/>
        <v>1.000022292528381</v>
      </c>
      <c r="BC214" s="37">
        <f t="shared" ca="1" si="126"/>
        <v>1.0001879231173627</v>
      </c>
      <c r="BE214">
        <f ca="1">IF($BE$196=0,1,(1/PRODUCT(AZ215:AZ$219)-1/PRODUCT(AZ214:AZ$219))/$BE$196)</f>
        <v>3.2968926986581541E-2</v>
      </c>
    </row>
    <row r="215" spans="1:57" x14ac:dyDescent="0.25">
      <c r="A215" s="17">
        <f t="shared" si="123"/>
        <v>2013</v>
      </c>
      <c r="B215" s="56">
        <f ca="1">SUM($B192:B192)</f>
        <v>32748986.94560989</v>
      </c>
      <c r="C215" s="58">
        <f ca="1">SUM($B192:C192)</f>
        <v>78389211.954386324</v>
      </c>
      <c r="D215" s="58">
        <f ca="1">SUM($B192:D192)</f>
        <v>105718195.13751817</v>
      </c>
      <c r="E215" s="105">
        <f ca="1">D215*D$242</f>
        <v>122811444.63051385</v>
      </c>
      <c r="F215" s="105">
        <f ca="1">E215*E$242</f>
        <v>133855091.38298452</v>
      </c>
      <c r="G215" s="105">
        <f ca="1">F215*F$242</f>
        <v>141489199.24827951</v>
      </c>
      <c r="H215" s="105">
        <f t="shared" ca="1" si="140"/>
        <v>147197542.25984624</v>
      </c>
      <c r="I215" s="105">
        <f t="shared" ca="1" si="139"/>
        <v>151298577.20059395</v>
      </c>
      <c r="J215" s="105">
        <f t="shared" ca="1" si="138"/>
        <v>154333241.15018734</v>
      </c>
      <c r="K215" s="105">
        <f t="shared" ca="1" si="137"/>
        <v>156932245.810155</v>
      </c>
      <c r="L215" s="105">
        <f t="shared" ca="1" si="136"/>
        <v>158656864.03545368</v>
      </c>
      <c r="M215" s="105">
        <f t="shared" ca="1" si="135"/>
        <v>160532223.38389957</v>
      </c>
      <c r="N215" s="105">
        <f t="shared" ca="1" si="134"/>
        <v>162356134.03460073</v>
      </c>
      <c r="O215" s="105">
        <f t="shared" ca="1" si="133"/>
        <v>164258442.62444577</v>
      </c>
      <c r="P215" s="105">
        <f t="shared" ca="1" si="132"/>
        <v>165788850.37077776</v>
      </c>
      <c r="Q215" s="105">
        <f t="shared" ca="1" si="131"/>
        <v>167317248.47345525</v>
      </c>
      <c r="R215" s="105">
        <f t="shared" ca="1" si="130"/>
        <v>168671970.39171445</v>
      </c>
      <c r="S215" s="105">
        <f t="shared" ca="1" si="129"/>
        <v>169968572.41631004</v>
      </c>
      <c r="T215" s="105">
        <f t="shared" ca="1" si="127"/>
        <v>171209097.17093816</v>
      </c>
      <c r="U215" s="105">
        <f t="shared" ca="1" si="125"/>
        <v>172752027.39782986</v>
      </c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05"/>
      <c r="AH215" s="105"/>
      <c r="AI215" s="105"/>
      <c r="AJ215" s="105"/>
      <c r="AK215" s="105"/>
      <c r="AL215" s="105"/>
      <c r="AM215" s="105"/>
      <c r="AN215" s="105"/>
      <c r="AO215" s="105"/>
      <c r="AQ215" s="59">
        <f t="shared" ca="1" si="124"/>
        <v>182674634.89828953</v>
      </c>
      <c r="AR215" s="43">
        <f t="shared" ca="1" si="128"/>
        <v>77950279.388289541</v>
      </c>
      <c r="AU215" s="41">
        <f t="shared" si="106"/>
        <v>432</v>
      </c>
      <c r="AV215" s="36"/>
      <c r="AW215" s="35">
        <f t="shared" si="98"/>
        <v>6.0684255882441107</v>
      </c>
      <c r="AX215" s="36"/>
      <c r="AY215" s="35"/>
      <c r="AZ215" s="35">
        <f t="shared" ca="1" si="101"/>
        <v>1.0017186328474776</v>
      </c>
      <c r="BA215" s="35">
        <f t="shared" ca="1" si="102"/>
        <v>1.0000663474038158</v>
      </c>
      <c r="BB215" s="35">
        <f t="shared" ca="1" si="103"/>
        <v>1.0000177749985515</v>
      </c>
      <c r="BC215" s="37">
        <f t="shared" ca="1" si="126"/>
        <v>1.0001550317116636</v>
      </c>
      <c r="BE215">
        <f ca="1">IF($BE$196=0,1,(1/PRODUCT(AZ216:AZ$219)-1/PRODUCT(AZ215:AZ$219))/$BE$196)</f>
        <v>3.1393580108990952E-2</v>
      </c>
    </row>
    <row r="216" spans="1:57" x14ac:dyDescent="0.25">
      <c r="A216" s="17">
        <f t="shared" si="123"/>
        <v>2014</v>
      </c>
      <c r="B216" s="56">
        <f ca="1">SUM($B193:B193)</f>
        <v>33289740.852947723</v>
      </c>
      <c r="C216" s="58">
        <f ca="1">SUM($B193:C193)</f>
        <v>79449455.929375485</v>
      </c>
      <c r="D216" s="105">
        <f ca="1">C216*C$242</f>
        <v>107027285.02118844</v>
      </c>
      <c r="E216" s="105">
        <f ca="1">D216*D$242</f>
        <v>124332197.22712795</v>
      </c>
      <c r="F216" s="105">
        <f ca="1">E216*E$242</f>
        <v>135512595.52197674</v>
      </c>
      <c r="G216" s="105">
        <f ca="1">F216*F$242</f>
        <v>143241235.20711887</v>
      </c>
      <c r="H216" s="105">
        <f t="shared" ca="1" si="140"/>
        <v>149020263.62983212</v>
      </c>
      <c r="I216" s="105">
        <f t="shared" ca="1" si="139"/>
        <v>153172080.96756011</v>
      </c>
      <c r="J216" s="105">
        <f t="shared" ca="1" si="138"/>
        <v>156244322.62902784</v>
      </c>
      <c r="K216" s="105">
        <f t="shared" ca="1" si="137"/>
        <v>158875510.30823404</v>
      </c>
      <c r="L216" s="105">
        <f t="shared" ca="1" si="136"/>
        <v>160621484.17878371</v>
      </c>
      <c r="M216" s="105">
        <f t="shared" ca="1" si="135"/>
        <v>162520065.77339169</v>
      </c>
      <c r="N216" s="105">
        <f t="shared" ca="1" si="134"/>
        <v>164366561.590047</v>
      </c>
      <c r="O216" s="105">
        <f t="shared" ca="1" si="133"/>
        <v>166292426.13378763</v>
      </c>
      <c r="P216" s="105">
        <f t="shared" ca="1" si="132"/>
        <v>167841784.65104422</v>
      </c>
      <c r="Q216" s="105">
        <f t="shared" ca="1" si="131"/>
        <v>169389108.63958111</v>
      </c>
      <c r="R216" s="105">
        <f t="shared" ca="1" si="130"/>
        <v>170760605.84194419</v>
      </c>
      <c r="S216" s="105">
        <f t="shared" ca="1" si="129"/>
        <v>172073263.46218568</v>
      </c>
      <c r="T216" s="105">
        <f t="shared" ca="1" si="127"/>
        <v>173329149.41745305</v>
      </c>
      <c r="U216" s="105">
        <f t="shared" ca="1" si="125"/>
        <v>174891185.4789516</v>
      </c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05"/>
      <c r="AH216" s="105"/>
      <c r="AI216" s="105"/>
      <c r="AJ216" s="105"/>
      <c r="AK216" s="105"/>
      <c r="AL216" s="105"/>
      <c r="AM216" s="105"/>
      <c r="AN216" s="105"/>
      <c r="AO216" s="105"/>
      <c r="AQ216" s="59">
        <f t="shared" ca="1" si="124"/>
        <v>239344541.3622508</v>
      </c>
      <c r="AR216" s="43">
        <f t="shared" ca="1" si="128"/>
        <v>159589941.60225081</v>
      </c>
      <c r="AU216" s="41">
        <f t="shared" si="106"/>
        <v>444</v>
      </c>
      <c r="AV216" s="36"/>
      <c r="AW216" s="35">
        <f t="shared" si="98"/>
        <v>6.0958245624322247</v>
      </c>
      <c r="AX216" s="36"/>
      <c r="AY216" s="35"/>
      <c r="AZ216" s="35">
        <f t="shared" ca="1" si="101"/>
        <v>1.001635832118116</v>
      </c>
      <c r="BA216" s="35">
        <f t="shared" ca="1" si="102"/>
        <v>1.0000527131032049</v>
      </c>
      <c r="BB216" s="35">
        <f t="shared" ca="1" si="103"/>
        <v>1.0000141958321618</v>
      </c>
      <c r="BC216" s="37">
        <f t="shared" ca="1" si="126"/>
        <v>1.0001254843342844</v>
      </c>
      <c r="BE216">
        <f ca="1">IF($BE$196=0,1,(1/PRODUCT(AZ217:AZ$219)-1/PRODUCT(AZ216:AZ$219))/$BE$196)</f>
        <v>2.9932446868258775E-2</v>
      </c>
    </row>
    <row r="217" spans="1:57" x14ac:dyDescent="0.25">
      <c r="A217" s="17">
        <f>A216+1</f>
        <v>2015</v>
      </c>
      <c r="B217" s="56">
        <f ca="1">SUM($B194:B194)</f>
        <v>29356556.946547687</v>
      </c>
      <c r="C217" s="105">
        <f ca="1">B217*B$242</f>
        <v>70387206.038675815</v>
      </c>
      <c r="D217" s="105">
        <f ca="1">C217*C$242</f>
        <v>94819422.920190275</v>
      </c>
      <c r="E217" s="105">
        <f ca="1">D217*D$242</f>
        <v>110150483.48784739</v>
      </c>
      <c r="F217" s="105">
        <f ca="1">E217*E$242</f>
        <v>120055611.08335322</v>
      </c>
      <c r="G217" s="105">
        <f ca="1">F217*F$242</f>
        <v>126902698.29815249</v>
      </c>
      <c r="H217" s="105">
        <f t="shared" ca="1" si="140"/>
        <v>132022552.92188293</v>
      </c>
      <c r="I217" s="105">
        <f t="shared" ca="1" si="139"/>
        <v>135700801.17377001</v>
      </c>
      <c r="J217" s="105">
        <f t="shared" ca="1" si="138"/>
        <v>138422613.47942707</v>
      </c>
      <c r="K217" s="105">
        <f t="shared" ca="1" si="137"/>
        <v>140753679.77983502</v>
      </c>
      <c r="L217" s="105">
        <f t="shared" ca="1" si="136"/>
        <v>142300502.48776856</v>
      </c>
      <c r="M217" s="105">
        <f t="shared" ca="1" si="135"/>
        <v>143982526.01225564</v>
      </c>
      <c r="N217" s="105">
        <f t="shared" ca="1" si="134"/>
        <v>145618404.82320687</v>
      </c>
      <c r="O217" s="105">
        <f t="shared" ca="1" si="133"/>
        <v>147324599.31953359</v>
      </c>
      <c r="P217" s="105">
        <f t="shared" ca="1" si="132"/>
        <v>148697233.2275475</v>
      </c>
      <c r="Q217" s="105">
        <f t="shared" ca="1" si="131"/>
        <v>150068064.67146003</v>
      </c>
      <c r="R217" s="105">
        <f t="shared" ca="1" si="130"/>
        <v>151283124.67451417</v>
      </c>
      <c r="S217" s="105">
        <f t="shared" ca="1" si="129"/>
        <v>152446056.51958945</v>
      </c>
      <c r="T217" s="105">
        <f t="shared" ca="1" si="127"/>
        <v>153558692.25082797</v>
      </c>
      <c r="U217" s="105">
        <f t="shared" ca="1" si="125"/>
        <v>154942557.66330197</v>
      </c>
      <c r="V217" s="105"/>
      <c r="W217" s="105"/>
      <c r="X217" s="105"/>
      <c r="Y217" s="105"/>
      <c r="Z217" s="105"/>
      <c r="AA217" s="105"/>
      <c r="AB217" s="105"/>
      <c r="AC217" s="105"/>
      <c r="AD217" s="105"/>
      <c r="AE217" s="105"/>
      <c r="AF217" s="105"/>
      <c r="AG217" s="105"/>
      <c r="AH217" s="105"/>
      <c r="AI217" s="105"/>
      <c r="AJ217" s="105"/>
      <c r="AK217" s="105"/>
      <c r="AL217" s="105"/>
      <c r="AM217" s="105"/>
      <c r="AN217" s="105"/>
      <c r="AO217" s="105"/>
      <c r="AQ217" s="59">
        <f t="shared" ca="1" si="124"/>
        <v>163842216.94932434</v>
      </c>
      <c r="AR217" s="43">
        <f t="shared" ca="1" si="128"/>
        <v>134768879.37932435</v>
      </c>
      <c r="AU217" s="41">
        <f t="shared" si="106"/>
        <v>456</v>
      </c>
      <c r="AV217" s="36"/>
      <c r="AW217" s="35">
        <f t="shared" si="98"/>
        <v>6.1224928095143865</v>
      </c>
      <c r="AX217" s="36"/>
      <c r="AY217" s="35"/>
      <c r="AZ217" s="35">
        <f t="shared" ca="1" si="101"/>
        <v>1.0015590723613688</v>
      </c>
      <c r="BA217" s="35">
        <f t="shared" ca="1" si="102"/>
        <v>1.0000418806326952</v>
      </c>
      <c r="BB217" s="35">
        <f t="shared" ca="1" si="103"/>
        <v>1.0000113550579566</v>
      </c>
      <c r="BC217" s="37">
        <f t="shared" ca="1" si="126"/>
        <v>1.0001125840667706</v>
      </c>
      <c r="BE217">
        <f ca="1">IF($BE$196=0,1,(1/PRODUCT(AZ218:AZ$219)-1/PRODUCT(AZ217:AZ$219))/$BE$196)</f>
        <v>2.8574564122976841E-2</v>
      </c>
    </row>
    <row r="218" spans="1:57" x14ac:dyDescent="0.25">
      <c r="A218" s="1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S218" s="7"/>
      <c r="AU218" s="41">
        <f t="shared" si="106"/>
        <v>468</v>
      </c>
      <c r="AV218" s="36"/>
      <c r="AW218" s="35">
        <f t="shared" si="98"/>
        <v>6.1484682959176471</v>
      </c>
      <c r="AX218" s="36"/>
      <c r="AY218" s="35"/>
      <c r="AZ218" s="35">
        <f t="shared" ca="1" si="101"/>
        <v>1.0014877707559608</v>
      </c>
      <c r="BA218" s="35">
        <f t="shared" ca="1" si="102"/>
        <v>1.0000332742200384</v>
      </c>
      <c r="BB218" s="35">
        <f t="shared" ca="1" si="103"/>
        <v>1.0000090964655073</v>
      </c>
      <c r="BC218" s="37">
        <f t="shared" ca="1" si="126"/>
        <v>1.0000960437597359</v>
      </c>
      <c r="BE218">
        <f ca="1">IF($BE$196=0,1,(1/PRODUCT(AZ219:AZ$219)-1/PRODUCT(AZ218:AZ$219))/$BE$196)</f>
        <v>2.7310265918844744E-2</v>
      </c>
    </row>
    <row r="219" spans="1:57" x14ac:dyDescent="0.25">
      <c r="A219" s="1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11">
        <f ca="1">SUM(AQ198:AQ217)</f>
        <v>13854332218.643505</v>
      </c>
      <c r="AR219" s="11" t="e">
        <f ca="1">_xll.RiskOutput("Paid TNR")+SUM(AR198:AR217)</f>
        <v>#NAME?</v>
      </c>
      <c r="AS219" s="7"/>
      <c r="AU219" s="100">
        <f t="shared" si="106"/>
        <v>480</v>
      </c>
      <c r="AV219" s="101"/>
      <c r="AW219" s="102">
        <f t="shared" si="98"/>
        <v>6.1737861039019366</v>
      </c>
      <c r="AX219" s="101"/>
      <c r="AY219" s="102"/>
      <c r="AZ219" s="102">
        <f t="shared" ca="1" si="101"/>
        <v>1.0014214137385871</v>
      </c>
      <c r="BA219" s="102">
        <f t="shared" ca="1" si="102"/>
        <v>1.0000264364133948</v>
      </c>
      <c r="BB219" s="102">
        <f t="shared" ca="1" si="103"/>
        <v>1.0000072977625794</v>
      </c>
      <c r="BC219" s="103">
        <f t="shared" ca="1" si="126"/>
        <v>1.0000897274295939</v>
      </c>
      <c r="BE219">
        <f ca="1">IF($BE$196=0,1,(1-1/PRODUCT(AZ219:AZ$219))/$BE$196)</f>
        <v>2.6131002425748926E-2</v>
      </c>
    </row>
    <row r="220" spans="1:57" x14ac:dyDescent="0.25">
      <c r="A220" s="7" t="s">
        <v>136</v>
      </c>
      <c r="C220" s="7"/>
      <c r="D220" s="7"/>
      <c r="E220" s="7"/>
      <c r="F220" s="7"/>
      <c r="G220" s="7"/>
      <c r="H220" s="7"/>
      <c r="I220" s="7"/>
      <c r="J220" s="7"/>
      <c r="K220" s="7"/>
      <c r="L220" s="19"/>
      <c r="M220" s="19"/>
      <c r="N220" s="19"/>
      <c r="O220" s="7"/>
      <c r="P220" s="7"/>
      <c r="Q220" s="7"/>
      <c r="R220" s="7"/>
      <c r="S220" s="7"/>
      <c r="T220" s="7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</row>
    <row r="221" spans="1:57" x14ac:dyDescent="0.25">
      <c r="A221" s="15" t="s">
        <v>72</v>
      </c>
      <c r="B221" s="20" t="str">
        <f t="shared" ref="B221:T221" si="141">B197&amp;"-"&amp;C197</f>
        <v>12-24</v>
      </c>
      <c r="C221" s="20" t="str">
        <f t="shared" si="141"/>
        <v>24-36</v>
      </c>
      <c r="D221" s="20" t="str">
        <f t="shared" si="141"/>
        <v>36-48</v>
      </c>
      <c r="E221" s="20" t="str">
        <f t="shared" si="141"/>
        <v>48-60</v>
      </c>
      <c r="F221" s="20" t="str">
        <f t="shared" si="141"/>
        <v>60-72</v>
      </c>
      <c r="G221" s="20" t="str">
        <f t="shared" si="141"/>
        <v>72-84</v>
      </c>
      <c r="H221" s="20" t="str">
        <f t="shared" si="141"/>
        <v>84-96</v>
      </c>
      <c r="I221" s="20" t="str">
        <f t="shared" si="141"/>
        <v>96-108</v>
      </c>
      <c r="J221" s="20" t="str">
        <f t="shared" si="141"/>
        <v>108-120</v>
      </c>
      <c r="K221" s="20" t="str">
        <f t="shared" si="141"/>
        <v>120-132</v>
      </c>
      <c r="L221" s="20" t="str">
        <f t="shared" si="141"/>
        <v>132-144</v>
      </c>
      <c r="M221" s="20" t="str">
        <f t="shared" si="141"/>
        <v>144-156</v>
      </c>
      <c r="N221" s="20" t="str">
        <f t="shared" si="141"/>
        <v>156-168</v>
      </c>
      <c r="O221" s="20" t="str">
        <f t="shared" si="141"/>
        <v>168-180</v>
      </c>
      <c r="P221" s="20" t="str">
        <f t="shared" si="141"/>
        <v>180-192</v>
      </c>
      <c r="Q221" s="20" t="str">
        <f t="shared" si="141"/>
        <v>192-204</v>
      </c>
      <c r="R221" s="20" t="str">
        <f t="shared" si="141"/>
        <v>204-216</v>
      </c>
      <c r="S221" s="20" t="str">
        <f t="shared" si="141"/>
        <v>216-228</v>
      </c>
      <c r="T221" s="20" t="str">
        <f t="shared" si="141"/>
        <v>228-240</v>
      </c>
      <c r="U221" s="88" t="str">
        <f>U8&amp;"-Ult"</f>
        <v>240-Ult</v>
      </c>
      <c r="V221" s="88"/>
      <c r="W221" s="88"/>
      <c r="X221" s="88"/>
      <c r="Y221" s="88"/>
      <c r="Z221" s="88"/>
      <c r="AA221" s="88"/>
      <c r="AB221" s="88"/>
      <c r="AC221" s="88"/>
      <c r="AD221" s="88"/>
      <c r="AE221" s="88"/>
      <c r="AF221" s="88"/>
      <c r="AG221" s="88"/>
      <c r="AH221" s="88"/>
      <c r="AI221" s="88"/>
      <c r="AJ221" s="88"/>
      <c r="AK221" s="88"/>
      <c r="AL221" s="88"/>
      <c r="AM221" s="88"/>
      <c r="AN221" s="88"/>
      <c r="AO221" s="88"/>
      <c r="AP221" s="10"/>
      <c r="AQ221" s="10"/>
      <c r="AR221" s="10"/>
      <c r="AS221" s="10"/>
      <c r="AT221" s="7"/>
      <c r="AU221" s="7"/>
    </row>
    <row r="222" spans="1:57" x14ac:dyDescent="0.25">
      <c r="A222" s="17">
        <f t="shared" ref="A222:A240" si="142">+A198</f>
        <v>1996</v>
      </c>
      <c r="B222" s="78">
        <f t="shared" ref="B222:T222" ca="1" si="143">IF(ISERROR(C198/B198),B$53,C198/B198)</f>
        <v>2.3874296371686463</v>
      </c>
      <c r="C222" s="78">
        <f t="shared" ca="1" si="143"/>
        <v>1.3476530583687401</v>
      </c>
      <c r="D222" s="21">
        <f t="shared" ca="1" si="143"/>
        <v>1.1617157416786088</v>
      </c>
      <c r="E222" s="21">
        <f t="shared" ca="1" si="143"/>
        <v>1.0899028907814066</v>
      </c>
      <c r="F222" s="21">
        <f t="shared" ca="1" si="143"/>
        <v>1.057054315449935</v>
      </c>
      <c r="G222" s="21">
        <f t="shared" ca="1" si="143"/>
        <v>1.0399815791798035</v>
      </c>
      <c r="H222" s="21">
        <f t="shared" ca="1" si="143"/>
        <v>1.0275382441617251</v>
      </c>
      <c r="I222" s="21">
        <f t="shared" ca="1" si="143"/>
        <v>1.0199441585627189</v>
      </c>
      <c r="J222" s="21">
        <f t="shared" ca="1" si="143"/>
        <v>1.0166616155921739</v>
      </c>
      <c r="K222" s="21">
        <f t="shared" ca="1" si="143"/>
        <v>1.010817784932915</v>
      </c>
      <c r="L222" s="21">
        <f t="shared" ca="1" si="143"/>
        <v>1.0120478273328304</v>
      </c>
      <c r="M222" s="21">
        <f t="shared" ca="1" si="143"/>
        <v>1.0113295524329553</v>
      </c>
      <c r="N222" s="21">
        <f t="shared" ref="N222:O227" ca="1" si="144">IF(ISERROR(O198/N198),N$53,O198/N198)</f>
        <v>1.011846029846857</v>
      </c>
      <c r="O222" s="21">
        <f t="shared" ca="1" si="144"/>
        <v>1.0094113717278954</v>
      </c>
      <c r="P222" s="21">
        <f t="shared" ca="1" si="143"/>
        <v>1.0091443562630544</v>
      </c>
      <c r="Q222" s="21">
        <f t="shared" ca="1" si="143"/>
        <v>1.0079887341159011</v>
      </c>
      <c r="R222" s="21">
        <f t="shared" ca="1" si="143"/>
        <v>1.0077106976393742</v>
      </c>
      <c r="S222" s="21">
        <f t="shared" ca="1" si="143"/>
        <v>1.0073279723187831</v>
      </c>
      <c r="T222" s="21">
        <f t="shared" ca="1" si="143"/>
        <v>1.0090119640392192</v>
      </c>
      <c r="U222" s="87"/>
      <c r="V222" s="87"/>
      <c r="W222" s="87"/>
      <c r="X222" s="87"/>
      <c r="Y222" s="87"/>
      <c r="Z222" s="87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  <c r="AL222" s="87"/>
      <c r="AM222" s="87"/>
      <c r="AN222" s="87"/>
      <c r="AO222" s="87"/>
      <c r="AP222" s="7"/>
      <c r="AQ222" s="7"/>
      <c r="AR222" s="7"/>
      <c r="AS222" s="7"/>
      <c r="AT222" s="7"/>
      <c r="AU222" s="7"/>
    </row>
    <row r="223" spans="1:57" x14ac:dyDescent="0.25">
      <c r="A223" s="17">
        <f t="shared" si="142"/>
        <v>1997</v>
      </c>
      <c r="B223" s="78">
        <f t="shared" ref="B223:S223" ca="1" si="145">IF(ISERROR(C199/B199),B$53,C199/B199)</f>
        <v>2.3867238955471692</v>
      </c>
      <c r="C223" s="78">
        <f t="shared" ca="1" si="145"/>
        <v>1.3460913356463879</v>
      </c>
      <c r="D223" s="21">
        <f t="shared" ca="1" si="145"/>
        <v>1.1616472257338668</v>
      </c>
      <c r="E223" s="21">
        <f t="shared" ca="1" si="145"/>
        <v>1.0892300432050503</v>
      </c>
      <c r="F223" s="21">
        <f t="shared" ca="1" si="145"/>
        <v>1.0570715276581812</v>
      </c>
      <c r="G223" s="21">
        <f t="shared" ca="1" si="145"/>
        <v>1.0405083267807813</v>
      </c>
      <c r="H223" s="21">
        <f t="shared" ca="1" si="145"/>
        <v>1.0276055404402324</v>
      </c>
      <c r="I223" s="21">
        <f t="shared" ca="1" si="145"/>
        <v>1.0201870430489535</v>
      </c>
      <c r="J223" s="21">
        <f t="shared" ca="1" si="145"/>
        <v>1.0170074573275252</v>
      </c>
      <c r="K223" s="21">
        <f t="shared" ca="1" si="145"/>
        <v>1.0109924583218661</v>
      </c>
      <c r="L223" s="21">
        <f t="shared" ca="1" si="145"/>
        <v>1.0118079433163496</v>
      </c>
      <c r="M223" s="21">
        <f t="shared" ca="1" si="145"/>
        <v>1.0113952451607851</v>
      </c>
      <c r="N223" s="21">
        <f t="shared" ca="1" si="144"/>
        <v>1.0117982597074235</v>
      </c>
      <c r="O223" s="21">
        <f t="shared" ca="1" si="144"/>
        <v>1.0091716491136702</v>
      </c>
      <c r="P223" s="21">
        <f t="shared" ca="1" si="145"/>
        <v>1.0092599285198516</v>
      </c>
      <c r="Q223" s="21">
        <f t="shared" ca="1" si="145"/>
        <v>1.0082254041687317</v>
      </c>
      <c r="R223" s="21">
        <f t="shared" ca="1" si="145"/>
        <v>1.0075532841407517</v>
      </c>
      <c r="S223" s="21">
        <f t="shared" ca="1" si="145"/>
        <v>1.0072734020913654</v>
      </c>
      <c r="T223" s="22"/>
      <c r="U223" s="87"/>
      <c r="V223" s="87"/>
      <c r="W223" s="87"/>
      <c r="X223" s="87"/>
      <c r="Y223" s="87"/>
      <c r="Z223" s="87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/>
      <c r="AK223" s="87"/>
      <c r="AL223" s="87"/>
      <c r="AM223" s="87"/>
      <c r="AN223" s="87"/>
      <c r="AO223" s="87"/>
      <c r="AP223" s="7"/>
      <c r="AQ223" s="7"/>
    </row>
    <row r="224" spans="1:57" x14ac:dyDescent="0.25">
      <c r="A224" s="17">
        <f t="shared" si="142"/>
        <v>1998</v>
      </c>
      <c r="B224" s="21">
        <f t="shared" ref="B224:R224" ca="1" si="146">IF(ISERROR(C200/B200),B$53,C200/B200)</f>
        <v>2.3886400877527403</v>
      </c>
      <c r="C224" s="21">
        <f t="shared" ca="1" si="146"/>
        <v>1.3471459606818206</v>
      </c>
      <c r="D224" s="21">
        <f t="shared" ca="1" si="146"/>
        <v>1.1609638355136611</v>
      </c>
      <c r="E224" s="21">
        <f t="shared" ca="1" si="146"/>
        <v>1.0891999214075239</v>
      </c>
      <c r="F224" s="21">
        <f t="shared" ca="1" si="146"/>
        <v>1.0566841285949451</v>
      </c>
      <c r="G224" s="21">
        <f t="shared" ca="1" si="146"/>
        <v>1.0405129681286014</v>
      </c>
      <c r="H224" s="21">
        <f t="shared" ca="1" si="146"/>
        <v>1.027508822362045</v>
      </c>
      <c r="I224" s="21">
        <f t="shared" ca="1" si="146"/>
        <v>1.0199145108275147</v>
      </c>
      <c r="J224" s="21">
        <f t="shared" ca="1" si="146"/>
        <v>1.016804604491381</v>
      </c>
      <c r="K224" s="21">
        <f t="shared" ca="1" si="146"/>
        <v>1.0108500344472602</v>
      </c>
      <c r="L224" s="21">
        <f t="shared" ca="1" si="146"/>
        <v>1.0117445293319898</v>
      </c>
      <c r="M224" s="21">
        <f t="shared" ca="1" si="146"/>
        <v>1.011517480577502</v>
      </c>
      <c r="N224" s="21">
        <f t="shared" ca="1" si="144"/>
        <v>1.0114671809859865</v>
      </c>
      <c r="O224" s="21">
        <f t="shared" ca="1" si="144"/>
        <v>1.0093956064828413</v>
      </c>
      <c r="P224" s="21">
        <f t="shared" ca="1" si="146"/>
        <v>1.0092209827589405</v>
      </c>
      <c r="Q224" s="21">
        <f t="shared" ca="1" si="146"/>
        <v>1.0081982905143885</v>
      </c>
      <c r="R224" s="21">
        <f t="shared" ca="1" si="146"/>
        <v>1.0077787286470254</v>
      </c>
      <c r="S224" s="22"/>
      <c r="T224" s="22"/>
      <c r="U224" s="87"/>
      <c r="V224" s="87"/>
      <c r="W224" s="87"/>
      <c r="X224" s="87"/>
      <c r="Y224" s="87"/>
      <c r="Z224" s="87"/>
      <c r="AA224" s="87"/>
      <c r="AB224" s="87"/>
      <c r="AC224" s="87"/>
      <c r="AD224" s="87"/>
      <c r="AE224" s="87"/>
      <c r="AF224" s="87"/>
      <c r="AG224" s="87"/>
      <c r="AH224" s="87"/>
      <c r="AI224" s="87"/>
      <c r="AJ224" s="87"/>
      <c r="AK224" s="87"/>
      <c r="AL224" s="87"/>
      <c r="AM224" s="87"/>
      <c r="AN224" s="87"/>
      <c r="AO224" s="87"/>
      <c r="AP224" s="19"/>
      <c r="AQ224" s="7"/>
    </row>
    <row r="225" spans="1:43" x14ac:dyDescent="0.25">
      <c r="A225" s="17">
        <f t="shared" si="142"/>
        <v>1999</v>
      </c>
      <c r="B225" s="21">
        <f t="shared" ref="B225:Q225" ca="1" si="147">IF(ISERROR(C201/B201),B$53,C201/B201)</f>
        <v>2.3916330986958578</v>
      </c>
      <c r="C225" s="21">
        <f t="shared" ca="1" si="147"/>
        <v>1.3464112414298615</v>
      </c>
      <c r="D225" s="21">
        <f t="shared" ca="1" si="147"/>
        <v>1.1612807962889269</v>
      </c>
      <c r="E225" s="21">
        <f t="shared" ca="1" si="147"/>
        <v>1.0892084112029017</v>
      </c>
      <c r="F225" s="21">
        <f t="shared" ca="1" si="147"/>
        <v>1.0568490184313581</v>
      </c>
      <c r="G225" s="21">
        <f t="shared" ca="1" si="147"/>
        <v>1.0401515296662276</v>
      </c>
      <c r="H225" s="21">
        <f t="shared" ca="1" si="147"/>
        <v>1.0278162487437035</v>
      </c>
      <c r="I225" s="21">
        <f t="shared" ca="1" si="147"/>
        <v>1.0202874465587273</v>
      </c>
      <c r="J225" s="21">
        <f t="shared" ca="1" si="147"/>
        <v>1.0168500234519193</v>
      </c>
      <c r="K225" s="21">
        <f t="shared" ca="1" si="147"/>
        <v>1.0109936652576186</v>
      </c>
      <c r="L225" s="21">
        <f t="shared" ca="1" si="147"/>
        <v>1.0117208067553511</v>
      </c>
      <c r="M225" s="21">
        <f t="shared" ca="1" si="147"/>
        <v>1.0112684800728593</v>
      </c>
      <c r="N225" s="21">
        <f t="shared" ca="1" si="144"/>
        <v>1.0116329442929159</v>
      </c>
      <c r="O225" s="21">
        <f t="shared" ca="1" si="144"/>
        <v>1.0092422726763617</v>
      </c>
      <c r="P225" s="21">
        <f t="shared" ca="1" si="147"/>
        <v>1.0091896244517984</v>
      </c>
      <c r="Q225" s="21">
        <f t="shared" ca="1" si="147"/>
        <v>1.0079779201262242</v>
      </c>
      <c r="R225" s="22"/>
      <c r="S225" s="22"/>
      <c r="T225" s="22"/>
      <c r="U225" s="87"/>
      <c r="V225" s="87"/>
      <c r="W225" s="87"/>
      <c r="X225" s="87"/>
      <c r="Y225" s="87"/>
      <c r="Z225" s="87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  <c r="AL225" s="87"/>
      <c r="AM225" s="87"/>
      <c r="AN225" s="87"/>
      <c r="AO225" s="87"/>
      <c r="AP225" s="19"/>
      <c r="AQ225" s="7"/>
    </row>
    <row r="226" spans="1:43" x14ac:dyDescent="0.25">
      <c r="A226" s="17">
        <f t="shared" si="142"/>
        <v>2000</v>
      </c>
      <c r="B226" s="21">
        <f t="shared" ref="B226:P226" ca="1" si="148">IF(ISERROR(C202/B202),B$53,C202/B202)</f>
        <v>2.396129748797025</v>
      </c>
      <c r="C226" s="21">
        <f t="shared" ca="1" si="148"/>
        <v>1.3454297342218011</v>
      </c>
      <c r="D226" s="21">
        <f t="shared" ca="1" si="148"/>
        <v>1.1619072436953088</v>
      </c>
      <c r="E226" s="21">
        <f t="shared" ca="1" si="148"/>
        <v>1.0901322876388497</v>
      </c>
      <c r="F226" s="21">
        <f t="shared" ca="1" si="148"/>
        <v>1.0570369950100289</v>
      </c>
      <c r="G226" s="21">
        <f t="shared" ca="1" si="148"/>
        <v>1.040163916089615</v>
      </c>
      <c r="H226" s="21">
        <f t="shared" ca="1" si="148"/>
        <v>1.0275824943833465</v>
      </c>
      <c r="I226" s="21">
        <f t="shared" ca="1" si="148"/>
        <v>1.020186155466146</v>
      </c>
      <c r="J226" s="21">
        <f t="shared" ca="1" si="148"/>
        <v>1.0168901971048254</v>
      </c>
      <c r="K226" s="21">
        <f t="shared" ca="1" si="148"/>
        <v>1.0109799214627864</v>
      </c>
      <c r="L226" s="21">
        <f t="shared" ca="1" si="148"/>
        <v>1.0118307196338312</v>
      </c>
      <c r="M226" s="21">
        <f t="shared" ca="1" si="148"/>
        <v>1.0113356751773233</v>
      </c>
      <c r="N226" s="21">
        <f t="shared" ca="1" si="144"/>
        <v>1.0117621027136745</v>
      </c>
      <c r="O226" s="21">
        <f t="shared" ca="1" si="144"/>
        <v>1.0092437874735698</v>
      </c>
      <c r="P226" s="21">
        <f t="shared" ca="1" si="148"/>
        <v>1.0092656994447571</v>
      </c>
      <c r="Q226" s="22"/>
      <c r="R226" s="22"/>
      <c r="T226" s="22"/>
      <c r="U226" s="87"/>
      <c r="V226" s="87"/>
      <c r="W226" s="87"/>
      <c r="X226" s="87"/>
      <c r="Y226" s="87"/>
      <c r="Z226" s="87"/>
      <c r="AA226" s="87"/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  <c r="AL226" s="87"/>
      <c r="AM226" s="87"/>
      <c r="AN226" s="87"/>
      <c r="AO226" s="87"/>
      <c r="AP226" s="19"/>
      <c r="AQ226" s="7"/>
    </row>
    <row r="227" spans="1:43" x14ac:dyDescent="0.25">
      <c r="A227" s="17">
        <f t="shared" si="142"/>
        <v>2001</v>
      </c>
      <c r="B227" s="21">
        <f t="shared" ref="B227:M227" ca="1" si="149">IF(ISERROR(C203/B203),B$53,C203/B203)</f>
        <v>2.4592102950480847</v>
      </c>
      <c r="C227" s="21">
        <f t="shared" ca="1" si="149"/>
        <v>1.351953154016571</v>
      </c>
      <c r="D227" s="21">
        <f t="shared" ca="1" si="149"/>
        <v>1.1632672954213519</v>
      </c>
      <c r="E227" s="21">
        <f t="shared" ca="1" si="149"/>
        <v>1.091519489571237</v>
      </c>
      <c r="F227" s="21">
        <f t="shared" ca="1" si="149"/>
        <v>1.0574687722363505</v>
      </c>
      <c r="G227" s="21">
        <f t="shared" ca="1" si="149"/>
        <v>1.0406020106455185</v>
      </c>
      <c r="H227" s="21">
        <f t="shared" ca="1" si="149"/>
        <v>1.0282527446269791</v>
      </c>
      <c r="I227" s="21">
        <f t="shared" ca="1" si="149"/>
        <v>1.0200388178251012</v>
      </c>
      <c r="J227" s="21">
        <f t="shared" ca="1" si="149"/>
        <v>1.0169484045233372</v>
      </c>
      <c r="K227" s="21">
        <f t="shared" ca="1" si="149"/>
        <v>1.0111274489789852</v>
      </c>
      <c r="L227" s="21">
        <f t="shared" ca="1" si="149"/>
        <v>1.01187996569915</v>
      </c>
      <c r="M227" s="21">
        <f t="shared" ca="1" si="149"/>
        <v>1.0113017671324498</v>
      </c>
      <c r="N227" s="21">
        <f t="shared" ca="1" si="144"/>
        <v>1.011818101302981</v>
      </c>
      <c r="O227" s="21">
        <f t="shared" ca="1" si="144"/>
        <v>1.0094409035893739</v>
      </c>
      <c r="P227" s="22"/>
      <c r="Q227" s="22"/>
      <c r="R227" s="22"/>
      <c r="S227" s="5"/>
      <c r="T227" s="23"/>
      <c r="U227" s="87"/>
      <c r="V227" s="87"/>
      <c r="W227" s="87"/>
      <c r="X227" s="87"/>
      <c r="Y227" s="87"/>
      <c r="Z227" s="87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  <c r="AL227" s="87"/>
      <c r="AM227" s="87"/>
      <c r="AN227" s="87"/>
      <c r="AO227" s="87"/>
      <c r="AP227" s="19"/>
      <c r="AQ227" s="7"/>
    </row>
    <row r="228" spans="1:43" x14ac:dyDescent="0.25">
      <c r="A228" s="17">
        <f t="shared" si="142"/>
        <v>2002</v>
      </c>
      <c r="B228" s="21">
        <f t="shared" ref="B228:M228" ca="1" si="150">IF(ISERROR(C204/B204),B$53,C204/B204)</f>
        <v>2.386742471700066</v>
      </c>
      <c r="C228" s="21">
        <f t="shared" ca="1" si="150"/>
        <v>1.3465510404489394</v>
      </c>
      <c r="D228" s="21">
        <f t="shared" ca="1" si="150"/>
        <v>1.159849141487783</v>
      </c>
      <c r="E228" s="21">
        <f t="shared" ca="1" si="150"/>
        <v>1.0896834590650344</v>
      </c>
      <c r="F228" s="21">
        <f t="shared" ca="1" si="150"/>
        <v>1.056898438774031</v>
      </c>
      <c r="G228" s="21">
        <f t="shared" ca="1" si="150"/>
        <v>1.040486786041372</v>
      </c>
      <c r="H228" s="21">
        <f t="shared" ca="1" si="150"/>
        <v>1.0278133749873228</v>
      </c>
      <c r="I228" s="21">
        <f t="shared" ca="1" si="150"/>
        <v>1.0199560389573188</v>
      </c>
      <c r="J228" s="21">
        <f t="shared" ca="1" si="150"/>
        <v>1.016740407948769</v>
      </c>
      <c r="K228" s="21">
        <f t="shared" ca="1" si="150"/>
        <v>1.0110640845281831</v>
      </c>
      <c r="L228" s="21">
        <f t="shared" ca="1" si="150"/>
        <v>1.0117292072604356</v>
      </c>
      <c r="M228" s="21">
        <f t="shared" ca="1" si="150"/>
        <v>1.0115509149231086</v>
      </c>
      <c r="N228" s="21">
        <f ca="1">IF(ISERROR(O204/N204),N$53,O204/N204)</f>
        <v>1.0117489405721716</v>
      </c>
      <c r="O228" s="22"/>
      <c r="P228" s="22"/>
      <c r="Q228" s="22"/>
      <c r="R228" s="5"/>
      <c r="S228" s="5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9"/>
      <c r="AP228" s="19"/>
      <c r="AQ228" s="7"/>
    </row>
    <row r="229" spans="1:43" x14ac:dyDescent="0.25">
      <c r="A229" s="17">
        <f t="shared" si="142"/>
        <v>2003</v>
      </c>
      <c r="B229" s="21">
        <f t="shared" ref="B229:M229" ca="1" si="151">IF(ISERROR(C205/B205),B$53,C205/B205)</f>
        <v>2.3911479721798874</v>
      </c>
      <c r="C229" s="21">
        <f t="shared" ca="1" si="151"/>
        <v>1.3472118203492676</v>
      </c>
      <c r="D229" s="21">
        <f t="shared" ca="1" si="151"/>
        <v>1.1610088081726651</v>
      </c>
      <c r="E229" s="21">
        <f t="shared" ca="1" si="151"/>
        <v>1.0897469420749653</v>
      </c>
      <c r="F229" s="21">
        <f t="shared" ca="1" si="151"/>
        <v>1.0576245192996296</v>
      </c>
      <c r="G229" s="21">
        <f t="shared" ca="1" si="151"/>
        <v>1.0406955277440642</v>
      </c>
      <c r="H229" s="21">
        <f t="shared" ca="1" si="151"/>
        <v>1.0278869649366142</v>
      </c>
      <c r="I229" s="21">
        <f t="shared" ca="1" si="151"/>
        <v>1.0200222842787896</v>
      </c>
      <c r="J229" s="21">
        <f t="shared" ca="1" si="151"/>
        <v>1.0164860255934181</v>
      </c>
      <c r="K229" s="21">
        <f t="shared" ca="1" si="151"/>
        <v>1.0110512261617179</v>
      </c>
      <c r="L229" s="21">
        <f t="shared" ca="1" si="151"/>
        <v>1.0118339875805429</v>
      </c>
      <c r="M229" s="21">
        <f t="shared" ca="1" si="151"/>
        <v>1.011134652711285</v>
      </c>
      <c r="N229" s="22"/>
      <c r="O229" s="22"/>
      <c r="P229" s="22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9"/>
      <c r="AP229" s="19"/>
      <c r="AQ229" s="7"/>
    </row>
    <row r="230" spans="1:43" x14ac:dyDescent="0.25">
      <c r="A230" s="17">
        <f t="shared" si="142"/>
        <v>2004</v>
      </c>
      <c r="B230" s="21">
        <f t="shared" ref="B230:L230" ca="1" si="152">IF(ISERROR(C206/B206),B$53,C206/B206)</f>
        <v>2.3864692431831949</v>
      </c>
      <c r="C230" s="21">
        <f t="shared" ca="1" si="152"/>
        <v>1.3473518371668709</v>
      </c>
      <c r="D230" s="21">
        <f t="shared" ca="1" si="152"/>
        <v>1.1618354506633548</v>
      </c>
      <c r="E230" s="21">
        <f t="shared" ca="1" si="152"/>
        <v>1.0890888393489464</v>
      </c>
      <c r="F230" s="21">
        <f t="shared" ca="1" si="152"/>
        <v>1.0570116899865936</v>
      </c>
      <c r="G230" s="21">
        <f t="shared" ca="1" si="152"/>
        <v>1.0398986369428009</v>
      </c>
      <c r="H230" s="21">
        <f t="shared" ca="1" si="152"/>
        <v>1.0283590210575924</v>
      </c>
      <c r="I230" s="21">
        <f t="shared" ca="1" si="152"/>
        <v>1.0200395867733549</v>
      </c>
      <c r="J230" s="21">
        <f t="shared" ca="1" si="152"/>
        <v>1.0166886171158909</v>
      </c>
      <c r="K230" s="21">
        <f t="shared" ca="1" si="152"/>
        <v>1.0108906518763245</v>
      </c>
      <c r="L230" s="21">
        <f t="shared" ca="1" si="152"/>
        <v>1.0119102507398523</v>
      </c>
      <c r="M230" s="22"/>
      <c r="N230" s="22"/>
      <c r="O230" s="22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9"/>
      <c r="AP230" s="19"/>
      <c r="AQ230" s="7"/>
    </row>
    <row r="231" spans="1:43" x14ac:dyDescent="0.25">
      <c r="A231" s="17">
        <f t="shared" si="142"/>
        <v>2005</v>
      </c>
      <c r="B231" s="21">
        <f t="shared" ref="B231:K231" ca="1" si="153">IF(ISERROR(C207/B207),B$53,C207/B207)</f>
        <v>2.4010531058555165</v>
      </c>
      <c r="C231" s="21">
        <f t="shared" ca="1" si="153"/>
        <v>1.346494266499191</v>
      </c>
      <c r="D231" s="21">
        <f t="shared" ca="1" si="153"/>
        <v>1.1634677784645264</v>
      </c>
      <c r="E231" s="21">
        <f t="shared" ca="1" si="153"/>
        <v>1.0899563402111141</v>
      </c>
      <c r="F231" s="21">
        <f t="shared" ca="1" si="153"/>
        <v>1.056031629148382</v>
      </c>
      <c r="G231" s="21">
        <f t="shared" ca="1" si="153"/>
        <v>1.0406790728348421</v>
      </c>
      <c r="H231" s="21">
        <f t="shared" ca="1" si="153"/>
        <v>1.0285572605008355</v>
      </c>
      <c r="I231" s="21">
        <f t="shared" ca="1" si="153"/>
        <v>1.0199475104964819</v>
      </c>
      <c r="J231" s="21">
        <f t="shared" ca="1" si="153"/>
        <v>1.0167198495050314</v>
      </c>
      <c r="K231" s="21">
        <f t="shared" ca="1" si="153"/>
        <v>1.0111511897323662</v>
      </c>
      <c r="L231" s="19"/>
      <c r="M231" s="19"/>
      <c r="N231" s="19"/>
      <c r="O231" s="22"/>
      <c r="P231" s="22"/>
      <c r="R231" s="19"/>
      <c r="S231" s="19"/>
      <c r="T231" s="19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19"/>
      <c r="AQ231" s="7"/>
    </row>
    <row r="232" spans="1:43" x14ac:dyDescent="0.25">
      <c r="A232" s="17">
        <f t="shared" si="142"/>
        <v>2006</v>
      </c>
      <c r="B232" s="21">
        <f t="shared" ref="B232:J232" ca="1" si="154">IF(ISERROR(C208/B208),B$53,C208/B208)</f>
        <v>2.3865290312885121</v>
      </c>
      <c r="C232" s="21">
        <f t="shared" ca="1" si="154"/>
        <v>1.3457223090181953</v>
      </c>
      <c r="D232" s="21">
        <f t="shared" ca="1" si="154"/>
        <v>1.1609238211816622</v>
      </c>
      <c r="E232" s="21">
        <f t="shared" ca="1" si="154"/>
        <v>1.0937458562922682</v>
      </c>
      <c r="F232" s="21">
        <f t="shared" ca="1" si="154"/>
        <v>1.0571755557645661</v>
      </c>
      <c r="G232" s="21">
        <f t="shared" ca="1" si="154"/>
        <v>1.0404773282602426</v>
      </c>
      <c r="H232" s="21">
        <f t="shared" ca="1" si="154"/>
        <v>1.0287899917707477</v>
      </c>
      <c r="I232" s="21">
        <f t="shared" ca="1" si="154"/>
        <v>1.0197471888301033</v>
      </c>
      <c r="J232" s="21">
        <f t="shared" ca="1" si="154"/>
        <v>1.0181207074259577</v>
      </c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9"/>
      <c r="AP232" s="19"/>
      <c r="AQ232" s="7"/>
    </row>
    <row r="233" spans="1:43" x14ac:dyDescent="0.25">
      <c r="A233" s="17">
        <f t="shared" si="142"/>
        <v>2007</v>
      </c>
      <c r="B233" s="21">
        <f t="shared" ref="B233:I233" ca="1" si="155">IF(ISERROR(C209/B209),B$53,C209/B209)</f>
        <v>2.3909631488374159</v>
      </c>
      <c r="C233" s="21">
        <f t="shared" ca="1" si="155"/>
        <v>1.3488639670747857</v>
      </c>
      <c r="D233" s="21">
        <f t="shared" ca="1" si="155"/>
        <v>1.1642156526291596</v>
      </c>
      <c r="E233" s="21">
        <f t="shared" ca="1" si="155"/>
        <v>1.0900517846276618</v>
      </c>
      <c r="F233" s="21">
        <f t="shared" ca="1" si="155"/>
        <v>1.0574673286634102</v>
      </c>
      <c r="G233" s="21">
        <f t="shared" ca="1" si="155"/>
        <v>1.0398803617770176</v>
      </c>
      <c r="H233" s="21">
        <f t="shared" ca="1" si="155"/>
        <v>1.0279810305454642</v>
      </c>
      <c r="I233" s="21">
        <f t="shared" ca="1" si="155"/>
        <v>1.0200200986872066</v>
      </c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9"/>
      <c r="AP233" s="19"/>
      <c r="AQ233" s="7"/>
    </row>
    <row r="234" spans="1:43" x14ac:dyDescent="0.25">
      <c r="A234" s="17">
        <f t="shared" si="142"/>
        <v>2008</v>
      </c>
      <c r="B234" s="21">
        <f t="shared" ref="B234:H234" ca="1" si="156">IF(ISERROR(C210/B210),B$53,C210/B210)</f>
        <v>2.3893284061309146</v>
      </c>
      <c r="C234" s="21">
        <f t="shared" ca="1" si="156"/>
        <v>1.3476627456183072</v>
      </c>
      <c r="D234" s="21">
        <f t="shared" ca="1" si="156"/>
        <v>1.1612400785982053</v>
      </c>
      <c r="E234" s="21">
        <f t="shared" ca="1" si="156"/>
        <v>1.0896285643706105</v>
      </c>
      <c r="F234" s="21">
        <f t="shared" ca="1" si="156"/>
        <v>1.0569296527327454</v>
      </c>
      <c r="G234" s="21">
        <f t="shared" ca="1" si="156"/>
        <v>1.0398247796672007</v>
      </c>
      <c r="H234" s="21">
        <f t="shared" ca="1" si="156"/>
        <v>1.0280117999604637</v>
      </c>
      <c r="I234" s="19"/>
      <c r="R234" s="55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9"/>
      <c r="AQ234" s="7"/>
    </row>
    <row r="235" spans="1:43" x14ac:dyDescent="0.25">
      <c r="A235" s="17">
        <f t="shared" si="142"/>
        <v>2009</v>
      </c>
      <c r="B235" s="21">
        <f t="shared" ref="B235:G235" ca="1" si="157">IF(ISERROR(C211/B211),B$53,C211/B211)</f>
        <v>2.3943554704719161</v>
      </c>
      <c r="C235" s="21">
        <f t="shared" ca="1" si="157"/>
        <v>1.348551356716561</v>
      </c>
      <c r="D235" s="21">
        <f t="shared" ca="1" si="157"/>
        <v>1.1656923164516739</v>
      </c>
      <c r="E235" s="21">
        <f t="shared" ca="1" si="157"/>
        <v>1.0900898534113039</v>
      </c>
      <c r="F235" s="21">
        <f t="shared" ca="1" si="157"/>
        <v>1.0570629744493336</v>
      </c>
      <c r="G235" s="21">
        <f t="shared" ca="1" si="157"/>
        <v>1.0402257038480187</v>
      </c>
      <c r="H235" s="21"/>
      <c r="I235" s="19"/>
      <c r="L235" s="19"/>
      <c r="M235" s="19"/>
      <c r="N235" s="19"/>
      <c r="O235" s="19"/>
      <c r="P235" s="19"/>
      <c r="Q235" s="19"/>
      <c r="R235" s="56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19"/>
      <c r="AQ235" s="7"/>
    </row>
    <row r="236" spans="1:43" x14ac:dyDescent="0.25">
      <c r="A236" s="17">
        <f t="shared" si="142"/>
        <v>2010</v>
      </c>
      <c r="B236" s="21">
        <f ca="1">IF(ISERROR(C212/B212),B$53,C212/B212)</f>
        <v>2.3882321569455671</v>
      </c>
      <c r="C236" s="21">
        <f ca="1">IF(ISERROR(D212/C212),C$53,D212/C212)</f>
        <v>1.3439261659759929</v>
      </c>
      <c r="D236" s="21">
        <f ca="1">IF(ISERROR(E212/D212),D$53,E212/D212)</f>
        <v>1.1636504651940223</v>
      </c>
      <c r="E236" s="21">
        <f ca="1">IF(ISERROR(F212/E212),E$53,F212/E212)</f>
        <v>1.0899541247234028</v>
      </c>
      <c r="F236" s="21">
        <f ca="1">IF(ISERROR(G212/F212),F$53,G212/F212)</f>
        <v>1.0566290718225557</v>
      </c>
      <c r="G236" s="21"/>
      <c r="H236" s="21"/>
      <c r="L236" s="19"/>
      <c r="M236" s="19"/>
      <c r="N236" s="19"/>
      <c r="O236" s="19"/>
      <c r="P236" s="19"/>
      <c r="Q236" s="19"/>
      <c r="R236" s="56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19"/>
      <c r="AQ236" s="7"/>
    </row>
    <row r="237" spans="1:43" x14ac:dyDescent="0.25">
      <c r="A237" s="17">
        <f t="shared" si="142"/>
        <v>2011</v>
      </c>
      <c r="B237" s="21">
        <f ca="1">IF(ISERROR(C213/B213),B$53,C213/B213)</f>
        <v>2.3780805682714816</v>
      </c>
      <c r="C237" s="21">
        <f ca="1">IF(ISERROR(D213/C213),C$53,D213/C213)</f>
        <v>1.3428011612626138</v>
      </c>
      <c r="D237" s="21">
        <f ca="1">IF(ISERROR(E213/D213),D$53,E213/D213)</f>
        <v>1.1610718806291471</v>
      </c>
      <c r="E237" s="21">
        <f ca="1">IF(ISERROR(F213/E213),E$53,F213/E213)</f>
        <v>1.0901777735106217</v>
      </c>
      <c r="F237" s="21"/>
      <c r="G237" s="21"/>
      <c r="L237" s="19"/>
      <c r="M237" s="19"/>
      <c r="N237" s="19"/>
      <c r="O237" s="19"/>
      <c r="P237" s="19"/>
      <c r="Q237" s="19"/>
      <c r="R237" s="56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19"/>
      <c r="AQ237" s="7"/>
    </row>
    <row r="238" spans="1:43" x14ac:dyDescent="0.25">
      <c r="A238" s="17">
        <f t="shared" si="142"/>
        <v>2012</v>
      </c>
      <c r="B238" s="21">
        <f ca="1">IF(ISERROR(C214/B214),B$53,C214/B214)</f>
        <v>2.416989329556321</v>
      </c>
      <c r="C238" s="21">
        <f ca="1">IF(ISERROR(D214/C214),C$53,D214/C214)</f>
        <v>1.339812700176316</v>
      </c>
      <c r="D238" s="21">
        <f ca="1">IF(ISERROR(E214/D214),D$53,E214/D214)</f>
        <v>1.1609484389884264</v>
      </c>
      <c r="E238" s="21"/>
      <c r="L238" s="19"/>
      <c r="M238" s="19"/>
      <c r="N238" s="19"/>
      <c r="O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9"/>
      <c r="AP238" s="19"/>
      <c r="AQ238" s="7"/>
    </row>
    <row r="239" spans="1:43" x14ac:dyDescent="0.25">
      <c r="A239" s="17">
        <f t="shared" si="142"/>
        <v>2013</v>
      </c>
      <c r="B239" s="21">
        <f ca="1">IF(ISERROR(C215/B215),B$53,C215/B215)</f>
        <v>2.3936377660956825</v>
      </c>
      <c r="C239" s="21">
        <f ca="1">IF(ISERROR(D215/C215),C$53,D215/C215)</f>
        <v>1.3486319418421278</v>
      </c>
      <c r="D239" s="21"/>
      <c r="L239" s="19"/>
      <c r="M239" s="19"/>
      <c r="N239" s="19"/>
      <c r="O239" s="19"/>
      <c r="P239" s="19"/>
      <c r="Q239" s="19"/>
      <c r="R239" s="19"/>
      <c r="S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9"/>
      <c r="AP239" s="19"/>
      <c r="AQ239" s="7"/>
    </row>
    <row r="240" spans="1:43" x14ac:dyDescent="0.25">
      <c r="A240" s="17">
        <f t="shared" si="142"/>
        <v>2014</v>
      </c>
      <c r="B240" s="21">
        <f ca="1">IF(ISERROR(C216/B216),B$53,C216/B216)</f>
        <v>2.3866048185935469</v>
      </c>
      <c r="C240" s="21"/>
      <c r="L240" s="19"/>
      <c r="M240" s="19"/>
      <c r="N240" s="19"/>
      <c r="O240" s="19"/>
      <c r="P240" s="19"/>
      <c r="Q240" s="19"/>
      <c r="R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9"/>
      <c r="AP240" s="19"/>
      <c r="AQ240" s="7"/>
    </row>
    <row r="241" spans="1:46" x14ac:dyDescent="0.25">
      <c r="A241" s="17"/>
      <c r="B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  <c r="AM241" s="19"/>
      <c r="AN241" s="19"/>
      <c r="AO241" s="19"/>
      <c r="AP241" s="7"/>
      <c r="AQ241" s="7"/>
    </row>
    <row r="242" spans="1:46" x14ac:dyDescent="0.25">
      <c r="A242" s="17" t="s">
        <v>87</v>
      </c>
      <c r="B242" s="19">
        <f ca="1">SUM(C198:C216)/SUM(B198:B216)</f>
        <v>2.3976655766150161</v>
      </c>
      <c r="C242" s="19">
        <f ca="1">SUM(D198:D215)/SUM(C198:C215)</f>
        <v>1.3471116166777473</v>
      </c>
      <c r="D242" s="19">
        <f ca="1">SUM(E$198:E214)/SUM(D$198:D214)</f>
        <v>1.1616869212604395</v>
      </c>
      <c r="E242" s="19">
        <f ca="1">SUM(F$198:F213)/SUM(E$198:E213)</f>
        <v>1.0899235961737621</v>
      </c>
      <c r="F242" s="19">
        <f ca="1">SUM(G$198:G212)/SUM(F$198:F212)</f>
        <v>1.0570326297372759</v>
      </c>
      <c r="G242" s="19">
        <f ca="1">SUM(H$198:H211)/SUM(G$198:G211)</f>
        <v>1.0403447262539804</v>
      </c>
      <c r="H242" s="19">
        <f ca="1">SUM(I$198:I210)/SUM(H$198:H210)</f>
        <v>1.0278607568970697</v>
      </c>
      <c r="I242" s="19">
        <f ca="1">SUM(J$198:J209)/SUM(I$198:I209)</f>
        <v>1.0200574519981771</v>
      </c>
      <c r="J242" s="19">
        <f ca="1">SUM(K$198:K208)/SUM(J$198:J208)</f>
        <v>1.0168402130389944</v>
      </c>
      <c r="K242" s="19">
        <f ca="1">SUM(L$198:L207)/SUM(K$198:K207)</f>
        <v>1.0109895720691144</v>
      </c>
      <c r="L242" s="19">
        <f ca="1">SUM(M$198:M206)/SUM(L$198:L206)</f>
        <v>1.0118202219604366</v>
      </c>
      <c r="M242" s="19">
        <f ca="1">IF(ISERROR(SUM(N$198:N205)/SUM(M$198:M205)),1,SUM(N$198:N205)/SUM(M$198:M205))</f>
        <v>1.0113616482239796</v>
      </c>
      <c r="N242" s="19">
        <f ca="1">IF(ISERROR(SUM(O$198:O204)/SUM(N$198:N204)),1,SUM(O$198:O204)/SUM(N$198:N204))</f>
        <v>1.0117168876997258</v>
      </c>
      <c r="O242" s="19">
        <f ca="1">IF(ISERROR(SUM(P$198:P203)/SUM(O$198:O203)),1,SUM(P$198:P203)/SUM(O$198:O203))</f>
        <v>1.0093170720596143</v>
      </c>
      <c r="P242" s="19">
        <f ca="1">IF(ISERROR(SUM(Q$198:Q202)/SUM(P$198:P202)),1,SUM(Q$198:Q202)/SUM(P$198:P202))</f>
        <v>1.0092189438509243</v>
      </c>
      <c r="Q242" s="19">
        <f ca="1">IF(ISERROR(SUM(R$198:R201)/SUM(Q$198:Q201)),1,SUM(R$198:R201)/SUM(Q$198:Q201))</f>
        <v>1.0080967260137208</v>
      </c>
      <c r="R242" s="19">
        <f ca="1">IF(ISERROR(SUM(S$198:S200)/SUM(R$198:R200)),1,SUM(S$198:S200)/SUM(R$198:R200))</f>
        <v>1.0076871220605559</v>
      </c>
      <c r="S242" s="19">
        <f ca="1">IF(ISERROR(SUM(T$198:T199)/SUM(S$198:S199)),1,SUM(T$198:T199)/SUM(S$198:S199))</f>
        <v>1.0072985537090331</v>
      </c>
      <c r="T242" s="19">
        <f ca="1">IF(ISERROR(SUM(U$198:U198)/SUM(T$198:T198)),1,SUM(U$198:U198)/SUM(T$198:T198))</f>
        <v>1.0090119640392192</v>
      </c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7"/>
      <c r="AQ242" s="7"/>
    </row>
    <row r="243" spans="1:46" x14ac:dyDescent="0.25">
      <c r="A243" s="17"/>
      <c r="B243" s="7"/>
      <c r="C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</row>
    <row r="244" spans="1:46" x14ac:dyDescent="0.25">
      <c r="A244" t="s">
        <v>141</v>
      </c>
      <c r="AQ244" s="7" t="s">
        <v>99</v>
      </c>
      <c r="AR244" t="s">
        <v>86</v>
      </c>
      <c r="AS244" t="s">
        <v>100</v>
      </c>
    </row>
    <row r="245" spans="1:46" x14ac:dyDescent="0.25">
      <c r="A245">
        <f t="shared" ref="A245:A264" si="158">A9</f>
        <v>1996</v>
      </c>
      <c r="B245" s="43">
        <f t="shared" ref="B245:U245" ca="1" si="159">B198</f>
        <v>154510453.73380524</v>
      </c>
      <c r="C245" s="43">
        <f t="shared" ca="1" si="159"/>
        <v>368882836.49646157</v>
      </c>
      <c r="D245" s="43">
        <f t="shared" ca="1" si="159"/>
        <v>497126082.78419232</v>
      </c>
      <c r="E245" s="43">
        <f t="shared" ca="1" si="159"/>
        <v>577519195.96941948</v>
      </c>
      <c r="F245" s="43">
        <f t="shared" ca="1" si="159"/>
        <v>629439841.16882396</v>
      </c>
      <c r="G245" s="43">
        <f t="shared" ca="1" si="159"/>
        <v>665352100.42362702</v>
      </c>
      <c r="H245" s="43">
        <f t="shared" ca="1" si="159"/>
        <v>691953928.10916281</v>
      </c>
      <c r="I245" s="43">
        <f t="shared" ca="1" si="159"/>
        <v>711009124.33009768</v>
      </c>
      <c r="J245" s="43">
        <f t="shared" ca="1" si="159"/>
        <v>725189603.04527712</v>
      </c>
      <c r="K245" s="43">
        <f t="shared" ca="1" si="159"/>
        <v>737272433.44265878</v>
      </c>
      <c r="L245" s="43">
        <f t="shared" ca="1" si="159"/>
        <v>745248088.06460834</v>
      </c>
      <c r="M245" s="43">
        <f t="shared" ca="1" si="159"/>
        <v>754226708.34973276</v>
      </c>
      <c r="N245" s="43">
        <f t="shared" ca="1" si="159"/>
        <v>762771759.38831627</v>
      </c>
      <c r="O245" s="43">
        <f t="shared" ca="1" si="159"/>
        <v>771807576.41636992</v>
      </c>
      <c r="P245" s="43">
        <f t="shared" ca="1" si="159"/>
        <v>779071344.42043042</v>
      </c>
      <c r="Q245" s="43">
        <f t="shared" ca="1" si="159"/>
        <v>786195450.34814763</v>
      </c>
      <c r="R245" s="43">
        <f t="shared" ca="1" si="159"/>
        <v>792476156.76411009</v>
      </c>
      <c r="S245" s="43">
        <f t="shared" ca="1" si="159"/>
        <v>798586700.79533136</v>
      </c>
      <c r="T245" s="43">
        <f t="shared" ca="1" si="159"/>
        <v>804438722.03290796</v>
      </c>
      <c r="U245" s="43">
        <f t="shared" ca="1" si="159"/>
        <v>811688294.86762393</v>
      </c>
      <c r="V245" s="106">
        <f t="shared" ref="V245:AO245" ca="1" si="160">U245+($AQ245-$U245)*INDEX(TailPayout,(V$8-$U$8)/12)</f>
        <v>812583399.11881816</v>
      </c>
      <c r="W245" s="106">
        <f t="shared" ca="1" si="160"/>
        <v>813407223.23328006</v>
      </c>
      <c r="X245" s="106">
        <f t="shared" ca="1" si="160"/>
        <v>814168235.75902033</v>
      </c>
      <c r="Y245" s="106">
        <f t="shared" ca="1" si="160"/>
        <v>814873594.42032576</v>
      </c>
      <c r="Z245" s="106">
        <f t="shared" ca="1" si="160"/>
        <v>815529392.45471621</v>
      </c>
      <c r="AA245" s="106">
        <f t="shared" ca="1" si="160"/>
        <v>816140851.11718202</v>
      </c>
      <c r="AB245" s="106">
        <f t="shared" ca="1" si="160"/>
        <v>816712471.64207125</v>
      </c>
      <c r="AC245" s="106">
        <f t="shared" ca="1" si="160"/>
        <v>817248156.32190633</v>
      </c>
      <c r="AD245" s="106">
        <f t="shared" ca="1" si="160"/>
        <v>817751305.81239593</v>
      </c>
      <c r="AE245" s="106">
        <f t="shared" ca="1" si="160"/>
        <v>818224897.95736229</v>
      </c>
      <c r="AF245" s="106">
        <f t="shared" ca="1" si="160"/>
        <v>818671552.11817729</v>
      </c>
      <c r="AG245" s="106">
        <f t="shared" ca="1" si="160"/>
        <v>819093582.03714716</v>
      </c>
      <c r="AH245" s="106">
        <f t="shared" ca="1" si="160"/>
        <v>819493039.55971575</v>
      </c>
      <c r="AI245" s="106">
        <f t="shared" ca="1" si="160"/>
        <v>819871751.01529467</v>
      </c>
      <c r="AJ245" s="106">
        <f t="shared" ca="1" si="160"/>
        <v>820231347.66147542</v>
      </c>
      <c r="AK245" s="106">
        <f t="shared" ca="1" si="160"/>
        <v>820573291.29648161</v>
      </c>
      <c r="AL245" s="106">
        <f t="shared" ca="1" si="160"/>
        <v>820898895.91511822</v>
      </c>
      <c r="AM245" s="106">
        <f t="shared" ca="1" si="160"/>
        <v>821209346.10632181</v>
      </c>
      <c r="AN245" s="106">
        <f t="shared" ca="1" si="160"/>
        <v>821505712.75267649</v>
      </c>
      <c r="AO245" s="106">
        <f t="shared" ca="1" si="160"/>
        <v>821788966.48444259</v>
      </c>
      <c r="AQ245" s="59">
        <f t="shared" ref="AQ245:AQ264" ca="1" si="161">U245*INDEX($AW$169:$BC$169,INT(RAND()*COUNT($AW$169:$BC$169))+1)</f>
        <v>822059989.25565553</v>
      </c>
      <c r="AR245" s="43" t="e">
        <f ca="1">_xll.RiskOutput(CONCATENATE(A245," / Paid TNR"))+AQ245-AS245</f>
        <v>#NAME?</v>
      </c>
      <c r="AS245" s="43">
        <f>INDEX($B$9:$U$28,A245-(Inputs!$I$2-Inputs!$I$3)-1,Inputs!$I$2+1-A245)</f>
        <v>812978537.38</v>
      </c>
      <c r="AT245" s="43"/>
    </row>
    <row r="246" spans="1:46" x14ac:dyDescent="0.25">
      <c r="A246">
        <f t="shared" si="158"/>
        <v>1997</v>
      </c>
      <c r="B246" s="43">
        <f t="shared" ref="B246:T246" ca="1" si="162">B199</f>
        <v>180914274.34039164</v>
      </c>
      <c r="C246" s="43">
        <f t="shared" ca="1" si="162"/>
        <v>431792421.61378878</v>
      </c>
      <c r="D246" s="43">
        <f t="shared" ca="1" si="162"/>
        <v>581232037.53209317</v>
      </c>
      <c r="E246" s="43">
        <f t="shared" ca="1" si="162"/>
        <v>675186583.90679884</v>
      </c>
      <c r="F246" s="43">
        <f t="shared" ca="1" si="162"/>
        <v>735433511.96027279</v>
      </c>
      <c r="G246" s="43">
        <f t="shared" ca="1" si="162"/>
        <v>777405825.97886693</v>
      </c>
      <c r="H246" s="43">
        <f t="shared" ca="1" si="162"/>
        <v>808897235.21890211</v>
      </c>
      <c r="I246" s="43">
        <f t="shared" ca="1" si="162"/>
        <v>831227280.55772972</v>
      </c>
      <c r="J246" s="43">
        <f t="shared" ca="1" si="162"/>
        <v>848007301.4538132</v>
      </c>
      <c r="K246" s="43">
        <f t="shared" ca="1" si="162"/>
        <v>862429749.44671869</v>
      </c>
      <c r="L246" s="43">
        <f t="shared" ca="1" si="162"/>
        <v>871909972.52304912</v>
      </c>
      <c r="M246" s="43">
        <f t="shared" ca="1" si="162"/>
        <v>882205436.0555613</v>
      </c>
      <c r="N246" s="43">
        <f t="shared" ca="1" si="162"/>
        <v>892258383.28159165</v>
      </c>
      <c r="O246" s="43">
        <f t="shared" ca="1" si="162"/>
        <v>902785479.41367364</v>
      </c>
      <c r="P246" s="43">
        <f t="shared" ca="1" si="162"/>
        <v>911065511.0557723</v>
      </c>
      <c r="Q246" s="43">
        <f t="shared" ca="1" si="162"/>
        <v>919501912.56505084</v>
      </c>
      <c r="R246" s="43">
        <f t="shared" ca="1" si="162"/>
        <v>927065187.4298203</v>
      </c>
      <c r="S246" s="43">
        <f t="shared" ca="1" si="162"/>
        <v>934067574.20747709</v>
      </c>
      <c r="T246" s="43">
        <f t="shared" ca="1" si="162"/>
        <v>940861423.25519443</v>
      </c>
      <c r="U246" s="106">
        <f t="shared" ref="U246:U264" ca="1" si="163">T246+Monte_Carlo_Algorithm(U176/$C$105,$C$105)</f>
        <v>946766145.53569245</v>
      </c>
      <c r="V246" s="106">
        <f ca="1">U246+($AQ246-$U246)*INDEX(TailPayout,(V$8-$U$8)/12)</f>
        <v>947810209.38029182</v>
      </c>
      <c r="W246" s="106">
        <f t="shared" ref="W246:AO246" ca="1" si="164">V246+($AQ246-$U246)*INDEX(TailPayout,(W$8-$U$8)/12)</f>
        <v>948771130.93894958</v>
      </c>
      <c r="X246" s="106">
        <f t="shared" ca="1" si="164"/>
        <v>949658788.06084633</v>
      </c>
      <c r="Y246" s="106">
        <f t="shared" ca="1" si="164"/>
        <v>950481529.62950885</v>
      </c>
      <c r="Z246" s="106">
        <f t="shared" ca="1" si="164"/>
        <v>951246462.89415693</v>
      </c>
      <c r="AA246" s="106">
        <f t="shared" ca="1" si="164"/>
        <v>951959678.00971007</v>
      </c>
      <c r="AB246" s="106">
        <f t="shared" ca="1" si="164"/>
        <v>952626425.28755116</v>
      </c>
      <c r="AC246" s="106">
        <f t="shared" ca="1" si="164"/>
        <v>953251256.42378521</v>
      </c>
      <c r="AD246" s="106">
        <f t="shared" ca="1" si="164"/>
        <v>953838137.99735379</v>
      </c>
      <c r="AE246" s="106">
        <f t="shared" ca="1" si="164"/>
        <v>954390543.41268492</v>
      </c>
      <c r="AF246" s="106">
        <f t="shared" ca="1" si="164"/>
        <v>954911527.93457115</v>
      </c>
      <c r="AG246" s="106">
        <f t="shared" ca="1" si="164"/>
        <v>955403790.34886289</v>
      </c>
      <c r="AH246" s="106">
        <f t="shared" ca="1" si="164"/>
        <v>955869723.96074176</v>
      </c>
      <c r="AI246" s="106">
        <f t="shared" ca="1" si="164"/>
        <v>956311459.02990043</v>
      </c>
      <c r="AJ246" s="106">
        <f t="shared" ca="1" si="164"/>
        <v>956730898.28115594</v>
      </c>
      <c r="AK246" s="106">
        <f t="shared" ca="1" si="164"/>
        <v>957129746.77922142</v>
      </c>
      <c r="AL246" s="106">
        <f t="shared" ca="1" si="164"/>
        <v>957509537.18855023</v>
      </c>
      <c r="AM246" s="106">
        <f t="shared" ca="1" si="164"/>
        <v>957871651.23253131</v>
      </c>
      <c r="AN246" s="106">
        <f t="shared" ca="1" si="164"/>
        <v>958217338.00565445</v>
      </c>
      <c r="AO246" s="106">
        <f t="shared" ca="1" si="164"/>
        <v>958547729.66650319</v>
      </c>
      <c r="AQ246" s="59">
        <f t="shared" ca="1" si="161"/>
        <v>958863854.94030118</v>
      </c>
      <c r="AR246" s="43" t="e">
        <f ca="1">_xll.RiskOutput(CONCATENATE(A246," / Paid TNR"))+AQ246-AS246</f>
        <v>#NAME?</v>
      </c>
      <c r="AS246" s="43">
        <f>INDEX($B$9:$U$28,A246-(Inputs!$I$2-Inputs!$I$3)-1,Inputs!$I$2+1-A246)</f>
        <v>940465581.37000012</v>
      </c>
      <c r="AT246" s="43"/>
    </row>
    <row r="247" spans="1:46" x14ac:dyDescent="0.25">
      <c r="A247">
        <f t="shared" si="158"/>
        <v>1998</v>
      </c>
      <c r="B247" s="43">
        <f t="shared" ref="B247:S247" ca="1" si="165">B200</f>
        <v>224563455.27332133</v>
      </c>
      <c r="C247" s="43">
        <f t="shared" ca="1" si="165"/>
        <v>536401271.5101248</v>
      </c>
      <c r="D247" s="43">
        <f t="shared" ca="1" si="165"/>
        <v>722610806.21945715</v>
      </c>
      <c r="E247" s="43">
        <f t="shared" ca="1" si="165"/>
        <v>838925013.17215991</v>
      </c>
      <c r="F247" s="43">
        <f t="shared" ca="1" si="165"/>
        <v>913757058.41392255</v>
      </c>
      <c r="G247" s="43">
        <f t="shared" ca="1" si="165"/>
        <v>965552581.01759601</v>
      </c>
      <c r="H247" s="43">
        <f t="shared" ca="1" si="165"/>
        <v>1004669981.9588506</v>
      </c>
      <c r="I247" s="43">
        <f t="shared" ca="1" si="165"/>
        <v>1032307270.0250356</v>
      </c>
      <c r="J247" s="43">
        <f t="shared" ca="1" si="165"/>
        <v>1052865164.3312714</v>
      </c>
      <c r="K247" s="43">
        <f t="shared" ca="1" si="165"/>
        <v>1070558147.0006113</v>
      </c>
      <c r="L247" s="43">
        <f t="shared" ca="1" si="165"/>
        <v>1082173739.7733629</v>
      </c>
      <c r="M247" s="43">
        <f t="shared" ca="1" si="165"/>
        <v>1094883361.0024402</v>
      </c>
      <c r="N247" s="43">
        <f t="shared" ca="1" si="165"/>
        <v>1107493658.8474159</v>
      </c>
      <c r="O247" s="43">
        <f t="shared" ca="1" si="165"/>
        <v>1120193489.0742517</v>
      </c>
      <c r="P247" s="43">
        <f t="shared" ca="1" si="165"/>
        <v>1130718386.2822344</v>
      </c>
      <c r="Q247" s="43">
        <f t="shared" ca="1" si="165"/>
        <v>1141144721.02736</v>
      </c>
      <c r="R247" s="43">
        <f t="shared" ca="1" si="165"/>
        <v>1150500156.9693031</v>
      </c>
      <c r="S247" s="43">
        <f t="shared" ca="1" si="165"/>
        <v>1159449585.4987276</v>
      </c>
      <c r="T247" s="106">
        <f t="shared" ref="T247:T264" ca="1" si="166">S247+Monte_Carlo_Algorithm(T177/$C$105,$C$105)</f>
        <v>1166758376.6892385</v>
      </c>
      <c r="U247" s="106">
        <f t="shared" ca="1" si="163"/>
        <v>1172049912.0145693</v>
      </c>
      <c r="V247" s="106">
        <f t="shared" ref="V247:AO247" ca="1" si="167">U247+($AQ247-$U247)*INDEX(TailPayout,(V$8-$U$8)/12)</f>
        <v>1177859865.7588904</v>
      </c>
      <c r="W247" s="106">
        <f t="shared" ca="1" si="167"/>
        <v>1183207153.5101149</v>
      </c>
      <c r="X247" s="106">
        <f t="shared" ca="1" si="167"/>
        <v>1188146743.02441</v>
      </c>
      <c r="Y247" s="106">
        <f t="shared" ca="1" si="167"/>
        <v>1192725093.7471037</v>
      </c>
      <c r="Z247" s="106">
        <f t="shared" ca="1" si="167"/>
        <v>1196981755.7396505</v>
      </c>
      <c r="AA247" s="106">
        <f t="shared" ca="1" si="167"/>
        <v>1200950619.1885183</v>
      </c>
      <c r="AB247" s="106">
        <f t="shared" ca="1" si="167"/>
        <v>1204660900.7612848</v>
      </c>
      <c r="AC247" s="106">
        <f t="shared" ca="1" si="167"/>
        <v>1208137929.5065191</v>
      </c>
      <c r="AD247" s="106">
        <f t="shared" ca="1" si="167"/>
        <v>1211403778.4423535</v>
      </c>
      <c r="AE247" s="106">
        <f t="shared" ca="1" si="167"/>
        <v>1214477776.1942995</v>
      </c>
      <c r="AF247" s="106">
        <f t="shared" ca="1" si="167"/>
        <v>1217376924.5455463</v>
      </c>
      <c r="AG247" s="106">
        <f t="shared" ca="1" si="167"/>
        <v>1220116241.5632718</v>
      </c>
      <c r="AH247" s="106">
        <f t="shared" ca="1" si="167"/>
        <v>1222709045.3912599</v>
      </c>
      <c r="AI247" s="106">
        <f t="shared" ca="1" si="167"/>
        <v>1225167190.3910437</v>
      </c>
      <c r="AJ247" s="106">
        <f t="shared" ca="1" si="167"/>
        <v>1227501264.7495735</v>
      </c>
      <c r="AK247" s="106">
        <f t="shared" ca="1" si="167"/>
        <v>1229720756.724838</v>
      </c>
      <c r="AL247" s="106">
        <f t="shared" ca="1" si="167"/>
        <v>1231834195.2105701</v>
      </c>
      <c r="AM247" s="106">
        <f t="shared" ca="1" si="167"/>
        <v>1233849269.1512892</v>
      </c>
      <c r="AN247" s="106">
        <f t="shared" ca="1" si="167"/>
        <v>1235772929.4449179</v>
      </c>
      <c r="AO247" s="106">
        <f t="shared" ca="1" si="167"/>
        <v>1237611476.270354</v>
      </c>
      <c r="AQ247" s="59">
        <f t="shared" ca="1" si="161"/>
        <v>1239370634.2257574</v>
      </c>
      <c r="AR247" s="43" t="e">
        <f ca="1">_xll.RiskOutput(CONCATENATE(A247," / Paid TNR"))+AQ247-AS247</f>
        <v>#NAME?</v>
      </c>
      <c r="AS247" s="43">
        <f>INDEX($B$9:$U$28,A247-(Inputs!$I$2-Inputs!$I$3)-1,Inputs!$I$2+1-A247)</f>
        <v>1161889799.99</v>
      </c>
      <c r="AT247" s="43"/>
    </row>
    <row r="248" spans="1:46" x14ac:dyDescent="0.25">
      <c r="A248">
        <f t="shared" si="158"/>
        <v>1999</v>
      </c>
      <c r="B248" s="43">
        <f t="shared" ref="B248:R248" ca="1" si="168">B201</f>
        <v>246989867.8620249</v>
      </c>
      <c r="C248" s="43">
        <f t="shared" ca="1" si="168"/>
        <v>590709143.02133512</v>
      </c>
      <c r="D248" s="43">
        <f t="shared" ca="1" si="168"/>
        <v>795337430.57932544</v>
      </c>
      <c r="E248" s="43">
        <f t="shared" ca="1" si="168"/>
        <v>923610084.70154822</v>
      </c>
      <c r="F248" s="43">
        <f t="shared" ca="1" si="168"/>
        <v>1006003872.9287508</v>
      </c>
      <c r="G248" s="43">
        <f t="shared" ca="1" si="168"/>
        <v>1063194205.642895</v>
      </c>
      <c r="H248" s="43">
        <f t="shared" ca="1" si="168"/>
        <v>1105883079.331727</v>
      </c>
      <c r="I248" s="43">
        <f t="shared" ca="1" si="168"/>
        <v>1136644598.147871</v>
      </c>
      <c r="J248" s="43">
        <f t="shared" ca="1" si="168"/>
        <v>1159704214.6890619</v>
      </c>
      <c r="K248" s="43">
        <f t="shared" ca="1" si="168"/>
        <v>1179245257.9038622</v>
      </c>
      <c r="L248" s="43">
        <f t="shared" ca="1" si="168"/>
        <v>1192209485.5258913</v>
      </c>
      <c r="M248" s="43">
        <f t="shared" ca="1" si="168"/>
        <v>1206183142.5176368</v>
      </c>
      <c r="N248" s="43">
        <f t="shared" ca="1" si="168"/>
        <v>1219774993.2233155</v>
      </c>
      <c r="O248" s="43">
        <f t="shared" ca="1" si="168"/>
        <v>1233964567.7693741</v>
      </c>
      <c r="P248" s="43">
        <f t="shared" ca="1" si="168"/>
        <v>1245369204.7776675</v>
      </c>
      <c r="Q248" s="43">
        <f t="shared" ca="1" si="168"/>
        <v>1256813680.0734091</v>
      </c>
      <c r="R248" s="43">
        <f t="shared" ca="1" si="168"/>
        <v>1266840439.2265806</v>
      </c>
      <c r="S248" s="106">
        <f t="shared" ref="S248:S264" ca="1" si="169">R248+Monte_Carlo_Algorithm(S178/$C$105,$C$105)</f>
        <v>1273702187.1250606</v>
      </c>
      <c r="T248" s="106">
        <f t="shared" ca="1" si="166"/>
        <v>1283713094.6616719</v>
      </c>
      <c r="U248" s="106">
        <f t="shared" ca="1" si="163"/>
        <v>1290410650.2586889</v>
      </c>
      <c r="V248" s="106">
        <f t="shared" ref="V248:AO248" ca="1" si="170">U248+($AQ248-$U248)*INDEX(TailPayout,(V$8-$U$8)/12)</f>
        <v>1352919141.9472814</v>
      </c>
      <c r="W248" s="106">
        <f t="shared" ca="1" si="170"/>
        <v>1410449873.9743025</v>
      </c>
      <c r="X248" s="106">
        <f t="shared" ca="1" si="170"/>
        <v>1463594236.8534675</v>
      </c>
      <c r="Y248" s="106">
        <f t="shared" ca="1" si="170"/>
        <v>1512852081.3546703</v>
      </c>
      <c r="Z248" s="106">
        <f t="shared" ca="1" si="170"/>
        <v>1558648921.1388645</v>
      </c>
      <c r="AA248" s="106">
        <f t="shared" ca="1" si="170"/>
        <v>1601349376.0519867</v>
      </c>
      <c r="AB248" s="106">
        <f t="shared" ca="1" si="170"/>
        <v>1641267784.1942723</v>
      </c>
      <c r="AC248" s="106">
        <f t="shared" ca="1" si="170"/>
        <v>1678676657.3087804</v>
      </c>
      <c r="AD248" s="106">
        <f t="shared" ca="1" si="170"/>
        <v>1713813475.9558022</v>
      </c>
      <c r="AE248" s="106">
        <f t="shared" ca="1" si="170"/>
        <v>1746886194.1536152</v>
      </c>
      <c r="AF248" s="106">
        <f t="shared" ca="1" si="170"/>
        <v>1778077731.7446055</v>
      </c>
      <c r="AG248" s="106">
        <f t="shared" ca="1" si="170"/>
        <v>1807549666.0439591</v>
      </c>
      <c r="AH248" s="106">
        <f t="shared" ca="1" si="170"/>
        <v>1835445285.1253254</v>
      </c>
      <c r="AI248" s="106">
        <f t="shared" ca="1" si="170"/>
        <v>1861892128.4308372</v>
      </c>
      <c r="AJ248" s="106">
        <f t="shared" ca="1" si="170"/>
        <v>1887004112.8047793</v>
      </c>
      <c r="AK248" s="106">
        <f t="shared" ca="1" si="170"/>
        <v>1910883321.107312</v>
      </c>
      <c r="AL248" s="106">
        <f t="shared" ca="1" si="170"/>
        <v>1933621514.5307727</v>
      </c>
      <c r="AM248" s="106">
        <f t="shared" ca="1" si="170"/>
        <v>1955301417.3696656</v>
      </c>
      <c r="AN248" s="106">
        <f t="shared" ca="1" si="170"/>
        <v>1975997813.3768623</v>
      </c>
      <c r="AO248" s="106">
        <f t="shared" ca="1" si="170"/>
        <v>1995778485.3089237</v>
      </c>
      <c r="AQ248" s="59">
        <f t="shared" ca="1" si="161"/>
        <v>2014705023.3285694</v>
      </c>
      <c r="AR248" s="43" t="e">
        <f ca="1">_xll.RiskOutput(CONCATENATE(A248," / Paid TNR"))+AQ248-AS248</f>
        <v>#NAME?</v>
      </c>
      <c r="AS248" s="43">
        <f>INDEX($B$9:$U$28,A248-(Inputs!$I$2-Inputs!$I$3)-1,Inputs!$I$2+1-A248)</f>
        <v>1267271317.27</v>
      </c>
      <c r="AT248" s="43"/>
    </row>
    <row r="249" spans="1:46" x14ac:dyDescent="0.25">
      <c r="A249">
        <f t="shared" si="158"/>
        <v>2000</v>
      </c>
      <c r="B249" s="43">
        <f t="shared" ref="B249:Q249" ca="1" si="171">B202</f>
        <v>232565924.13687041</v>
      </c>
      <c r="C249" s="43">
        <f t="shared" ca="1" si="171"/>
        <v>557258129.38082731</v>
      </c>
      <c r="D249" s="43">
        <f t="shared" ca="1" si="171"/>
        <v>749751656.90578449</v>
      </c>
      <c r="E249" s="43">
        <f t="shared" ca="1" si="171"/>
        <v>871141881.13139093</v>
      </c>
      <c r="F249" s="43">
        <f t="shared" ca="1" si="171"/>
        <v>949659891.73577416</v>
      </c>
      <c r="G249" s="43">
        <f t="shared" ca="1" si="171"/>
        <v>1003825638.2419322</v>
      </c>
      <c r="H249" s="43">
        <f t="shared" ca="1" si="171"/>
        <v>1044143206.9448854</v>
      </c>
      <c r="I249" s="43">
        <f t="shared" ca="1" si="171"/>
        <v>1072943281.085852</v>
      </c>
      <c r="J249" s="43">
        <f t="shared" ca="1" si="171"/>
        <v>1094601880.9642079</v>
      </c>
      <c r="K249" s="43">
        <f t="shared" ca="1" si="171"/>
        <v>1113089922.4850061</v>
      </c>
      <c r="L249" s="43">
        <f t="shared" ca="1" si="171"/>
        <v>1125311562.4149103</v>
      </c>
      <c r="M249" s="43">
        <f t="shared" ca="1" si="171"/>
        <v>1138624808.0105495</v>
      </c>
      <c r="N249" s="43">
        <f t="shared" ca="1" si="171"/>
        <v>1151531888.9829991</v>
      </c>
      <c r="O249" s="43">
        <f t="shared" ca="1" si="171"/>
        <v>1165076325.3392887</v>
      </c>
      <c r="P249" s="43">
        <f t="shared" ca="1" si="171"/>
        <v>1175846043.2812128</v>
      </c>
      <c r="Q249" s="43">
        <f t="shared" ca="1" si="171"/>
        <v>1186741079.3115633</v>
      </c>
      <c r="R249" s="106">
        <f t="shared" ref="R249:R264" ca="1" si="172">Q249+Monte_Carlo_Algorithm(R179/$C$105,$C$105)</f>
        <v>1198439332.5559564</v>
      </c>
      <c r="S249" s="106">
        <f t="shared" ca="1" si="169"/>
        <v>1206095095.9746459</v>
      </c>
      <c r="T249" s="106">
        <f t="shared" ca="1" si="166"/>
        <v>1212776299.6075809</v>
      </c>
      <c r="U249" s="106">
        <f t="shared" ca="1" si="163"/>
        <v>1221108925.8029664</v>
      </c>
      <c r="V249" s="106">
        <f t="shared" ref="V249:AO249" ca="1" si="173">U249+($AQ249-$U249)*INDEX(TailPayout,(V$8-$U$8)/12)</f>
        <v>1221510599.3139379</v>
      </c>
      <c r="W249" s="106">
        <f t="shared" ca="1" si="173"/>
        <v>1221880286.2236328</v>
      </c>
      <c r="X249" s="106">
        <f t="shared" ca="1" si="173"/>
        <v>1222221786.750191</v>
      </c>
      <c r="Y249" s="106">
        <f t="shared" ca="1" si="173"/>
        <v>1222538312.8862278</v>
      </c>
      <c r="Z249" s="106">
        <f t="shared" ca="1" si="173"/>
        <v>1222832598.9412994</v>
      </c>
      <c r="AA249" s="106">
        <f t="shared" ca="1" si="173"/>
        <v>1223106987.9272068</v>
      </c>
      <c r="AB249" s="106">
        <f t="shared" ca="1" si="173"/>
        <v>1223363499.7501249</v>
      </c>
      <c r="AC249" s="106">
        <f t="shared" ca="1" si="173"/>
        <v>1223603885.5441103</v>
      </c>
      <c r="AD249" s="106">
        <f t="shared" ca="1" si="173"/>
        <v>1223829671.3362331</v>
      </c>
      <c r="AE249" s="106">
        <f t="shared" ca="1" si="173"/>
        <v>1224042193.4188657</v>
      </c>
      <c r="AF249" s="106">
        <f t="shared" ca="1" si="173"/>
        <v>1224242627.2171917</v>
      </c>
      <c r="AG249" s="106">
        <f t="shared" ca="1" si="173"/>
        <v>1224432011.0113826</v>
      </c>
      <c r="AH249" s="106">
        <f t="shared" ca="1" si="173"/>
        <v>1224611265.5567162</v>
      </c>
      <c r="AI249" s="106">
        <f t="shared" ca="1" si="173"/>
        <v>1224781210.4092901</v>
      </c>
      <c r="AJ249" s="106">
        <f t="shared" ca="1" si="173"/>
        <v>1224942577.587708</v>
      </c>
      <c r="AK249" s="106">
        <f t="shared" ca="1" si="173"/>
        <v>1225096023.0665381</v>
      </c>
      <c r="AL249" s="106">
        <f t="shared" ca="1" si="173"/>
        <v>1225242136.4943113</v>
      </c>
      <c r="AM249" s="106">
        <f t="shared" ca="1" si="173"/>
        <v>1225381449.4493287</v>
      </c>
      <c r="AN249" s="106">
        <f t="shared" ca="1" si="173"/>
        <v>1225514442.4847403</v>
      </c>
      <c r="AO249" s="106">
        <f t="shared" ca="1" si="173"/>
        <v>1225641551.165972</v>
      </c>
      <c r="AQ249" s="59">
        <f t="shared" ca="1" si="161"/>
        <v>1225763171.2654421</v>
      </c>
      <c r="AR249" s="43" t="e">
        <f ca="1">_xll.RiskOutput(CONCATENATE(A249," / Paid TNR"))+AQ249-AS249</f>
        <v>#NAME?</v>
      </c>
      <c r="AS249" s="43">
        <f>INDEX($B$9:$U$28,A249-(Inputs!$I$2-Inputs!$I$3)-1,Inputs!$I$2+1-A249)</f>
        <v>1187733511.8199999</v>
      </c>
      <c r="AT249" s="43"/>
    </row>
    <row r="250" spans="1:46" x14ac:dyDescent="0.25">
      <c r="A250">
        <f t="shared" si="158"/>
        <v>2001</v>
      </c>
      <c r="B250" s="43">
        <f t="shared" ref="B250:P250" ca="1" si="174">B203</f>
        <v>230727862.3465209</v>
      </c>
      <c r="C250" s="43">
        <f t="shared" ca="1" si="174"/>
        <v>567408334.43700159</v>
      </c>
      <c r="D250" s="43">
        <f t="shared" ca="1" si="174"/>
        <v>767109487.35739362</v>
      </c>
      <c r="E250" s="43">
        <f t="shared" ca="1" si="174"/>
        <v>892353378.65029502</v>
      </c>
      <c r="F250" s="43">
        <f t="shared" ca="1" si="174"/>
        <v>974021104.38153875</v>
      </c>
      <c r="G250" s="43">
        <f t="shared" ca="1" si="174"/>
        <v>1029996901.38264</v>
      </c>
      <c r="H250" s="43">
        <f t="shared" ca="1" si="174"/>
        <v>1071816846.5374291</v>
      </c>
      <c r="I250" s="43">
        <f t="shared" ca="1" si="174"/>
        <v>1102098614.1895452</v>
      </c>
      <c r="J250" s="43">
        <f t="shared" ca="1" si="174"/>
        <v>1124183367.5445859</v>
      </c>
      <c r="K250" s="43">
        <f t="shared" ca="1" si="174"/>
        <v>1143236482.016139</v>
      </c>
      <c r="L250" s="43">
        <f t="shared" ca="1" si="174"/>
        <v>1155957787.6406882</v>
      </c>
      <c r="M250" s="43">
        <f t="shared" ca="1" si="174"/>
        <v>1169690526.5075247</v>
      </c>
      <c r="N250" s="43">
        <f t="shared" ca="1" si="174"/>
        <v>1182910096.4551454</v>
      </c>
      <c r="O250" s="43">
        <f t="shared" ca="1" si="174"/>
        <v>1196889847.8073714</v>
      </c>
      <c r="P250" s="43">
        <f t="shared" ca="1" si="174"/>
        <v>1208189569.4676211</v>
      </c>
      <c r="Q250" s="106">
        <f t="shared" ref="Q250:Q264" ca="1" si="175">P250+Monte_Carlo_Algorithm(Q180/$C$105,$C$105)</f>
        <v>1216132485.1714096</v>
      </c>
      <c r="R250" s="106">
        <f t="shared" ca="1" si="172"/>
        <v>1226853708.0917883</v>
      </c>
      <c r="S250" s="106">
        <f t="shared" ca="1" si="169"/>
        <v>1241680116.9345791</v>
      </c>
      <c r="T250" s="106">
        <f t="shared" ca="1" si="166"/>
        <v>1247447466.569031</v>
      </c>
      <c r="U250" s="106">
        <f t="shared" ca="1" si="163"/>
        <v>1257304752.0426459</v>
      </c>
      <c r="V250" s="106">
        <f t="shared" ref="V250:AO250" ca="1" si="176">U250+($AQ250-$U250)*INDEX(TailPayout,(V$8-$U$8)/12)</f>
        <v>1257718331.8662329</v>
      </c>
      <c r="W250" s="106">
        <f t="shared" ca="1" si="176"/>
        <v>1258098976.9491618</v>
      </c>
      <c r="X250" s="106">
        <f t="shared" ca="1" si="176"/>
        <v>1258450600.1547527</v>
      </c>
      <c r="Y250" s="106">
        <f t="shared" ca="1" si="176"/>
        <v>1258776508.6847582</v>
      </c>
      <c r="Z250" s="106">
        <f t="shared" ca="1" si="176"/>
        <v>1259079517.8985007</v>
      </c>
      <c r="AA250" s="106">
        <f t="shared" ca="1" si="176"/>
        <v>1259362040.258791</v>
      </c>
      <c r="AB250" s="106">
        <f t="shared" ca="1" si="176"/>
        <v>1259626155.5453925</v>
      </c>
      <c r="AC250" s="106">
        <f t="shared" ca="1" si="176"/>
        <v>1259873666.7990692</v>
      </c>
      <c r="AD250" s="106">
        <f t="shared" ca="1" si="176"/>
        <v>1260106145.2810302</v>
      </c>
      <c r="AE250" s="106">
        <f t="shared" ca="1" si="176"/>
        <v>1260324966.8937149</v>
      </c>
      <c r="AF250" s="106">
        <f t="shared" ca="1" si="176"/>
        <v>1260531341.9039865</v>
      </c>
      <c r="AG250" s="106">
        <f t="shared" ca="1" si="176"/>
        <v>1260726339.3684752</v>
      </c>
      <c r="AH250" s="106">
        <f t="shared" ca="1" si="176"/>
        <v>1260910907.3352723</v>
      </c>
      <c r="AI250" s="106">
        <f t="shared" ca="1" si="176"/>
        <v>1261085889.6535661</v>
      </c>
      <c r="AJ250" s="106">
        <f t="shared" ca="1" si="176"/>
        <v>1261252040.0402853</v>
      </c>
      <c r="AK250" s="106">
        <f t="shared" ca="1" si="176"/>
        <v>1261410033.9142435</v>
      </c>
      <c r="AL250" s="106">
        <f t="shared" ca="1" si="176"/>
        <v>1261560478.4021957</v>
      </c>
      <c r="AM250" s="106">
        <f t="shared" ca="1" si="176"/>
        <v>1261703920.8393633</v>
      </c>
      <c r="AN250" s="106">
        <f t="shared" ca="1" si="176"/>
        <v>1261840856.0233409</v>
      </c>
      <c r="AO250" s="106">
        <f t="shared" ca="1" si="176"/>
        <v>1261971732.4304833</v>
      </c>
      <c r="AQ250" s="59">
        <f t="shared" ca="1" si="161"/>
        <v>1262096957.5646026</v>
      </c>
      <c r="AR250" s="43" t="e">
        <f ca="1">_xll.RiskOutput(CONCATENATE(A250," / Paid TNR"))+AQ250-AS250</f>
        <v>#NAME?</v>
      </c>
      <c r="AS250" s="43">
        <f>INDEX($B$9:$U$28,A250-(Inputs!$I$2-Inputs!$I$3)-1,Inputs!$I$2+1-A250)</f>
        <v>1221019289.03</v>
      </c>
      <c r="AT250" s="43"/>
    </row>
    <row r="251" spans="1:46" x14ac:dyDescent="0.25">
      <c r="A251">
        <f t="shared" si="158"/>
        <v>2002</v>
      </c>
      <c r="B251" s="43">
        <f t="shared" ref="B251:O251" ca="1" si="177">B204</f>
        <v>228213622.71552122</v>
      </c>
      <c r="C251" s="43">
        <f t="shared" ca="1" si="177"/>
        <v>544687145.9556694</v>
      </c>
      <c r="D251" s="43">
        <f t="shared" ca="1" si="177"/>
        <v>733449043.10576987</v>
      </c>
      <c r="E251" s="43">
        <f t="shared" ca="1" si="177"/>
        <v>850690242.97126305</v>
      </c>
      <c r="F251" s="43">
        <f t="shared" ca="1" si="177"/>
        <v>926983086.55380046</v>
      </c>
      <c r="G251" s="43">
        <f t="shared" ca="1" si="177"/>
        <v>979726976.94864416</v>
      </c>
      <c r="H251" s="43">
        <f t="shared" ca="1" si="177"/>
        <v>1019392973.4433242</v>
      </c>
      <c r="I251" s="43">
        <f t="shared" ca="1" si="177"/>
        <v>1047745732.4731454</v>
      </c>
      <c r="J251" s="43">
        <f t="shared" ca="1" si="177"/>
        <v>1068654587.127744</v>
      </c>
      <c r="K251" s="43">
        <f t="shared" ca="1" si="177"/>
        <v>1086544300.8725858</v>
      </c>
      <c r="L251" s="43">
        <f t="shared" ca="1" si="177"/>
        <v>1098565918.8610556</v>
      </c>
      <c r="M251" s="43">
        <f t="shared" ca="1" si="177"/>
        <v>1111451226.2126279</v>
      </c>
      <c r="N251" s="43">
        <f t="shared" ca="1" si="177"/>
        <v>1124289504.7677946</v>
      </c>
      <c r="O251" s="43">
        <f t="shared" ca="1" si="177"/>
        <v>1137498715.3452277</v>
      </c>
      <c r="P251" s="106">
        <f t="shared" ref="P251:P264" ca="1" si="178">O251+Monte_Carlo_Algorithm(P181/$C$105,$C$105)</f>
        <v>1147794869.0751584</v>
      </c>
      <c r="Q251" s="106">
        <f t="shared" ca="1" si="175"/>
        <v>1156666648.8963137</v>
      </c>
      <c r="R251" s="106">
        <f t="shared" ca="1" si="172"/>
        <v>1168134932.2929206</v>
      </c>
      <c r="S251" s="106">
        <f t="shared" ca="1" si="169"/>
        <v>1178549853.8709462</v>
      </c>
      <c r="T251" s="106">
        <f t="shared" ca="1" si="166"/>
        <v>1187248454.3214328</v>
      </c>
      <c r="U251" s="106">
        <f t="shared" ca="1" si="163"/>
        <v>1203148827.195061</v>
      </c>
      <c r="V251" s="106">
        <f t="shared" ref="V251:AO251" ca="1" si="179">U251+($AQ251-$U251)*INDEX(TailPayout,(V$8-$U$8)/12)</f>
        <v>1204475621.7747676</v>
      </c>
      <c r="W251" s="106">
        <f t="shared" ca="1" si="179"/>
        <v>1205696759.2771773</v>
      </c>
      <c r="X251" s="106">
        <f t="shared" ca="1" si="179"/>
        <v>1206824792.4564342</v>
      </c>
      <c r="Y251" s="106">
        <f t="shared" ca="1" si="179"/>
        <v>1207870331.0596981</v>
      </c>
      <c r="Z251" s="106">
        <f t="shared" ca="1" si="179"/>
        <v>1208842406.9673376</v>
      </c>
      <c r="AA251" s="106">
        <f t="shared" ca="1" si="179"/>
        <v>1209748759.5379927</v>
      </c>
      <c r="AB251" s="106">
        <f t="shared" ca="1" si="179"/>
        <v>1210596060.8585486</v>
      </c>
      <c r="AC251" s="106">
        <f t="shared" ca="1" si="179"/>
        <v>1211390095.2167687</v>
      </c>
      <c r="AD251" s="106">
        <f t="shared" ca="1" si="179"/>
        <v>1212135903.3345082</v>
      </c>
      <c r="AE251" s="106">
        <f t="shared" ca="1" si="179"/>
        <v>1212837899.2082789</v>
      </c>
      <c r="AF251" s="106">
        <f t="shared" ca="1" si="179"/>
        <v>1213499965.4634464</v>
      </c>
      <c r="AG251" s="106">
        <f t="shared" ca="1" si="179"/>
        <v>1214125531.7125354</v>
      </c>
      <c r="AH251" s="106">
        <f t="shared" ca="1" si="179"/>
        <v>1214717639.3637502</v>
      </c>
      <c r="AI251" s="106">
        <f t="shared" ca="1" si="179"/>
        <v>1215278995.5475295</v>
      </c>
      <c r="AJ251" s="106">
        <f t="shared" ca="1" si="179"/>
        <v>1215812018.2433739</v>
      </c>
      <c r="AK251" s="106">
        <f t="shared" ca="1" si="179"/>
        <v>1216318874.2446563</v>
      </c>
      <c r="AL251" s="106">
        <f t="shared" ca="1" si="179"/>
        <v>1216801511.2587898</v>
      </c>
      <c r="AM251" s="106">
        <f t="shared" ca="1" si="179"/>
        <v>1217261685.1775353</v>
      </c>
      <c r="AN251" s="106">
        <f t="shared" ca="1" si="179"/>
        <v>1217700983.3480721</v>
      </c>
      <c r="AO251" s="106">
        <f t="shared" ca="1" si="179"/>
        <v>1218120844.515626</v>
      </c>
      <c r="AQ251" s="59">
        <f t="shared" ca="1" si="161"/>
        <v>1218522575.9824831</v>
      </c>
      <c r="AR251" s="43" t="e">
        <f ca="1">_xll.RiskOutput(CONCATENATE(A251," / Paid TNR"))+AQ251-AS251</f>
        <v>#NAME?</v>
      </c>
      <c r="AS251" s="43">
        <f>INDEX($B$9:$U$28,A251-(Inputs!$I$2-Inputs!$I$3)-1,Inputs!$I$2+1-A251)</f>
        <v>1134971109.6399999</v>
      </c>
      <c r="AT251" s="43"/>
    </row>
    <row r="252" spans="1:46" x14ac:dyDescent="0.25">
      <c r="A252">
        <f t="shared" si="158"/>
        <v>2003</v>
      </c>
      <c r="B252" s="43">
        <f t="shared" ref="B252:N252" ca="1" si="180">B205</f>
        <v>157099290.33923763</v>
      </c>
      <c r="C252" s="43">
        <f t="shared" ca="1" si="180"/>
        <v>375647649.52556741</v>
      </c>
      <c r="D252" s="43">
        <f t="shared" ca="1" si="180"/>
        <v>506076953.72726333</v>
      </c>
      <c r="E252" s="43">
        <f t="shared" ca="1" si="180"/>
        <v>587559800.89054298</v>
      </c>
      <c r="F252" s="43">
        <f t="shared" ca="1" si="180"/>
        <v>640291496.30664468</v>
      </c>
      <c r="G252" s="43">
        <f t="shared" ca="1" si="180"/>
        <v>677187985.99295568</v>
      </c>
      <c r="H252" s="43">
        <f t="shared" ca="1" si="180"/>
        <v>704746508.46487892</v>
      </c>
      <c r="I252" s="43">
        <f t="shared" ca="1" si="180"/>
        <v>724399749.63564038</v>
      </c>
      <c r="J252" s="43">
        <f t="shared" ca="1" si="180"/>
        <v>738903887.35432923</v>
      </c>
      <c r="K252" s="43">
        <f t="shared" ca="1" si="180"/>
        <v>751085475.75232875</v>
      </c>
      <c r="L252" s="43">
        <f t="shared" ca="1" si="180"/>
        <v>759385891.21164918</v>
      </c>
      <c r="M252" s="43">
        <f t="shared" ca="1" si="180"/>
        <v>768372454.41708732</v>
      </c>
      <c r="N252" s="43">
        <f t="shared" ca="1" si="180"/>
        <v>776928014.84993923</v>
      </c>
      <c r="O252" s="106">
        <f t="shared" ref="O252:O264" ca="1" si="181">N252+Monte_Carlo_Algorithm(O182/$C$105,$C$105)</f>
        <v>782745734.99396884</v>
      </c>
      <c r="P252" s="106">
        <f t="shared" ca="1" si="178"/>
        <v>789558403.50195706</v>
      </c>
      <c r="Q252" s="106">
        <f t="shared" ca="1" si="175"/>
        <v>798706291.68303168</v>
      </c>
      <c r="R252" s="106">
        <f t="shared" ca="1" si="172"/>
        <v>805538481.96242785</v>
      </c>
      <c r="S252" s="106">
        <f t="shared" ca="1" si="169"/>
        <v>813702901.0847373</v>
      </c>
      <c r="T252" s="106">
        <f t="shared" ca="1" si="166"/>
        <v>817948714.97715533</v>
      </c>
      <c r="U252" s="106">
        <f t="shared" ca="1" si="163"/>
        <v>829289144.56535268</v>
      </c>
      <c r="V252" s="106">
        <f t="shared" ref="V252:AO252" ca="1" si="182">U252+($AQ252-$U252)*INDEX(TailPayout,(V$8-$U$8)/12)</f>
        <v>841632808.13965201</v>
      </c>
      <c r="W252" s="106">
        <f t="shared" ca="1" si="182"/>
        <v>852993504.61690068</v>
      </c>
      <c r="X252" s="106">
        <f t="shared" ca="1" si="182"/>
        <v>863488016.93882596</v>
      </c>
      <c r="Y252" s="106">
        <f t="shared" ca="1" si="182"/>
        <v>873215051.53033507</v>
      </c>
      <c r="Z252" s="106">
        <f t="shared" ca="1" si="182"/>
        <v>882258635.33457124</v>
      </c>
      <c r="AA252" s="106">
        <f t="shared" ca="1" si="182"/>
        <v>890690770.48419142</v>
      </c>
      <c r="AB252" s="106">
        <f t="shared" ca="1" si="182"/>
        <v>898573529.88566113</v>
      </c>
      <c r="AC252" s="106">
        <f t="shared" ca="1" si="182"/>
        <v>905960726.9199388</v>
      </c>
      <c r="AD252" s="106">
        <f t="shared" ca="1" si="182"/>
        <v>912899257.29771078</v>
      </c>
      <c r="AE252" s="106">
        <f t="shared" ca="1" si="182"/>
        <v>919430186.07063961</v>
      </c>
      <c r="AF252" s="106">
        <f t="shared" ca="1" si="182"/>
        <v>925589634.74693143</v>
      </c>
      <c r="AG252" s="106">
        <f t="shared" ca="1" si="182"/>
        <v>931409510.28780079</v>
      </c>
      <c r="AH252" s="106">
        <f t="shared" ca="1" si="182"/>
        <v>936918108.04524803</v>
      </c>
      <c r="AI252" s="106">
        <f t="shared" ca="1" si="182"/>
        <v>942140613.46086061</v>
      </c>
      <c r="AJ252" s="106">
        <f t="shared" ca="1" si="182"/>
        <v>947099521.89748144</v>
      </c>
      <c r="AK252" s="106">
        <f t="shared" ca="1" si="182"/>
        <v>951814991.83995759</v>
      </c>
      <c r="AL252" s="106">
        <f t="shared" ca="1" si="182"/>
        <v>956305143.53494346</v>
      </c>
      <c r="AM252" s="106">
        <f t="shared" ca="1" si="182"/>
        <v>960586312.6967268</v>
      </c>
      <c r="AN252" s="106">
        <f t="shared" ca="1" si="182"/>
        <v>964673267.00664711</v>
      </c>
      <c r="AO252" s="106">
        <f t="shared" ca="1" si="182"/>
        <v>968579391.64678955</v>
      </c>
      <c r="AQ252" s="59">
        <f t="shared" ca="1" si="161"/>
        <v>972316848.93666601</v>
      </c>
      <c r="AR252" s="43" t="e">
        <f ca="1">_xll.RiskOutput(CONCATENATE(A252," / Paid TNR"))+AQ252-AS252</f>
        <v>#NAME?</v>
      </c>
      <c r="AS252" s="43">
        <f>INDEX($B$9:$U$28,A252-(Inputs!$I$2-Inputs!$I$3)-1,Inputs!$I$2+1-A252)</f>
        <v>777683901.29999995</v>
      </c>
      <c r="AT252" s="43"/>
    </row>
    <row r="253" spans="1:46" x14ac:dyDescent="0.25">
      <c r="A253">
        <f t="shared" si="158"/>
        <v>2004</v>
      </c>
      <c r="B253" s="43">
        <f t="shared" ref="B253:M253" ca="1" si="183">B206</f>
        <v>115600231.20489253</v>
      </c>
      <c r="C253" s="43">
        <f t="shared" ca="1" si="183"/>
        <v>275876396.27534223</v>
      </c>
      <c r="D253" s="43">
        <f t="shared" ca="1" si="183"/>
        <v>371702569.35255808</v>
      </c>
      <c r="E253" s="43">
        <f t="shared" ca="1" si="183"/>
        <v>431857222.17645621</v>
      </c>
      <c r="F253" s="43">
        <f t="shared" ca="1" si="183"/>
        <v>470330880.86461675</v>
      </c>
      <c r="G253" s="43">
        <f t="shared" ca="1" si="183"/>
        <v>497145239.23559177</v>
      </c>
      <c r="H253" s="43">
        <f t="shared" ca="1" si="183"/>
        <v>516980656.64369458</v>
      </c>
      <c r="I253" s="43">
        <f t="shared" ca="1" si="183"/>
        <v>531641721.97182107</v>
      </c>
      <c r="J253" s="43">
        <f t="shared" ca="1" si="183"/>
        <v>542295602.39161122</v>
      </c>
      <c r="K253" s="43">
        <f t="shared" ca="1" si="183"/>
        <v>551345766.06355619</v>
      </c>
      <c r="L253" s="43">
        <f t="shared" ca="1" si="183"/>
        <v>557350280.86523986</v>
      </c>
      <c r="M253" s="43">
        <f t="shared" ca="1" si="183"/>
        <v>563988462.46027195</v>
      </c>
      <c r="N253" s="106">
        <f t="shared" ref="N253:N264" ca="1" si="184">M253+Monte_Carlo_Algorithm(N183/$C$105,$C$105)</f>
        <v>570075839.45721602</v>
      </c>
      <c r="O253" s="106">
        <f t="shared" ca="1" si="181"/>
        <v>579016394.90191472</v>
      </c>
      <c r="P253" s="106">
        <f t="shared" ca="1" si="178"/>
        <v>585595596.30340278</v>
      </c>
      <c r="Q253" s="106">
        <f t="shared" ca="1" si="175"/>
        <v>591590588.1062901</v>
      </c>
      <c r="R253" s="106">
        <f t="shared" ca="1" si="172"/>
        <v>595309410.52621043</v>
      </c>
      <c r="S253" s="106">
        <f t="shared" ca="1" si="169"/>
        <v>598237328.05808115</v>
      </c>
      <c r="T253" s="106">
        <f t="shared" ca="1" si="166"/>
        <v>601860454.62188721</v>
      </c>
      <c r="U253" s="106">
        <f t="shared" ca="1" si="163"/>
        <v>608393586.61103296</v>
      </c>
      <c r="V253" s="106">
        <f t="shared" ref="V253:AO253" ca="1" si="185">U253+($AQ253-$U253)*INDEX(TailPayout,(V$8-$U$8)/12)</f>
        <v>611409446.73807836</v>
      </c>
      <c r="W253" s="106">
        <f t="shared" ca="1" si="185"/>
        <v>614185143.8651886</v>
      </c>
      <c r="X253" s="106">
        <f t="shared" ca="1" si="185"/>
        <v>616749210.93279552</v>
      </c>
      <c r="Y253" s="106">
        <f t="shared" ca="1" si="185"/>
        <v>619125764.34437764</v>
      </c>
      <c r="Z253" s="106">
        <f t="shared" ca="1" si="185"/>
        <v>621335333.94554341</v>
      </c>
      <c r="AA253" s="106">
        <f t="shared" ca="1" si="185"/>
        <v>623395511.62541354</v>
      </c>
      <c r="AB253" s="106">
        <f t="shared" ca="1" si="185"/>
        <v>625321463.31932414</v>
      </c>
      <c r="AC253" s="106">
        <f t="shared" ca="1" si="185"/>
        <v>627126336.95770586</v>
      </c>
      <c r="AD253" s="106">
        <f t="shared" ca="1" si="185"/>
        <v>628821590.31426883</v>
      </c>
      <c r="AE253" s="106">
        <f t="shared" ca="1" si="185"/>
        <v>630417256.58954382</v>
      </c>
      <c r="AF253" s="106">
        <f t="shared" ca="1" si="185"/>
        <v>631922161.15499938</v>
      </c>
      <c r="AG253" s="106">
        <f t="shared" ca="1" si="185"/>
        <v>633344099.66478014</v>
      </c>
      <c r="AH253" s="106">
        <f t="shared" ca="1" si="185"/>
        <v>634689985.36821151</v>
      </c>
      <c r="AI253" s="106">
        <f t="shared" ca="1" si="185"/>
        <v>635965971.68713701</v>
      </c>
      <c r="AJ253" s="106">
        <f t="shared" ca="1" si="185"/>
        <v>637177554.79110396</v>
      </c>
      <c r="AK253" s="106">
        <f t="shared" ca="1" si="185"/>
        <v>638329659.89298022</v>
      </c>
      <c r="AL253" s="106">
        <f t="shared" ca="1" si="185"/>
        <v>639426714.2139914</v>
      </c>
      <c r="AM253" s="106">
        <f t="shared" ca="1" si="185"/>
        <v>640472708.9702841</v>
      </c>
      <c r="AN253" s="106">
        <f t="shared" ca="1" si="185"/>
        <v>641471252.2690506</v>
      </c>
      <c r="AO253" s="106">
        <f t="shared" ca="1" si="185"/>
        <v>642425614.43896604</v>
      </c>
      <c r="AQ253" s="59">
        <f t="shared" ca="1" si="161"/>
        <v>643338767.03334987</v>
      </c>
      <c r="AR253" s="43" t="e">
        <f ca="1">_xll.RiskOutput(CONCATENATE(A253," / Paid TNR"))+AQ253-AS253</f>
        <v>#NAME?</v>
      </c>
      <c r="AS253" s="43">
        <f>INDEX($B$9:$U$28,A253-(Inputs!$I$2-Inputs!$I$3)-1,Inputs!$I$2+1-A253)</f>
        <v>562482962.06999993</v>
      </c>
      <c r="AT253" s="43"/>
    </row>
    <row r="254" spans="1:46" x14ac:dyDescent="0.25">
      <c r="A254">
        <f t="shared" si="158"/>
        <v>2005</v>
      </c>
      <c r="B254" s="43">
        <f t="shared" ref="B254:L254" ca="1" si="186">B207</f>
        <v>63225152.055114567</v>
      </c>
      <c r="C254" s="43">
        <f t="shared" ca="1" si="186"/>
        <v>151806947.71012011</v>
      </c>
      <c r="D254" s="43">
        <f t="shared" ca="1" si="186"/>
        <v>204407184.70641923</v>
      </c>
      <c r="E254" s="43">
        <f t="shared" ca="1" si="186"/>
        <v>237821173.09256572</v>
      </c>
      <c r="F254" s="43">
        <f t="shared" ca="1" si="186"/>
        <v>259214695.44868681</v>
      </c>
      <c r="G254" s="43">
        <f t="shared" ca="1" si="186"/>
        <v>273738917.13387841</v>
      </c>
      <c r="H254" s="43">
        <f t="shared" ca="1" si="186"/>
        <v>284874362.48169827</v>
      </c>
      <c r="I254" s="43">
        <f t="shared" ca="1" si="186"/>
        <v>293009593.86109757</v>
      </c>
      <c r="J254" s="43">
        <f t="shared" ca="1" si="186"/>
        <v>298854405.81021172</v>
      </c>
      <c r="K254" s="43">
        <f t="shared" ca="1" si="186"/>
        <v>303851206.49927402</v>
      </c>
      <c r="L254" s="43">
        <f t="shared" ca="1" si="186"/>
        <v>307239508.95335579</v>
      </c>
      <c r="M254" s="106">
        <f t="shared" ref="M254:M264" ca="1" si="187">L254+Monte_Carlo_Algorithm(M184/$C$105,$C$105)</f>
        <v>309306950.63319975</v>
      </c>
      <c r="N254" s="106">
        <f t="shared" ca="1" si="184"/>
        <v>311307257.77570176</v>
      </c>
      <c r="O254" s="106">
        <f t="shared" ca="1" si="181"/>
        <v>313139899.17465609</v>
      </c>
      <c r="P254" s="106">
        <f t="shared" ca="1" si="178"/>
        <v>314950942.31061035</v>
      </c>
      <c r="Q254" s="106">
        <f t="shared" ca="1" si="175"/>
        <v>317105828.84764433</v>
      </c>
      <c r="R254" s="106">
        <f t="shared" ca="1" si="172"/>
        <v>319139956.15769607</v>
      </c>
      <c r="S254" s="106">
        <f t="shared" ca="1" si="169"/>
        <v>321402857.37809002</v>
      </c>
      <c r="T254" s="106">
        <f t="shared" ca="1" si="166"/>
        <v>323745035.03273958</v>
      </c>
      <c r="U254" s="106">
        <f t="shared" ca="1" si="163"/>
        <v>325483991.39617157</v>
      </c>
      <c r="V254" s="106">
        <f t="shared" ref="V254:AO254" ca="1" si="188">U254+($AQ254-$U254)*INDEX(TailPayout,(V$8-$U$8)/12)</f>
        <v>325591056.61764896</v>
      </c>
      <c r="W254" s="106">
        <f t="shared" ca="1" si="188"/>
        <v>325689595.87847316</v>
      </c>
      <c r="X254" s="106">
        <f t="shared" ca="1" si="188"/>
        <v>325780622.11872029</v>
      </c>
      <c r="Y254" s="106">
        <f t="shared" ca="1" si="188"/>
        <v>325864991.48820204</v>
      </c>
      <c r="Z254" s="106">
        <f t="shared" ca="1" si="188"/>
        <v>325943432.81132478</v>
      </c>
      <c r="AA254" s="106">
        <f t="shared" ca="1" si="188"/>
        <v>326016570.61290914</v>
      </c>
      <c r="AB254" s="106">
        <f t="shared" ca="1" si="188"/>
        <v>326084943.29465723</v>
      </c>
      <c r="AC254" s="106">
        <f t="shared" ca="1" si="188"/>
        <v>326149017.61763364</v>
      </c>
      <c r="AD254" s="106">
        <f t="shared" ca="1" si="188"/>
        <v>326209200.34111375</v>
      </c>
      <c r="AE254" s="106">
        <f t="shared" ca="1" si="188"/>
        <v>326265847.65099204</v>
      </c>
      <c r="AF254" s="106">
        <f t="shared" ca="1" si="188"/>
        <v>326319272.85435539</v>
      </c>
      <c r="AG254" s="106">
        <f t="shared" ca="1" si="188"/>
        <v>326369752.70257902</v>
      </c>
      <c r="AH254" s="106">
        <f t="shared" ca="1" si="188"/>
        <v>326417532.62102711</v>
      </c>
      <c r="AI254" s="106">
        <f t="shared" ca="1" si="188"/>
        <v>326462831.06063735</v>
      </c>
      <c r="AJ254" s="106">
        <f t="shared" ca="1" si="188"/>
        <v>326505843.13941419</v>
      </c>
      <c r="AK254" s="106">
        <f t="shared" ca="1" si="188"/>
        <v>326546743.70598602</v>
      </c>
      <c r="AL254" s="106">
        <f t="shared" ca="1" si="188"/>
        <v>326585689.9299168</v>
      </c>
      <c r="AM254" s="106">
        <f t="shared" ca="1" si="188"/>
        <v>326622823.50227392</v>
      </c>
      <c r="AN254" s="106">
        <f t="shared" ca="1" si="188"/>
        <v>326658272.51347917</v>
      </c>
      <c r="AO254" s="106">
        <f t="shared" ca="1" si="188"/>
        <v>326692153.06257206</v>
      </c>
      <c r="AQ254" s="59">
        <f t="shared" ca="1" si="161"/>
        <v>326724570.64185023</v>
      </c>
      <c r="AR254" s="43" t="e">
        <f ca="1">_xll.RiskOutput(CONCATENATE(A254," / Paid TNR"))+AQ254-AS254</f>
        <v>#NAME?</v>
      </c>
      <c r="AS254" s="43">
        <f>INDEX($B$9:$U$28,A254-(Inputs!$I$2-Inputs!$I$3)-1,Inputs!$I$2+1-A254)</f>
        <v>308569401.15999997</v>
      </c>
      <c r="AT254" s="43"/>
    </row>
    <row r="255" spans="1:46" x14ac:dyDescent="0.25">
      <c r="A255">
        <f t="shared" si="158"/>
        <v>2006</v>
      </c>
      <c r="B255" s="43">
        <f t="shared" ref="B255:K255" ca="1" si="189">B208</f>
        <v>53770815.001923941</v>
      </c>
      <c r="C255" s="43">
        <f t="shared" ca="1" si="189"/>
        <v>128325611.03813535</v>
      </c>
      <c r="D255" s="43">
        <f t="shared" ca="1" si="189"/>
        <v>172690637.59241033</v>
      </c>
      <c r="E255" s="43">
        <f t="shared" ca="1" si="189"/>
        <v>200480674.87607858</v>
      </c>
      <c r="F255" s="43">
        <f t="shared" ca="1" si="189"/>
        <v>219274907.41238838</v>
      </c>
      <c r="G255" s="43">
        <f t="shared" ca="1" si="189"/>
        <v>231812072.10891548</v>
      </c>
      <c r="H255" s="43">
        <f t="shared" ca="1" si="189"/>
        <v>241195205.4463551</v>
      </c>
      <c r="I255" s="43">
        <f t="shared" ca="1" si="189"/>
        <v>248139213.42629945</v>
      </c>
      <c r="J255" s="43">
        <f t="shared" ca="1" si="189"/>
        <v>253039265.32998189</v>
      </c>
      <c r="K255" s="43">
        <f t="shared" ca="1" si="189"/>
        <v>257624515.8243058</v>
      </c>
      <c r="L255" s="106">
        <f t="shared" ref="L255:L264" ca="1" si="190">K255+Monte_Carlo_Algorithm(L185/$C$105,$C$105)</f>
        <v>259312078.33934745</v>
      </c>
      <c r="M255" s="106">
        <f t="shared" ca="1" si="187"/>
        <v>261129953.69038293</v>
      </c>
      <c r="N255" s="106">
        <f t="shared" ca="1" si="184"/>
        <v>262880382.74013823</v>
      </c>
      <c r="O255" s="106">
        <f t="shared" ca="1" si="181"/>
        <v>267454170.29530001</v>
      </c>
      <c r="P255" s="106">
        <f t="shared" ca="1" si="178"/>
        <v>268047704.37327006</v>
      </c>
      <c r="Q255" s="106">
        <f t="shared" ca="1" si="175"/>
        <v>271159983.29170585</v>
      </c>
      <c r="R255" s="106">
        <f t="shared" ca="1" si="172"/>
        <v>273009055.45020723</v>
      </c>
      <c r="S255" s="106">
        <f t="shared" ca="1" si="169"/>
        <v>276487616.2213974</v>
      </c>
      <c r="T255" s="106">
        <f t="shared" ca="1" si="166"/>
        <v>277467378.42021626</v>
      </c>
      <c r="U255" s="106">
        <f t="shared" ca="1" si="163"/>
        <v>279725470.01601261</v>
      </c>
      <c r="V255" s="106">
        <f t="shared" ref="V255:AO255" ca="1" si="191">U255+($AQ255-$U255)*INDEX(TailPayout,(V$8-$U$8)/12)</f>
        <v>279817483.35673535</v>
      </c>
      <c r="W255" s="106">
        <f t="shared" ca="1" si="191"/>
        <v>279902169.36826801</v>
      </c>
      <c r="X255" s="106">
        <f t="shared" ca="1" si="191"/>
        <v>279980398.58540308</v>
      </c>
      <c r="Y255" s="106">
        <f t="shared" ca="1" si="191"/>
        <v>280052906.79519856</v>
      </c>
      <c r="Z255" s="106">
        <f t="shared" ca="1" si="191"/>
        <v>280120320.35948801</v>
      </c>
      <c r="AA255" s="106">
        <f t="shared" ca="1" si="191"/>
        <v>280183176.00359011</v>
      </c>
      <c r="AB255" s="106">
        <f t="shared" ca="1" si="191"/>
        <v>280241936.43741727</v>
      </c>
      <c r="AC255" s="106">
        <f t="shared" ca="1" si="191"/>
        <v>280297002.80192155</v>
      </c>
      <c r="AD255" s="106">
        <f t="shared" ca="1" si="191"/>
        <v>280348724.67168266</v>
      </c>
      <c r="AE255" s="106">
        <f t="shared" ca="1" si="191"/>
        <v>280397408.15781319</v>
      </c>
      <c r="AF255" s="106">
        <f t="shared" ca="1" si="191"/>
        <v>280443322.52078205</v>
      </c>
      <c r="AG255" s="106">
        <f t="shared" ca="1" si="191"/>
        <v>280486705.60457098</v>
      </c>
      <c r="AH255" s="106">
        <f t="shared" ca="1" si="191"/>
        <v>280527768.33115208</v>
      </c>
      <c r="AI255" s="106">
        <f t="shared" ca="1" si="191"/>
        <v>280566698.44030005</v>
      </c>
      <c r="AJ255" s="106">
        <f t="shared" ca="1" si="191"/>
        <v>280603663.61914223</v>
      </c>
      <c r="AK255" s="106">
        <f t="shared" ca="1" si="191"/>
        <v>280638814.13502216</v>
      </c>
      <c r="AL255" s="106">
        <f t="shared" ca="1" si="191"/>
        <v>280672285.06164944</v>
      </c>
      <c r="AM255" s="106">
        <f t="shared" ca="1" si="191"/>
        <v>280704198.17029858</v>
      </c>
      <c r="AN255" s="106">
        <f t="shared" ca="1" si="191"/>
        <v>280734663.54365987</v>
      </c>
      <c r="AO255" s="106">
        <f t="shared" ca="1" si="191"/>
        <v>280763780.95886284</v>
      </c>
      <c r="AQ255" s="59">
        <f t="shared" ca="1" si="161"/>
        <v>280791641.07745564</v>
      </c>
      <c r="AR255" s="43" t="e">
        <f ca="1">_xll.RiskOutput(CONCATENATE(A255," / Paid TNR"))+AQ255-AS255</f>
        <v>#NAME?</v>
      </c>
      <c r="AS255" s="43">
        <f>INDEX($B$9:$U$28,A255-(Inputs!$I$2-Inputs!$I$3)-1,Inputs!$I$2+1-A255)</f>
        <v>256225088.23000002</v>
      </c>
      <c r="AT255" s="43"/>
    </row>
    <row r="256" spans="1:46" x14ac:dyDescent="0.25">
      <c r="A256">
        <f t="shared" si="158"/>
        <v>2007</v>
      </c>
      <c r="B256" s="43">
        <f t="shared" ref="B256:J256" ca="1" si="192">B209</f>
        <v>47181738.459046409</v>
      </c>
      <c r="C256" s="43">
        <f t="shared" ca="1" si="192"/>
        <v>112809797.953665</v>
      </c>
      <c r="D256" s="43">
        <f t="shared" ca="1" si="192"/>
        <v>152165071.59268561</v>
      </c>
      <c r="E256" s="43">
        <f t="shared" ca="1" si="192"/>
        <v>177152958.13164127</v>
      </c>
      <c r="F256" s="43">
        <f t="shared" ca="1" si="192"/>
        <v>193105898.16346502</v>
      </c>
      <c r="G256" s="43">
        <f t="shared" ca="1" si="192"/>
        <v>204203178.28006789</v>
      </c>
      <c r="H256" s="43">
        <f t="shared" ca="1" si="192"/>
        <v>212346874.9058938</v>
      </c>
      <c r="I256" s="43">
        <f t="shared" ca="1" si="192"/>
        <v>218288559.29886946</v>
      </c>
      <c r="J256" s="43">
        <f t="shared" ca="1" si="192"/>
        <v>222658717.79832098</v>
      </c>
      <c r="K256" s="106">
        <f t="shared" ref="K256:K264" ca="1" si="193">J256+Monte_Carlo_Algorithm(K186/$C$105,$C$105)</f>
        <v>228569461.81807998</v>
      </c>
      <c r="L256" s="106">
        <f t="shared" ca="1" si="190"/>
        <v>235255716.38267705</v>
      </c>
      <c r="M256" s="106">
        <f t="shared" ca="1" si="187"/>
        <v>236597080.16122311</v>
      </c>
      <c r="N256" s="106">
        <f t="shared" ca="1" si="184"/>
        <v>237530352.25092736</v>
      </c>
      <c r="O256" s="106">
        <f t="shared" ca="1" si="181"/>
        <v>240079876.75852174</v>
      </c>
      <c r="P256" s="106">
        <f t="shared" ca="1" si="178"/>
        <v>241180780.65528664</v>
      </c>
      <c r="Q256" s="106">
        <f t="shared" ca="1" si="175"/>
        <v>242156644.621057</v>
      </c>
      <c r="R256" s="106">
        <f t="shared" ca="1" si="172"/>
        <v>243721387.95982879</v>
      </c>
      <c r="S256" s="106">
        <f t="shared" ca="1" si="169"/>
        <v>244819592.52459469</v>
      </c>
      <c r="T256" s="106">
        <f t="shared" ca="1" si="166"/>
        <v>245538569.13823894</v>
      </c>
      <c r="U256" s="106">
        <f t="shared" ca="1" si="163"/>
        <v>246182758.03313485</v>
      </c>
      <c r="V256" s="106">
        <f t="shared" ref="V256:AO256" ca="1" si="194">U256+($AQ256-$U256)*INDEX(TailPayout,(V$8-$U$8)/12)</f>
        <v>258108041.57082421</v>
      </c>
      <c r="W256" s="106">
        <f t="shared" ca="1" si="194"/>
        <v>269083675.00909287</v>
      </c>
      <c r="X256" s="106">
        <f t="shared" ca="1" si="194"/>
        <v>279222483.01171112</v>
      </c>
      <c r="Y256" s="106">
        <f t="shared" ca="1" si="194"/>
        <v>288619826.41680658</v>
      </c>
      <c r="Z256" s="106">
        <f t="shared" ca="1" si="194"/>
        <v>297356884.13173968</v>
      </c>
      <c r="AA256" s="106">
        <f t="shared" ca="1" si="194"/>
        <v>305503217.82611406</v>
      </c>
      <c r="AB256" s="106">
        <f t="shared" ca="1" si="194"/>
        <v>313118796.48767436</v>
      </c>
      <c r="AC256" s="106">
        <f t="shared" ca="1" si="194"/>
        <v>320255609.52962732</v>
      </c>
      <c r="AD256" s="106">
        <f t="shared" ca="1" si="194"/>
        <v>326958963.16461152</v>
      </c>
      <c r="AE256" s="106">
        <f t="shared" ca="1" si="194"/>
        <v>333268530.57244253</v>
      </c>
      <c r="AF256" s="106">
        <f t="shared" ca="1" si="194"/>
        <v>339219208.94750464</v>
      </c>
      <c r="AG256" s="106">
        <f t="shared" ca="1" si="194"/>
        <v>344841823.78637916</v>
      </c>
      <c r="AH256" s="106">
        <f t="shared" ca="1" si="194"/>
        <v>350163711.38945794</v>
      </c>
      <c r="AI256" s="106">
        <f t="shared" ca="1" si="194"/>
        <v>355209203.5550068</v>
      </c>
      <c r="AJ256" s="106">
        <f t="shared" ca="1" si="194"/>
        <v>360000033.18092686</v>
      </c>
      <c r="AK256" s="106">
        <f t="shared" ca="1" si="194"/>
        <v>364555675.49400508</v>
      </c>
      <c r="AL256" s="106">
        <f t="shared" ca="1" si="194"/>
        <v>368893636.56752557</v>
      </c>
      <c r="AM256" s="106">
        <f t="shared" ca="1" si="194"/>
        <v>373029698.42791015</v>
      </c>
      <c r="AN256" s="106">
        <f t="shared" ca="1" si="194"/>
        <v>376978128.21603703</v>
      </c>
      <c r="AO256" s="106">
        <f t="shared" ca="1" si="194"/>
        <v>380751857.43239719</v>
      </c>
      <c r="AQ256" s="59">
        <f t="shared" ca="1" si="161"/>
        <v>384362636.16299832</v>
      </c>
      <c r="AR256" s="43" t="e">
        <f ca="1">_xll.RiskOutput(CONCATENATE(A256," / Paid TNR"))+AQ256-AS256</f>
        <v>#NAME?</v>
      </c>
      <c r="AS256" s="43">
        <f>INDEX($B$9:$U$28,A256-(Inputs!$I$2-Inputs!$I$3)-1,Inputs!$I$2+1-A256)</f>
        <v>222748339.44</v>
      </c>
      <c r="AT256" s="43"/>
    </row>
    <row r="257" spans="1:47" x14ac:dyDescent="0.25">
      <c r="A257">
        <f t="shared" si="158"/>
        <v>2008</v>
      </c>
      <c r="B257" s="43">
        <f t="shared" ref="B257:I257" ca="1" si="195">B210</f>
        <v>39874451.433903754</v>
      </c>
      <c r="C257" s="43">
        <f t="shared" ca="1" si="195"/>
        <v>95273159.489913821</v>
      </c>
      <c r="D257" s="43">
        <f t="shared" ca="1" si="195"/>
        <v>128396087.70190814</v>
      </c>
      <c r="E257" s="43">
        <f t="shared" ca="1" si="195"/>
        <v>149098682.97466588</v>
      </c>
      <c r="F257" s="43">
        <f t="shared" ca="1" si="195"/>
        <v>162462183.87923399</v>
      </c>
      <c r="G257" s="43">
        <f t="shared" ca="1" si="195"/>
        <v>171711099.58968219</v>
      </c>
      <c r="H257" s="43">
        <f t="shared" ca="1" si="195"/>
        <v>178549456.29725403</v>
      </c>
      <c r="I257" s="43">
        <f t="shared" ca="1" si="195"/>
        <v>183550947.95010227</v>
      </c>
      <c r="J257" s="106">
        <f t="shared" ref="J257:J264" ca="1" si="196">I257+Monte_Carlo_Algorithm(J187/$C$105,$C$105)</f>
        <v>184369769.00416195</v>
      </c>
      <c r="K257" s="106">
        <f t="shared" ca="1" si="193"/>
        <v>188529809.24467665</v>
      </c>
      <c r="L257" s="106">
        <f t="shared" ca="1" si="190"/>
        <v>190941880.49520677</v>
      </c>
      <c r="M257" s="106">
        <f t="shared" ca="1" si="187"/>
        <v>192653058.94213489</v>
      </c>
      <c r="N257" s="106">
        <f t="shared" ca="1" si="184"/>
        <v>194175302.70785356</v>
      </c>
      <c r="O257" s="106">
        <f t="shared" ca="1" si="181"/>
        <v>197433077.02956402</v>
      </c>
      <c r="P257" s="106">
        <f t="shared" ca="1" si="178"/>
        <v>197721880.33420271</v>
      </c>
      <c r="Q257" s="106">
        <f t="shared" ca="1" si="175"/>
        <v>198935481.52033839</v>
      </c>
      <c r="R257" s="106">
        <f t="shared" ca="1" si="172"/>
        <v>201255921.56747878</v>
      </c>
      <c r="S257" s="106">
        <f t="shared" ca="1" si="169"/>
        <v>201739822.21592376</v>
      </c>
      <c r="T257" s="106">
        <f t="shared" ca="1" si="166"/>
        <v>204460457.25051332</v>
      </c>
      <c r="U257" s="106">
        <f t="shared" ca="1" si="163"/>
        <v>209786567.55614647</v>
      </c>
      <c r="V257" s="106">
        <f t="shared" ref="V257:AO257" ca="1" si="197">U257+($AQ257-$U257)*INDEX(TailPayout,(V$8-$U$8)/12)</f>
        <v>212909163.3712374</v>
      </c>
      <c r="W257" s="106">
        <f t="shared" ca="1" si="197"/>
        <v>215783096.46758628</v>
      </c>
      <c r="X257" s="106">
        <f t="shared" ca="1" si="197"/>
        <v>218437909.60799739</v>
      </c>
      <c r="Y257" s="106">
        <f t="shared" ca="1" si="197"/>
        <v>220898572.71063828</v>
      </c>
      <c r="Z257" s="106">
        <f t="shared" ca="1" si="197"/>
        <v>223186342.20229301</v>
      </c>
      <c r="AA257" s="106">
        <f t="shared" ca="1" si="197"/>
        <v>225319432.5746932</v>
      </c>
      <c r="AB257" s="106">
        <f t="shared" ca="1" si="197"/>
        <v>227313546.50774369</v>
      </c>
      <c r="AC257" s="106">
        <f t="shared" ca="1" si="197"/>
        <v>229182297.25630715</v>
      </c>
      <c r="AD257" s="106">
        <f t="shared" ca="1" si="197"/>
        <v>230937548.10141468</v>
      </c>
      <c r="AE257" s="106">
        <f t="shared" ca="1" si="197"/>
        <v>232589687.33319557</v>
      </c>
      <c r="AF257" s="106">
        <f t="shared" ca="1" si="197"/>
        <v>234147852.66588512</v>
      </c>
      <c r="AG257" s="106">
        <f t="shared" ca="1" si="197"/>
        <v>235620115.65319684</v>
      </c>
      <c r="AH257" s="106">
        <f t="shared" ca="1" si="197"/>
        <v>237013634.21443164</v>
      </c>
      <c r="AI257" s="106">
        <f t="shared" ca="1" si="197"/>
        <v>238334779.55000573</v>
      </c>
      <c r="AJ257" s="106">
        <f t="shared" ca="1" si="197"/>
        <v>239589242.34692219</v>
      </c>
      <c r="AK257" s="106">
        <f t="shared" ca="1" si="197"/>
        <v>240782122.12851483</v>
      </c>
      <c r="AL257" s="106">
        <f t="shared" ca="1" si="197"/>
        <v>241918002.80182475</v>
      </c>
      <c r="AM257" s="106">
        <f t="shared" ca="1" si="197"/>
        <v>243001016.83795866</v>
      </c>
      <c r="AN257" s="106">
        <f t="shared" ca="1" si="197"/>
        <v>244034900.04028413</v>
      </c>
      <c r="AO257" s="106">
        <f t="shared" ca="1" si="197"/>
        <v>245023038.47917745</v>
      </c>
      <c r="AQ257" s="59">
        <f t="shared" ca="1" si="161"/>
        <v>245968508.87556341</v>
      </c>
      <c r="AR257" s="43" t="e">
        <f ca="1">_xll.RiskOutput(CONCATENATE(A257," / Paid TNR"))+AQ257-AS257</f>
        <v>#NAME?</v>
      </c>
      <c r="AS257" s="43">
        <f>INDEX($B$9:$U$28,A257-(Inputs!$I$2-Inputs!$I$3)-1,Inputs!$I$2+1-A257)</f>
        <v>184287397.06999999</v>
      </c>
      <c r="AT257" s="43"/>
    </row>
    <row r="258" spans="1:47" x14ac:dyDescent="0.25">
      <c r="A258">
        <f t="shared" si="158"/>
        <v>2009</v>
      </c>
      <c r="B258" s="43">
        <f t="shared" ref="B258:H258" ca="1" si="198">B211</f>
        <v>37249411.235521227</v>
      </c>
      <c r="C258" s="43">
        <f t="shared" ca="1" si="198"/>
        <v>89188331.563628301</v>
      </c>
      <c r="D258" s="43">
        <f t="shared" ca="1" si="198"/>
        <v>120275045.53341743</v>
      </c>
      <c r="E258" s="43">
        <f t="shared" ca="1" si="198"/>
        <v>140203696.43917993</v>
      </c>
      <c r="F258" s="43">
        <f t="shared" ca="1" si="198"/>
        <v>152834626.89910859</v>
      </c>
      <c r="G258" s="43">
        <f t="shared" ca="1" si="198"/>
        <v>161555825.30882585</v>
      </c>
      <c r="H258" s="43">
        <f t="shared" ca="1" si="198"/>
        <v>168054522.09262091</v>
      </c>
      <c r="I258" s="106">
        <f t="shared" ref="I258:I264" ca="1" si="199">H258+Monte_Carlo_Algorithm(I188/$C$105,$C$105)</f>
        <v>174765074.07488295</v>
      </c>
      <c r="J258" s="106">
        <f t="shared" ca="1" si="196"/>
        <v>177726207.94764233</v>
      </c>
      <c r="K258" s="106">
        <f t="shared" ca="1" si="193"/>
        <v>181260393.74616459</v>
      </c>
      <c r="L258" s="106">
        <f t="shared" ca="1" si="190"/>
        <v>185741734.38772422</v>
      </c>
      <c r="M258" s="106">
        <f t="shared" ca="1" si="187"/>
        <v>187150289.46923009</v>
      </c>
      <c r="N258" s="106">
        <f t="shared" ca="1" si="184"/>
        <v>187923355.86937991</v>
      </c>
      <c r="O258" s="106">
        <f t="shared" ca="1" si="181"/>
        <v>189625621.83222842</v>
      </c>
      <c r="P258" s="106">
        <f t="shared" ca="1" si="178"/>
        <v>191167942.85871884</v>
      </c>
      <c r="Q258" s="106">
        <f t="shared" ca="1" si="175"/>
        <v>192486662.51947933</v>
      </c>
      <c r="R258" s="106">
        <f t="shared" ca="1" si="172"/>
        <v>193283661.33830068</v>
      </c>
      <c r="S258" s="106">
        <f t="shared" ca="1" si="169"/>
        <v>193582513.56434187</v>
      </c>
      <c r="T258" s="106">
        <f t="shared" ca="1" si="166"/>
        <v>195385280.31040409</v>
      </c>
      <c r="U258" s="106">
        <f t="shared" ca="1" si="163"/>
        <v>197750253.10647371</v>
      </c>
      <c r="V258" s="106">
        <f t="shared" ref="V258:AO258" ca="1" si="200">U258+($AQ258-$U258)*INDEX(TailPayout,(V$8-$U$8)/12)</f>
        <v>198278794.12250558</v>
      </c>
      <c r="W258" s="106">
        <f t="shared" ca="1" si="200"/>
        <v>198765245.65472466</v>
      </c>
      <c r="X258" s="106">
        <f t="shared" ca="1" si="200"/>
        <v>199214608.21001482</v>
      </c>
      <c r="Y258" s="106">
        <f t="shared" ca="1" si="200"/>
        <v>199631108.28027579</v>
      </c>
      <c r="Z258" s="106">
        <f t="shared" ca="1" si="200"/>
        <v>200018343.79943013</v>
      </c>
      <c r="AA258" s="106">
        <f t="shared" ca="1" si="200"/>
        <v>200379397.81329501</v>
      </c>
      <c r="AB258" s="106">
        <f t="shared" ca="1" si="200"/>
        <v>200716928.21001306</v>
      </c>
      <c r="AC258" s="106">
        <f t="shared" ca="1" si="200"/>
        <v>201033239.21465307</v>
      </c>
      <c r="AD258" s="106">
        <f t="shared" ca="1" si="200"/>
        <v>201330338.84585747</v>
      </c>
      <c r="AE258" s="106">
        <f t="shared" ca="1" si="200"/>
        <v>201609985.46037334</v>
      </c>
      <c r="AF258" s="106">
        <f t="shared" ca="1" si="200"/>
        <v>201873725.73828742</v>
      </c>
      <c r="AG258" s="106">
        <f t="shared" ca="1" si="200"/>
        <v>202122925.89778906</v>
      </c>
      <c r="AH258" s="106">
        <f t="shared" ca="1" si="200"/>
        <v>202358797.51224995</v>
      </c>
      <c r="AI258" s="106">
        <f t="shared" ca="1" si="200"/>
        <v>202582418.9923709</v>
      </c>
      <c r="AJ258" s="106">
        <f t="shared" ca="1" si="200"/>
        <v>202794753.56287539</v>
      </c>
      <c r="AK258" s="106">
        <f t="shared" ca="1" si="200"/>
        <v>202996664.38614616</v>
      </c>
      <c r="AL258" s="106">
        <f t="shared" ca="1" si="200"/>
        <v>203188927.34962699</v>
      </c>
      <c r="AM258" s="106">
        <f t="shared" ca="1" si="200"/>
        <v>203372241.92920485</v>
      </c>
      <c r="AN258" s="106">
        <f t="shared" ca="1" si="200"/>
        <v>203547240.45945796</v>
      </c>
      <c r="AO258" s="106">
        <f t="shared" ca="1" si="200"/>
        <v>203714496.07798815</v>
      </c>
      <c r="AQ258" s="59">
        <f t="shared" ca="1" si="161"/>
        <v>203874529.56087404</v>
      </c>
      <c r="AR258" s="43" t="e">
        <f ca="1">_xll.RiskOutput(CONCATENATE(A258," / Paid TNR"))+AQ258-AS258</f>
        <v>#NAME?</v>
      </c>
      <c r="AS258" s="43">
        <f>INDEX($B$9:$U$28,A258-(Inputs!$I$2-Inputs!$I$3)-1,Inputs!$I$2+1-A258)</f>
        <v>168255694.93000001</v>
      </c>
      <c r="AT258" s="43"/>
    </row>
    <row r="259" spans="1:47" x14ac:dyDescent="0.25">
      <c r="A259">
        <f t="shared" si="158"/>
        <v>2010</v>
      </c>
      <c r="B259" s="43">
        <f t="shared" ref="B259:G259" ca="1" si="201">B212</f>
        <v>34399766.720165968</v>
      </c>
      <c r="C259" s="43">
        <f t="shared" ca="1" si="201"/>
        <v>82154629.072526306</v>
      </c>
      <c r="D259" s="43">
        <f t="shared" ca="1" si="201"/>
        <v>110409755.66662012</v>
      </c>
      <c r="E259" s="43">
        <f t="shared" ca="1" si="201"/>
        <v>128478363.54342085</v>
      </c>
      <c r="F259" s="43">
        <f t="shared" ca="1" si="201"/>
        <v>140035522.2818644</v>
      </c>
      <c r="G259" s="43">
        <f t="shared" ca="1" si="201"/>
        <v>147965603.93087322</v>
      </c>
      <c r="H259" s="106">
        <f t="shared" ref="H259:H264" ca="1" si="202">G259+Monte_Carlo_Algorithm(H189/$C$105,$C$105)</f>
        <v>153223708.00163621</v>
      </c>
      <c r="I259" s="106">
        <f t="shared" ca="1" si="199"/>
        <v>156639494.36128002</v>
      </c>
      <c r="J259" s="106">
        <f t="shared" ca="1" si="196"/>
        <v>159773472.11984241</v>
      </c>
      <c r="K259" s="106">
        <f t="shared" ca="1" si="193"/>
        <v>160546563.46035743</v>
      </c>
      <c r="L259" s="106">
        <f t="shared" ca="1" si="190"/>
        <v>161227243.59017262</v>
      </c>
      <c r="M259" s="106">
        <f t="shared" ca="1" si="187"/>
        <v>161998941.80936566</v>
      </c>
      <c r="N259" s="106">
        <f t="shared" ca="1" si="184"/>
        <v>164173432.73698577</v>
      </c>
      <c r="O259" s="106">
        <f t="shared" ca="1" si="181"/>
        <v>170949414.83124706</v>
      </c>
      <c r="P259" s="106">
        <f t="shared" ca="1" si="178"/>
        <v>171626927.41730344</v>
      </c>
      <c r="Q259" s="106">
        <f t="shared" ca="1" si="175"/>
        <v>173162716.81375679</v>
      </c>
      <c r="R259" s="106">
        <f t="shared" ca="1" si="172"/>
        <v>176031347.30287439</v>
      </c>
      <c r="S259" s="106">
        <f t="shared" ca="1" si="169"/>
        <v>179725356.31267801</v>
      </c>
      <c r="T259" s="106">
        <f t="shared" ca="1" si="166"/>
        <v>182100614.05352476</v>
      </c>
      <c r="U259" s="106">
        <f t="shared" ca="1" si="163"/>
        <v>182742436.96901372</v>
      </c>
      <c r="V259" s="106">
        <f t="shared" ref="V259:AO259" ca="1" si="203">U259+($AQ259-$U259)*INDEX(TailPayout,(V$8-$U$8)/12)</f>
        <v>188554642.1011422</v>
      </c>
      <c r="W259" s="106">
        <f t="shared" ca="1" si="203"/>
        <v>193904001.95465448</v>
      </c>
      <c r="X259" s="106">
        <f t="shared" ca="1" si="203"/>
        <v>198845505.58601394</v>
      </c>
      <c r="Y259" s="106">
        <f t="shared" ca="1" si="203"/>
        <v>203425630.44382948</v>
      </c>
      <c r="Z259" s="106">
        <f t="shared" ca="1" si="203"/>
        <v>207683941.91541371</v>
      </c>
      <c r="AA259" s="106">
        <f t="shared" ca="1" si="203"/>
        <v>211654343.31986099</v>
      </c>
      <c r="AB259" s="106">
        <f t="shared" ca="1" si="203"/>
        <v>215366062.64636225</v>
      </c>
      <c r="AC259" s="106">
        <f t="shared" ca="1" si="203"/>
        <v>218844438.75862682</v>
      </c>
      <c r="AD259" s="106">
        <f t="shared" ca="1" si="203"/>
        <v>222111553.22819829</v>
      </c>
      <c r="AE259" s="106">
        <f t="shared" ca="1" si="203"/>
        <v>225186742.17053282</v>
      </c>
      <c r="AF259" s="106">
        <f t="shared" ca="1" si="203"/>
        <v>228087013.95710063</v>
      </c>
      <c r="AG259" s="106">
        <f t="shared" ca="1" si="203"/>
        <v>230827392.47466001</v>
      </c>
      <c r="AH259" s="106">
        <f t="shared" ca="1" si="203"/>
        <v>233421201.02784589</v>
      </c>
      <c r="AI259" s="106">
        <f t="shared" ca="1" si="203"/>
        <v>235880298.57181919</v>
      </c>
      <c r="AJ259" s="106">
        <f t="shared" ca="1" si="203"/>
        <v>238215277.3965089</v>
      </c>
      <c r="AK259" s="106">
        <f t="shared" ca="1" si="203"/>
        <v>240435629.43665379</v>
      </c>
      <c r="AL259" s="106">
        <f t="shared" ca="1" si="203"/>
        <v>242549886.89097798</v>
      </c>
      <c r="AM259" s="106">
        <f t="shared" ca="1" si="203"/>
        <v>244565741.68350783</v>
      </c>
      <c r="AN259" s="106">
        <f t="shared" ca="1" si="203"/>
        <v>246490147.40567541</v>
      </c>
      <c r="AO259" s="106">
        <f t="shared" ca="1" si="203"/>
        <v>248329406.67773139</v>
      </c>
      <c r="AQ259" s="59">
        <f t="shared" ca="1" si="161"/>
        <v>250089246.31614777</v>
      </c>
      <c r="AR259" s="43" t="e">
        <f ca="1">_xll.RiskOutput(CONCATENATE(A259," / Paid TNR"))+AQ259-AS259</f>
        <v>#NAME?</v>
      </c>
      <c r="AS259" s="43">
        <f>INDEX($B$9:$U$28,A259-(Inputs!$I$2-Inputs!$I$3)-1,Inputs!$I$2+1-A259)</f>
        <v>147615751.60000002</v>
      </c>
      <c r="AT259" s="43"/>
    </row>
    <row r="260" spans="1:47" x14ac:dyDescent="0.25">
      <c r="A260">
        <f t="shared" si="158"/>
        <v>2011</v>
      </c>
      <c r="B260" s="43">
        <f ca="1">B213</f>
        <v>32406425.082129955</v>
      </c>
      <c r="C260" s="43">
        <f ca="1">C213</f>
        <v>77065089.774958804</v>
      </c>
      <c r="D260" s="43">
        <f ca="1">D213</f>
        <v>103483092.04262227</v>
      </c>
      <c r="E260" s="43">
        <f ca="1">E213</f>
        <v>120151308.29124658</v>
      </c>
      <c r="F260" s="43">
        <f ca="1">F213</f>
        <v>130986285.75733951</v>
      </c>
      <c r="G260" s="106">
        <f ca="1">F260+Monte_Carlo_Algorithm(G190/$C$105,$C$105)</f>
        <v>139059608.83347964</v>
      </c>
      <c r="H260" s="106">
        <f t="shared" ca="1" si="202"/>
        <v>144332490.68426311</v>
      </c>
      <c r="I260" s="106">
        <f t="shared" ca="1" si="199"/>
        <v>151430453.58504352</v>
      </c>
      <c r="J260" s="106">
        <f t="shared" ca="1" si="196"/>
        <v>157055951.96287936</v>
      </c>
      <c r="K260" s="106">
        <f t="shared" ca="1" si="193"/>
        <v>161363417.93870085</v>
      </c>
      <c r="L260" s="106">
        <f t="shared" ca="1" si="190"/>
        <v>164726909.85106617</v>
      </c>
      <c r="M260" s="106">
        <f t="shared" ca="1" si="187"/>
        <v>167953039.76694605</v>
      </c>
      <c r="N260" s="106">
        <f t="shared" ca="1" si="184"/>
        <v>168427571.12378627</v>
      </c>
      <c r="O260" s="106">
        <f t="shared" ca="1" si="181"/>
        <v>170095968.27914986</v>
      </c>
      <c r="P260" s="106">
        <f t="shared" ca="1" si="178"/>
        <v>171880816.9723894</v>
      </c>
      <c r="Q260" s="106">
        <f t="shared" ca="1" si="175"/>
        <v>172256795.13493842</v>
      </c>
      <c r="R260" s="106">
        <f t="shared" ca="1" si="172"/>
        <v>173622553.1197634</v>
      </c>
      <c r="S260" s="106">
        <f t="shared" ca="1" si="169"/>
        <v>174211617.60383636</v>
      </c>
      <c r="T260" s="106">
        <f t="shared" ca="1" si="166"/>
        <v>175570859.41293088</v>
      </c>
      <c r="U260" s="106">
        <f t="shared" ca="1" si="163"/>
        <v>181171635.07092962</v>
      </c>
      <c r="V260" s="106">
        <f t="shared" ref="V260:AO260" ca="1" si="204">U260+($AQ260-$U260)*INDEX(TailPayout,(V$8-$U$8)/12)</f>
        <v>183868308.15193731</v>
      </c>
      <c r="W260" s="106">
        <f t="shared" ca="1" si="204"/>
        <v>186350236.16198796</v>
      </c>
      <c r="X260" s="106">
        <f t="shared" ca="1" si="204"/>
        <v>188642932.22474873</v>
      </c>
      <c r="Y260" s="106">
        <f t="shared" ca="1" si="204"/>
        <v>190767960.35623217</v>
      </c>
      <c r="Z260" s="106">
        <f t="shared" ca="1" si="204"/>
        <v>192743677.60208273</v>
      </c>
      <c r="AA260" s="106">
        <f t="shared" ca="1" si="204"/>
        <v>194585813.99348143</v>
      </c>
      <c r="AB260" s="106">
        <f t="shared" ca="1" si="204"/>
        <v>196307930.36145043</v>
      </c>
      <c r="AC260" s="106">
        <f t="shared" ca="1" si="204"/>
        <v>197921783.10999048</v>
      </c>
      <c r="AD260" s="106">
        <f t="shared" ca="1" si="204"/>
        <v>199437617.36607388</v>
      </c>
      <c r="AE260" s="106">
        <f t="shared" ca="1" si="204"/>
        <v>200864404.4548443</v>
      </c>
      <c r="AF260" s="106">
        <f t="shared" ca="1" si="204"/>
        <v>202210035.7043696</v>
      </c>
      <c r="AG260" s="106">
        <f t="shared" ca="1" si="204"/>
        <v>203481481.70671809</v>
      </c>
      <c r="AH260" s="106">
        <f t="shared" ca="1" si="204"/>
        <v>204684924.03947389</v>
      </c>
      <c r="AI260" s="106">
        <f t="shared" ca="1" si="204"/>
        <v>205825864.86995977</v>
      </c>
      <c r="AJ260" s="106">
        <f t="shared" ca="1" si="204"/>
        <v>206909218.67425984</v>
      </c>
      <c r="AK260" s="106">
        <f t="shared" ca="1" si="204"/>
        <v>207939389.39963934</v>
      </c>
      <c r="AL260" s="106">
        <f t="shared" ca="1" si="204"/>
        <v>208920335.70724291</v>
      </c>
      <c r="AM260" s="106">
        <f t="shared" ca="1" si="204"/>
        <v>209855626.39823833</v>
      </c>
      <c r="AN260" s="106">
        <f t="shared" ca="1" si="204"/>
        <v>210748487.71161839</v>
      </c>
      <c r="AO260" s="106">
        <f t="shared" ca="1" si="204"/>
        <v>211601843.85703903</v>
      </c>
      <c r="AQ260" s="59">
        <f t="shared" ca="1" si="161"/>
        <v>212418351.89003578</v>
      </c>
      <c r="AR260" s="43" t="e">
        <f ca="1">_xll.RiskOutput(CONCATENATE(A260," / Paid TNR"))+AQ260-AS260</f>
        <v>#NAME?</v>
      </c>
      <c r="AS260" s="43">
        <f>INDEX($B$9:$U$28,A260-(Inputs!$I$2-Inputs!$I$3)-1,Inputs!$I$2+1-A260)</f>
        <v>130781034.94</v>
      </c>
      <c r="AT260" s="43"/>
    </row>
    <row r="261" spans="1:47" x14ac:dyDescent="0.25">
      <c r="A261">
        <f t="shared" si="158"/>
        <v>2012</v>
      </c>
      <c r="B261" s="43">
        <f ca="1">B214</f>
        <v>34250733.859025501</v>
      </c>
      <c r="C261" s="43">
        <f ca="1">C214</f>
        <v>82783658.266738027</v>
      </c>
      <c r="D261" s="43">
        <f ca="1">D214</f>
        <v>110914596.71283169</v>
      </c>
      <c r="E261" s="43">
        <f ca="1">E214</f>
        <v>128766127.91479281</v>
      </c>
      <c r="F261" s="106">
        <f ca="1">E261+Monte_Carlo_Algorithm(F191/$C$105,$C$105)</f>
        <v>140435426.46546337</v>
      </c>
      <c r="G261" s="106">
        <f ca="1">F261+Monte_Carlo_Algorithm(G191/$C$105,$C$105)</f>
        <v>149763299.64376709</v>
      </c>
      <c r="H261" s="106">
        <f t="shared" ca="1" si="202"/>
        <v>153876749.0672549</v>
      </c>
      <c r="I261" s="106">
        <f t="shared" ca="1" si="199"/>
        <v>158037818.6743148</v>
      </c>
      <c r="J261" s="106">
        <f t="shared" ca="1" si="196"/>
        <v>159614488.9995597</v>
      </c>
      <c r="K261" s="106">
        <f t="shared" ca="1" si="193"/>
        <v>162316668.35909116</v>
      </c>
      <c r="L261" s="106">
        <f t="shared" ca="1" si="190"/>
        <v>163091550.176734</v>
      </c>
      <c r="M261" s="106">
        <f t="shared" ca="1" si="187"/>
        <v>163668078.1973069</v>
      </c>
      <c r="N261" s="106">
        <f t="shared" ca="1" si="184"/>
        <v>164994839.09116662</v>
      </c>
      <c r="O261" s="106">
        <f t="shared" ca="1" si="181"/>
        <v>166289032.93453562</v>
      </c>
      <c r="P261" s="106">
        <f t="shared" ca="1" si="178"/>
        <v>166818631.42509955</v>
      </c>
      <c r="Q261" s="106">
        <f t="shared" ca="1" si="175"/>
        <v>167815563.03352341</v>
      </c>
      <c r="R261" s="106">
        <f t="shared" ca="1" si="172"/>
        <v>168399461.79750314</v>
      </c>
      <c r="S261" s="106">
        <f t="shared" ca="1" si="169"/>
        <v>168528510.63200495</v>
      </c>
      <c r="T261" s="106">
        <f t="shared" ca="1" si="166"/>
        <v>168939040.16064903</v>
      </c>
      <c r="U261" s="106">
        <f t="shared" ca="1" si="163"/>
        <v>171969526.44556442</v>
      </c>
      <c r="V261" s="106">
        <f t="shared" ref="V261:AO261" ca="1" si="205">U261+($AQ261-$U261)*INDEX(TailPayout,(V$8-$U$8)/12)</f>
        <v>172026094.37493408</v>
      </c>
      <c r="W261" s="106">
        <f t="shared" ca="1" si="205"/>
        <v>172078157.61143166</v>
      </c>
      <c r="X261" s="106">
        <f t="shared" ca="1" si="205"/>
        <v>172126251.34213182</v>
      </c>
      <c r="Y261" s="106">
        <f t="shared" ca="1" si="205"/>
        <v>172170827.9139443</v>
      </c>
      <c r="Z261" s="106">
        <f t="shared" ca="1" si="205"/>
        <v>172212272.40137765</v>
      </c>
      <c r="AA261" s="106">
        <f t="shared" ca="1" si="205"/>
        <v>172250914.77223521</v>
      </c>
      <c r="AB261" s="106">
        <f t="shared" ca="1" si="205"/>
        <v>172287039.49115488</v>
      </c>
      <c r="AC261" s="106">
        <f t="shared" ca="1" si="205"/>
        <v>172320893.17143056</v>
      </c>
      <c r="AD261" s="106">
        <f t="shared" ca="1" si="205"/>
        <v>172352690.72439986</v>
      </c>
      <c r="AE261" s="106">
        <f t="shared" ca="1" si="205"/>
        <v>172382620.34094536</v>
      </c>
      <c r="AF261" s="106">
        <f t="shared" ca="1" si="205"/>
        <v>172410847.55692378</v>
      </c>
      <c r="AG261" s="106">
        <f t="shared" ca="1" si="205"/>
        <v>172437518.59397486</v>
      </c>
      <c r="AH261" s="106">
        <f t="shared" ca="1" si="205"/>
        <v>172462763.12263474</v>
      </c>
      <c r="AI261" s="106">
        <f t="shared" ca="1" si="205"/>
        <v>172486696.56149629</v>
      </c>
      <c r="AJ261" s="106">
        <f t="shared" ca="1" si="205"/>
        <v>172509422.00119293</v>
      </c>
      <c r="AK261" s="106">
        <f t="shared" ca="1" si="205"/>
        <v>172531031.82302946</v>
      </c>
      <c r="AL261" s="106">
        <f t="shared" ca="1" si="205"/>
        <v>172551609.06757376</v>
      </c>
      <c r="AM261" s="106">
        <f t="shared" ca="1" si="205"/>
        <v>172571228.59732726</v>
      </c>
      <c r="AN261" s="106">
        <f t="shared" ca="1" si="205"/>
        <v>172589958.08888778</v>
      </c>
      <c r="AO261" s="106">
        <f t="shared" ca="1" si="205"/>
        <v>172607858.88320404</v>
      </c>
      <c r="AQ261" s="59">
        <f t="shared" ca="1" si="161"/>
        <v>172624986.71715081</v>
      </c>
      <c r="AR261" s="43" t="e">
        <f ca="1">_xll.RiskOutput(CONCATENATE(A261," / Paid TNR"))+AQ261-AS261</f>
        <v>#NAME?</v>
      </c>
      <c r="AS261" s="43">
        <f>INDEX($B$9:$U$28,A261-(Inputs!$I$2-Inputs!$I$3)-1,Inputs!$I$2+1-A261)</f>
        <v>128272793.77</v>
      </c>
      <c r="AT261" s="43"/>
    </row>
    <row r="262" spans="1:47" x14ac:dyDescent="0.25">
      <c r="A262">
        <f t="shared" si="158"/>
        <v>2013</v>
      </c>
      <c r="B262" s="43">
        <f ca="1">B215</f>
        <v>32748986.94560989</v>
      </c>
      <c r="C262" s="43">
        <f ca="1">C215</f>
        <v>78389211.954386324</v>
      </c>
      <c r="D262" s="43">
        <f ca="1">D215</f>
        <v>105718195.13751817</v>
      </c>
      <c r="E262" s="106">
        <f ca="1">D262+Monte_Carlo_Algorithm(E192/$C$105,$C$105)</f>
        <v>122241506.57777636</v>
      </c>
      <c r="F262" s="106">
        <f ca="1">E262+Monte_Carlo_Algorithm(F192/$C$105,$C$105)</f>
        <v>134500103.45372048</v>
      </c>
      <c r="G262" s="106">
        <f ca="1">F262+Monte_Carlo_Algorithm(G192/$C$105,$C$105)</f>
        <v>142026546.48570597</v>
      </c>
      <c r="H262" s="106">
        <f t="shared" ca="1" si="202"/>
        <v>146712976.03811377</v>
      </c>
      <c r="I262" s="106">
        <f t="shared" ca="1" si="199"/>
        <v>151442956.81431356</v>
      </c>
      <c r="J262" s="106">
        <f t="shared" ca="1" si="196"/>
        <v>156220153.00894275</v>
      </c>
      <c r="K262" s="106">
        <f t="shared" ca="1" si="193"/>
        <v>157438428.38126868</v>
      </c>
      <c r="L262" s="106">
        <f t="shared" ca="1" si="190"/>
        <v>158678778.48604417</v>
      </c>
      <c r="M262" s="106">
        <f t="shared" ca="1" si="187"/>
        <v>163637104.51032323</v>
      </c>
      <c r="N262" s="106">
        <f t="shared" ca="1" si="184"/>
        <v>165191588.58491418</v>
      </c>
      <c r="O262" s="106">
        <f t="shared" ca="1" si="181"/>
        <v>165452055.8175568</v>
      </c>
      <c r="P262" s="106">
        <f t="shared" ca="1" si="178"/>
        <v>166580275.18515277</v>
      </c>
      <c r="Q262" s="106">
        <f t="shared" ca="1" si="175"/>
        <v>167726141.58149764</v>
      </c>
      <c r="R262" s="106">
        <f t="shared" ca="1" si="172"/>
        <v>169332345.05884734</v>
      </c>
      <c r="S262" s="106">
        <f t="shared" ca="1" si="169"/>
        <v>171086408.929611</v>
      </c>
      <c r="T262" s="106">
        <f t="shared" ca="1" si="166"/>
        <v>174027482.54428199</v>
      </c>
      <c r="U262" s="106">
        <f t="shared" ca="1" si="163"/>
        <v>175957227.75567883</v>
      </c>
      <c r="V262" s="106">
        <f t="shared" ref="V262:AO262" ca="1" si="206">U262+($AQ262-$U262)*INDEX(TailPayout,(V$8-$U$8)/12)</f>
        <v>176015107.40585577</v>
      </c>
      <c r="W262" s="106">
        <f t="shared" ca="1" si="206"/>
        <v>176068377.90645811</v>
      </c>
      <c r="X262" s="106">
        <f t="shared" ca="1" si="206"/>
        <v>176117586.85470223</v>
      </c>
      <c r="Y262" s="106">
        <f t="shared" ca="1" si="206"/>
        <v>176163197.08670723</v>
      </c>
      <c r="Z262" s="106">
        <f t="shared" ca="1" si="206"/>
        <v>176205602.60625046</v>
      </c>
      <c r="AA262" s="106">
        <f t="shared" ca="1" si="206"/>
        <v>176245141.0325667</v>
      </c>
      <c r="AB262" s="106">
        <f t="shared" ca="1" si="206"/>
        <v>176282103.42657879</v>
      </c>
      <c r="AC262" s="106">
        <f t="shared" ca="1" si="206"/>
        <v>176316742.12015292</v>
      </c>
      <c r="AD262" s="106">
        <f t="shared" ca="1" si="206"/>
        <v>176349277.00808066</v>
      </c>
      <c r="AE262" s="106">
        <f t="shared" ca="1" si="206"/>
        <v>176379900.64509347</v>
      </c>
      <c r="AF262" s="106">
        <f t="shared" ca="1" si="206"/>
        <v>176408782.40556279</v>
      </c>
      <c r="AG262" s="106">
        <f t="shared" ca="1" si="206"/>
        <v>176436071.90177688</v>
      </c>
      <c r="AH262" s="106">
        <f t="shared" ca="1" si="206"/>
        <v>176461901.81112653</v>
      </c>
      <c r="AI262" s="106">
        <f t="shared" ca="1" si="206"/>
        <v>176486390.22857922</v>
      </c>
      <c r="AJ262" s="106">
        <f t="shared" ca="1" si="206"/>
        <v>176509642.63527709</v>
      </c>
      <c r="AK262" s="106">
        <f t="shared" ca="1" si="206"/>
        <v>176531753.55470127</v>
      </c>
      <c r="AL262" s="106">
        <f t="shared" ca="1" si="206"/>
        <v>176552807.95299906</v>
      </c>
      <c r="AM262" s="106">
        <f t="shared" ca="1" si="206"/>
        <v>176572882.42861488</v>
      </c>
      <c r="AN262" s="106">
        <f t="shared" ca="1" si="206"/>
        <v>176592046.22745982</v>
      </c>
      <c r="AO262" s="106">
        <f t="shared" ca="1" si="206"/>
        <v>176610362.11288217</v>
      </c>
      <c r="AQ262" s="59">
        <f t="shared" ca="1" si="161"/>
        <v>176627887.1142067</v>
      </c>
      <c r="AR262" s="43" t="e">
        <f ca="1">_xll.RiskOutput(CONCATENATE(A262," / Paid TNR"))+AQ262-AS262</f>
        <v>#NAME?</v>
      </c>
      <c r="AS262" s="43">
        <f>INDEX($B$9:$U$28,A262-(Inputs!$I$2-Inputs!$I$3)-1,Inputs!$I$2+1-A262)</f>
        <v>104724355.50999999</v>
      </c>
      <c r="AT262" s="43"/>
    </row>
    <row r="263" spans="1:47" x14ac:dyDescent="0.25">
      <c r="A263">
        <f t="shared" si="158"/>
        <v>2014</v>
      </c>
      <c r="B263" s="43">
        <f ca="1">B216</f>
        <v>33289740.852947723</v>
      </c>
      <c r="C263" s="43">
        <f ca="1">C216</f>
        <v>79449455.929375485</v>
      </c>
      <c r="D263" s="106">
        <f ca="1">C263+Monte_Carlo_Algorithm(D193/$C$105,$C$105)</f>
        <v>103550416.71214543</v>
      </c>
      <c r="E263" s="106">
        <f ca="1">D263+Monte_Carlo_Algorithm(E193/$C$105,$C$105)</f>
        <v>122812157.34375085</v>
      </c>
      <c r="F263" s="106">
        <f ca="1">E263+Monte_Carlo_Algorithm(F193/$C$105,$C$105)</f>
        <v>132323582.25499552</v>
      </c>
      <c r="G263" s="106">
        <f ca="1">F263+Monte_Carlo_Algorithm(G193/$C$105,$C$105)</f>
        <v>138045151.11207318</v>
      </c>
      <c r="H263" s="106">
        <f t="shared" ca="1" si="202"/>
        <v>146622916.93578097</v>
      </c>
      <c r="I263" s="106">
        <f t="shared" ca="1" si="199"/>
        <v>147882937.179158</v>
      </c>
      <c r="J263" s="106">
        <f t="shared" ca="1" si="196"/>
        <v>149588096.23433229</v>
      </c>
      <c r="K263" s="106">
        <f t="shared" ca="1" si="193"/>
        <v>152200099.38124862</v>
      </c>
      <c r="L263" s="106">
        <f t="shared" ca="1" si="190"/>
        <v>154087458.1158385</v>
      </c>
      <c r="M263" s="106">
        <f t="shared" ca="1" si="187"/>
        <v>154877470.06945342</v>
      </c>
      <c r="N263" s="106">
        <f t="shared" ca="1" si="184"/>
        <v>155472550.21165505</v>
      </c>
      <c r="O263" s="106">
        <f t="shared" ca="1" si="181"/>
        <v>156825004.25029239</v>
      </c>
      <c r="P263" s="106">
        <f t="shared" ca="1" si="178"/>
        <v>158716416.72544813</v>
      </c>
      <c r="Q263" s="106">
        <f t="shared" ca="1" si="175"/>
        <v>160102087.39900225</v>
      </c>
      <c r="R263" s="106">
        <f t="shared" ca="1" si="172"/>
        <v>160857022.22295648</v>
      </c>
      <c r="S263" s="106">
        <f t="shared" ca="1" si="169"/>
        <v>161185213.03473279</v>
      </c>
      <c r="T263" s="106">
        <f t="shared" ca="1" si="166"/>
        <v>162467873.17480293</v>
      </c>
      <c r="U263" s="106">
        <f t="shared" ca="1" si="163"/>
        <v>165889023.17313594</v>
      </c>
      <c r="V263" s="106">
        <f t="shared" ref="V263:AO263" ca="1" si="207">U263+($AQ263-$U263)*INDEX(TailPayout,(V$8-$U$8)/12)</f>
        <v>173924815.9838725</v>
      </c>
      <c r="W263" s="106">
        <f t="shared" ca="1" si="207"/>
        <v>181320691.81338832</v>
      </c>
      <c r="X263" s="106">
        <f t="shared" ca="1" si="207"/>
        <v>188152676.99842688</v>
      </c>
      <c r="Y263" s="106">
        <f t="shared" ca="1" si="207"/>
        <v>194485029.96395817</v>
      </c>
      <c r="Z263" s="106">
        <f t="shared" ca="1" si="207"/>
        <v>200372452.71166533</v>
      </c>
      <c r="AA263" s="106">
        <f t="shared" ca="1" si="207"/>
        <v>205861819.0255332</v>
      </c>
      <c r="AB263" s="106">
        <f t="shared" ca="1" si="207"/>
        <v>210993538.70873854</v>
      </c>
      <c r="AC263" s="106">
        <f t="shared" ca="1" si="207"/>
        <v>215802644.56796986</v>
      </c>
      <c r="AD263" s="106">
        <f t="shared" ca="1" si="207"/>
        <v>220319665.96855855</v>
      </c>
      <c r="AE263" s="106">
        <f t="shared" ca="1" si="207"/>
        <v>224571336.48477426</v>
      </c>
      <c r="AF263" s="106">
        <f t="shared" ca="1" si="207"/>
        <v>228581171.41693345</v>
      </c>
      <c r="AG263" s="106">
        <f t="shared" ca="1" si="207"/>
        <v>232369942.37210381</v>
      </c>
      <c r="AH263" s="106">
        <f t="shared" ca="1" si="207"/>
        <v>235956069.77991006</v>
      </c>
      <c r="AI263" s="106">
        <f t="shared" ca="1" si="207"/>
        <v>239355949.50121027</v>
      </c>
      <c r="AJ263" s="106">
        <f t="shared" ca="1" si="207"/>
        <v>242584226.14081892</v>
      </c>
      <c r="AK263" s="106">
        <f t="shared" ca="1" si="207"/>
        <v>245654022.98313487</v>
      </c>
      <c r="AL263" s="106">
        <f t="shared" ca="1" si="207"/>
        <v>248577136.40829417</v>
      </c>
      <c r="AM263" s="106">
        <f t="shared" ca="1" si="207"/>
        <v>251364201.05605686</v>
      </c>
      <c r="AN263" s="106">
        <f t="shared" ca="1" si="207"/>
        <v>254024830.76811787</v>
      </c>
      <c r="AO263" s="106">
        <f t="shared" ca="1" si="207"/>
        <v>256567739.37156138</v>
      </c>
      <c r="AQ263" s="59">
        <f t="shared" ca="1" si="161"/>
        <v>259000844.60321665</v>
      </c>
      <c r="AR263" s="43" t="e">
        <f ca="1">_xll.RiskOutput(CONCATENATE(A263," / Paid TNR"))+AQ263-AS263</f>
        <v>#NAME?</v>
      </c>
      <c r="AS263" s="43">
        <f>INDEX($B$9:$U$28,A263-(Inputs!$I$2-Inputs!$I$3)-1,Inputs!$I$2+1-A263)</f>
        <v>79754599.760000005</v>
      </c>
      <c r="AT263" s="43"/>
    </row>
    <row r="264" spans="1:47" x14ac:dyDescent="0.25">
      <c r="A264">
        <f t="shared" si="158"/>
        <v>2015</v>
      </c>
      <c r="B264" s="43">
        <f ca="1">B217</f>
        <v>29356556.946547687</v>
      </c>
      <c r="C264" s="106">
        <f ca="1">B264+Monte_Carlo_Algorithm(C194/$C$105,$C$105)</f>
        <v>71717836.614035293</v>
      </c>
      <c r="D264" s="106">
        <f ca="1">C264+Monte_Carlo_Algorithm(D194/$C$105,$C$105)</f>
        <v>91978744.175407425</v>
      </c>
      <c r="E264" s="106">
        <f ca="1">D264+Monte_Carlo_Algorithm(E194/$C$105,$C$105)</f>
        <v>103228108.84806277</v>
      </c>
      <c r="F264" s="106">
        <f ca="1">E264+Monte_Carlo_Algorithm(F194/$C$105,$C$105)</f>
        <v>115356564.8428905</v>
      </c>
      <c r="G264" s="106">
        <f ca="1">F264+Monte_Carlo_Algorithm(G194/$C$105,$C$105)</f>
        <v>120070430.44792061</v>
      </c>
      <c r="H264" s="106">
        <f t="shared" ca="1" si="202"/>
        <v>122073810.29515636</v>
      </c>
      <c r="I264" s="106">
        <f t="shared" ca="1" si="199"/>
        <v>124367485.33435161</v>
      </c>
      <c r="J264" s="106">
        <f t="shared" ca="1" si="196"/>
        <v>126287533.18918777</v>
      </c>
      <c r="K264" s="106">
        <f t="shared" ca="1" si="193"/>
        <v>127904958.29067366</v>
      </c>
      <c r="L264" s="106">
        <f t="shared" ca="1" si="190"/>
        <v>129419238.29609844</v>
      </c>
      <c r="M264" s="106">
        <f t="shared" ca="1" si="187"/>
        <v>130627196.59762487</v>
      </c>
      <c r="N264" s="106">
        <f t="shared" ca="1" si="184"/>
        <v>131351612.05553296</v>
      </c>
      <c r="O264" s="106">
        <f t="shared" ca="1" si="181"/>
        <v>134118525.33186784</v>
      </c>
      <c r="P264" s="106">
        <f t="shared" ca="1" si="178"/>
        <v>134249866.0849067</v>
      </c>
      <c r="Q264" s="106">
        <f t="shared" ca="1" si="175"/>
        <v>136026703.06664014</v>
      </c>
      <c r="R264" s="106">
        <f t="shared" ca="1" si="172"/>
        <v>136228251.89281434</v>
      </c>
      <c r="S264" s="106">
        <f t="shared" ca="1" si="169"/>
        <v>137619826.14182636</v>
      </c>
      <c r="T264" s="106">
        <f t="shared" ca="1" si="166"/>
        <v>137884429.38300949</v>
      </c>
      <c r="U264" s="106">
        <f t="shared" ca="1" si="163"/>
        <v>138713349.40622103</v>
      </c>
      <c r="V264" s="106">
        <f t="shared" ref="V264:AO264" ca="1" si="208">U264+($AQ264-$U264)*INDEX(TailPayout,(V$8-$U$8)/12)</f>
        <v>139084098.33564401</v>
      </c>
      <c r="W264" s="106">
        <f t="shared" ca="1" si="208"/>
        <v>139425323.291354</v>
      </c>
      <c r="X264" s="106">
        <f t="shared" ca="1" si="208"/>
        <v>139740531.91517547</v>
      </c>
      <c r="Y264" s="106">
        <f t="shared" ca="1" si="208"/>
        <v>140032688.91050795</v>
      </c>
      <c r="Z264" s="106">
        <f t="shared" ca="1" si="208"/>
        <v>140304318.07419875</v>
      </c>
      <c r="AA264" s="106">
        <f t="shared" ca="1" si="208"/>
        <v>140557582.03109893</v>
      </c>
      <c r="AB264" s="106">
        <f t="shared" ca="1" si="208"/>
        <v>140794345.17612493</v>
      </c>
      <c r="AC264" s="106">
        <f t="shared" ca="1" si="208"/>
        <v>141016223.82466468</v>
      </c>
      <c r="AD264" s="106">
        <f t="shared" ca="1" si="208"/>
        <v>141224626.51595998</v>
      </c>
      <c r="AE264" s="106">
        <f t="shared" ca="1" si="208"/>
        <v>141420786.66210511</v>
      </c>
      <c r="AF264" s="106">
        <f t="shared" ca="1" si="208"/>
        <v>141605789.19306567</v>
      </c>
      <c r="AG264" s="106">
        <f t="shared" ca="1" si="208"/>
        <v>141780592.45250031</v>
      </c>
      <c r="AH264" s="106">
        <f t="shared" ca="1" si="208"/>
        <v>141946046.30733865</v>
      </c>
      <c r="AI264" s="106">
        <f t="shared" ca="1" si="208"/>
        <v>142102907.21658894</v>
      </c>
      <c r="AJ264" s="106">
        <f t="shared" ca="1" si="208"/>
        <v>142251850.84122011</v>
      </c>
      <c r="AK264" s="106">
        <f t="shared" ca="1" si="208"/>
        <v>142393482.65274641</v>
      </c>
      <c r="AL264" s="106">
        <f t="shared" ca="1" si="208"/>
        <v>142528346.90304312</v>
      </c>
      <c r="AM264" s="106">
        <f t="shared" ca="1" si="208"/>
        <v>142656934.24454477</v>
      </c>
      <c r="AN264" s="106">
        <f t="shared" ca="1" si="208"/>
        <v>142779688.2329278</v>
      </c>
      <c r="AO264" s="106">
        <f t="shared" ca="1" si="208"/>
        <v>142897010.89972025</v>
      </c>
      <c r="AQ264" s="59">
        <f t="shared" ca="1" si="161"/>
        <v>143009267.54707986</v>
      </c>
      <c r="AR264" s="43" t="e">
        <f ca="1">_xll.RiskOutput(CONCATENATE(A264," / Paid TNR"))+AQ264-AS264</f>
        <v>#NAME?</v>
      </c>
      <c r="AS264" s="43">
        <f>INDEX($B$9:$U$28,A264-(Inputs!$I$2-Inputs!$I$3)-1,Inputs!$I$2+1-A264)</f>
        <v>29073337.57</v>
      </c>
      <c r="AT264" s="43"/>
      <c r="AU264" s="43"/>
    </row>
    <row r="265" spans="1:47" x14ac:dyDescent="0.25">
      <c r="AQ265" s="7"/>
    </row>
    <row r="266" spans="1:47" x14ac:dyDescent="0.25">
      <c r="A266" s="43" t="s">
        <v>147</v>
      </c>
      <c r="B266" s="43">
        <f t="shared" ref="B266:U266" ca="1" si="209">(C264-B264+D263-C263+E262-D262+F261-E261+G260-F260+H259-G259+I258-H258+J257-I257+K256-J256+L255-K255+M254-L254+N253-M253+O252-N252+P251-O251+Q250-P250+R249-Q249+S248-R248+T247-S247+U246-T246+V245-U245)</f>
        <v>187994184.27882481</v>
      </c>
      <c r="C266" s="43">
        <f t="shared" ca="1" si="209"/>
        <v>147595718.56297517</v>
      </c>
      <c r="D266" s="43">
        <f t="shared" ca="1" si="209"/>
        <v>116435742.85565591</v>
      </c>
      <c r="E266" s="43">
        <f t="shared" ca="1" si="209"/>
        <v>153397610.31219745</v>
      </c>
      <c r="F266" s="43">
        <f t="shared" ca="1" si="209"/>
        <v>127604834.72731447</v>
      </c>
      <c r="G266" s="43">
        <f t="shared" ca="1" si="209"/>
        <v>108112593.1836158</v>
      </c>
      <c r="H266" s="43">
        <f t="shared" ca="1" si="209"/>
        <v>90283357.21538043</v>
      </c>
      <c r="I266" s="43">
        <f t="shared" ca="1" si="209"/>
        <v>95475064.153660774</v>
      </c>
      <c r="J266" s="43">
        <f t="shared" ca="1" si="209"/>
        <v>83255364.811792493</v>
      </c>
      <c r="K266" s="43">
        <f t="shared" ca="1" si="209"/>
        <v>72187697.72288084</v>
      </c>
      <c r="L266" s="43">
        <f t="shared" ca="1" si="209"/>
        <v>65167934.952127457</v>
      </c>
      <c r="M266" s="43">
        <f t="shared" ca="1" si="209"/>
        <v>80476482.015242696</v>
      </c>
      <c r="N266" s="43">
        <f t="shared" ca="1" si="209"/>
        <v>74804103.375842571</v>
      </c>
      <c r="O266" s="43">
        <f t="shared" ca="1" si="209"/>
        <v>64903031.791272283</v>
      </c>
      <c r="P266" s="43">
        <f t="shared" ca="1" si="209"/>
        <v>72132787.538441896</v>
      </c>
      <c r="Q266" s="43">
        <f t="shared" ca="1" si="209"/>
        <v>67281949.832569838</v>
      </c>
      <c r="R266" s="43">
        <f t="shared" ca="1" si="209"/>
        <v>61825288.359577656</v>
      </c>
      <c r="S266" s="43">
        <f t="shared" ca="1" si="209"/>
        <v>57676581.657631993</v>
      </c>
      <c r="T266" s="43">
        <f t="shared" ca="1" si="209"/>
        <v>59854131.56967783</v>
      </c>
      <c r="U266" s="43">
        <f t="shared" ca="1" si="209"/>
        <v>56011968.58467865</v>
      </c>
      <c r="V266" s="43">
        <f ca="1">(W264-V264+X263-W263+Y262-X262+Z261-Y261+AA260-Z260+AB259-AA259+AC258-AB258+AD257-AC257+AE256-AD256+AF255-AE255+AG254-AF254+AH253-AG253+AI252-AH252+AJ251-AI251+AK250-AJ250+AL249-AK249+AM248-AL248+AN247-AM247+AO246-AN246)</f>
        <v>52631119.956847787</v>
      </c>
      <c r="W266" s="43">
        <f ca="1">(X264-W264+Y263-X263+Z262-Y262+AA261-Z261+AB260-AA260+AC259-AB259+AD258-AC258+AE257-AD257+AF256-AE256+AG255-AF255+AH254-AG254+AI253-AH253+AJ252-AI252+AK251-AJ251+AL250-AK250+AM249-AL249+AN248-AM248+AO247-AN247)</f>
        <v>49486633.232702732</v>
      </c>
      <c r="X266" s="43">
        <f ca="1">(Y264-X264+Z263-Y263+AA262-Z262+AB261-AA261+AC260-AB260+AD259-AC259+AE258-AD258+AF257-AE257+AG256-AF256+AH255-AG255+AI254-AH254+AJ253-AI253+AK252-AJ252+AL251-AK251+AM250-AL250+AN249-AM249+AO248-AN248)</f>
        <v>45149795.523875475</v>
      </c>
      <c r="Y266" s="43">
        <f ca="1">(Z264-Y264+AA263-Z263+AB262-AA262+AC261-AB261+AD260-AC260+AE259-AD259+AF258-AE258+AG257-AF257+AH256-AG256+AI255-AH255+AJ254-AI254+AK253-AJ253+AL252-AK252+AM251-AL251+AN250-AM250+AO249-AN249)</f>
        <v>23929142.387310743</v>
      </c>
      <c r="Z266" s="43">
        <f ca="1">(AA264-Z264+AB263-AA263+AC262-AB262+AD261-AC261+AE260-AD260+AF259-AE259+AG258-AF258+AH257-AG257+AI256-AH256+AJ255-AI255+AK254-AJ254+AL253-AK253+AM252-AL252+AN251-AM251+AO250-AN250)</f>
        <v>22492953.454160213</v>
      </c>
      <c r="AA266" s="43">
        <f ca="1">(AB264-AA264+AC263-AB263+AD262-AC262+AE261-AD261+AF260-AE260+AG259-AF259+AH258-AG258+AI257-AH257+AJ256-AI256+AK255-AJ255+AL254-AK254+AM253-AL253+AN252-AM252+AO251-AN251)</f>
        <v>21169096.8253479</v>
      </c>
      <c r="AB266" s="43">
        <f ca="1">(AC264-AB264+AD263-AC263+AE262-AD262+AF261-AE261+AG260-AF260+AH259-AG259+AI258-AH258+AJ257-AI257+AK256-AJ256+AL255-AK255+AM254-AL254+AN253-AM253+AO252-AN252)</f>
        <v>19672004.485663056</v>
      </c>
      <c r="AC266" s="43">
        <f ca="1">(AD264-AC264+AE263-AD263+AF262-AE262+AG261-AF261+AH260-AG260+AI259-AH259+AJ258-AI258+AK257-AJ257+AL256-AK256+AM255-AL255+AN254-AM254+AO253-AN253)</f>
        <v>14943065.597147942</v>
      </c>
      <c r="AD266" s="43">
        <f ca="1">(AE264-AD264+AF263-AE263+AG262-AF262+AH261-AG261+AI260-AH260+AJ259-AI259+AK258-AJ258+AL257-AK257+AM256-AL256+AN255-AM255+AO254-AN254)</f>
        <v>13272648.037773371</v>
      </c>
      <c r="AE266" s="43">
        <f ca="1">(AF264-AE264+AG263-AF263+AH262-AG262+AI261-AH261+AJ260-AI260+AK259-AJ259+AL258-AK258+AM257-AL257+AN256-AM256+AO255-AN255)</f>
        <v>12580066.881731689</v>
      </c>
      <c r="AF266" s="43">
        <f ca="1">(AG264-AF264+AH263-AG263+AI262-AH262+AJ261-AI261+AK260-AJ260+AL259-AK259+AM258-AL258+AN257-AM257+AO256-AN256)</f>
        <v>11943499.702357411</v>
      </c>
      <c r="AG266" s="43">
        <f ca="1">(AH264-AG264+AI263-AH263+AJ262-AI262+AK261-AJ261+AL260-AK260+AM259-AL259+AN258-AM258+AO257-AN257)</f>
        <v>7770133.873952806</v>
      </c>
      <c r="AH266" s="43">
        <f ca="1">(AI264-AH264+AJ263-AI263+AK262-AJ262+AL261-AK261+AM260-AL260+AN259-AM259+AO258-AN258)</f>
        <v>6454777.7445206046</v>
      </c>
      <c r="AI266" s="43">
        <f ca="1">(AJ264-AI264+AK263-AJ263+AL262-AK262+AM261-AL261+AN260-AM260+AO259-AN259)</f>
        <v>5991534.9804344475</v>
      </c>
      <c r="AJ266" s="43">
        <f ca="1">(AK264-AJ264+AL263-AK263+AM262-AL262+AN261-AM261+AO260-AN260)</f>
        <v>3956905.3492825925</v>
      </c>
      <c r="AK266" s="43">
        <f ca="1">(AL264-AK264+AM263-AL263+AN262-AM262+AO261-AN261)</f>
        <v>2958993.4912205935</v>
      </c>
      <c r="AL266" s="43">
        <f ca="1">(AM264-AL264+AN263-AM263+AO262-AN262)</f>
        <v>2807532.9389850199</v>
      </c>
      <c r="AM266" s="43">
        <f ca="1">(AN264-AM264+AO263-AN263)</f>
        <v>2665662.5918265283</v>
      </c>
      <c r="AN266" s="43">
        <f ca="1">(AO264-AN264)</f>
        <v>117322.66679245234</v>
      </c>
      <c r="AQ266" s="11">
        <f ca="1">SUM(AQ245:AQ264)</f>
        <v>13012530293.039404</v>
      </c>
      <c r="AR266" s="11" t="e">
        <f ca="1">_xll.RiskOutput("Paid TNR Process")+SUM(AR245:AR264)</f>
        <v>#NAME?</v>
      </c>
      <c r="AS266" s="11">
        <f>SUM(AS245:AS264)</f>
        <v>10826803803.850002</v>
      </c>
      <c r="AT266" s="11"/>
    </row>
    <row r="267" spans="1:47" x14ac:dyDescent="0.25">
      <c r="A267" t="str">
        <f>"Discounted at "&amp;TEXT(Rate,"0.0%")</f>
        <v>Discounted at 2.5%</v>
      </c>
      <c r="B267" s="43">
        <f t="shared" ref="B267:AN267" ca="1" si="210">B266/(1+Rate)^(B8/12-0.05)</f>
        <v>183635542.43596223</v>
      </c>
      <c r="C267" s="43">
        <f t="shared" ca="1" si="210"/>
        <v>140657282.37499487</v>
      </c>
      <c r="D267" s="43">
        <f t="shared" ca="1" si="210"/>
        <v>108255735.59890074</v>
      </c>
      <c r="E267" s="43">
        <f t="shared" ca="1" si="210"/>
        <v>139142347.37240598</v>
      </c>
      <c r="F267" s="43">
        <f t="shared" ca="1" si="210"/>
        <v>112923412.96798804</v>
      </c>
      <c r="G267" s="43">
        <f t="shared" ca="1" si="210"/>
        <v>93340319.980458155</v>
      </c>
      <c r="H267" s="43">
        <f t="shared" ca="1" si="210"/>
        <v>76046080.617140695</v>
      </c>
      <c r="I267" s="43">
        <f t="shared" ca="1" si="210"/>
        <v>78457637.932799503</v>
      </c>
      <c r="J267" s="43">
        <f t="shared" ca="1" si="210"/>
        <v>66747289.271043748</v>
      </c>
      <c r="K267" s="43">
        <f t="shared" ca="1" si="210"/>
        <v>56462581.50230588</v>
      </c>
      <c r="L267" s="43">
        <f t="shared" ca="1" si="210"/>
        <v>49728760.353853084</v>
      </c>
      <c r="M267" s="43">
        <f t="shared" ca="1" si="210"/>
        <v>59912686.203609839</v>
      </c>
      <c r="N267" s="43">
        <f t="shared" ca="1" si="210"/>
        <v>54331458.662339978</v>
      </c>
      <c r="O267" s="43">
        <f t="shared" ca="1" si="210"/>
        <v>45990386.788702942</v>
      </c>
      <c r="P267" s="43">
        <f t="shared" ca="1" si="210"/>
        <v>49866734.321051314</v>
      </c>
      <c r="Q267" s="43">
        <f t="shared" ca="1" si="210"/>
        <v>45378790.454932682</v>
      </c>
      <c r="R267" s="43">
        <f t="shared" ca="1" si="210"/>
        <v>40681469.507547252</v>
      </c>
      <c r="S267" s="43">
        <f t="shared" ca="1" si="210"/>
        <v>37025943.081665568</v>
      </c>
      <c r="T267" s="43">
        <f t="shared" ca="1" si="210"/>
        <v>37486671.874041542</v>
      </c>
      <c r="U267" s="43">
        <f t="shared" ca="1" si="210"/>
        <v>34224705.675617732</v>
      </c>
      <c r="V267" s="43">
        <f t="shared" ca="1" si="210"/>
        <v>31374559.113363333</v>
      </c>
      <c r="W267" s="43">
        <f t="shared" ca="1" si="210"/>
        <v>28780548.252352811</v>
      </c>
      <c r="X267" s="43">
        <f t="shared" ca="1" si="210"/>
        <v>25617873.515970405</v>
      </c>
      <c r="Y267" s="43">
        <f t="shared" ca="1" si="210"/>
        <v>13246177.117227854</v>
      </c>
      <c r="Z267" s="43">
        <f t="shared" ca="1" si="210"/>
        <v>12147475.813337812</v>
      </c>
      <c r="AA267" s="43">
        <f t="shared" ca="1" si="210"/>
        <v>11153675.943074485</v>
      </c>
      <c r="AB267" s="43">
        <f t="shared" ca="1" si="210"/>
        <v>10112078.734579137</v>
      </c>
      <c r="AC267" s="43">
        <f t="shared" ca="1" si="210"/>
        <v>7493896.0612022923</v>
      </c>
      <c r="AD267" s="43">
        <f t="shared" ca="1" si="210"/>
        <v>6493841.3597742971</v>
      </c>
      <c r="AE267" s="43">
        <f t="shared" ca="1" si="210"/>
        <v>6004864.0793087296</v>
      </c>
      <c r="AF267" s="43">
        <f t="shared" ca="1" si="210"/>
        <v>5561961.3827966517</v>
      </c>
      <c r="AG267" s="43">
        <f t="shared" ca="1" si="210"/>
        <v>3530213.7501546335</v>
      </c>
      <c r="AH267" s="43">
        <f t="shared" ca="1" si="210"/>
        <v>2861079.5176286316</v>
      </c>
      <c r="AI267" s="43">
        <f t="shared" ca="1" si="210"/>
        <v>2590972.8916584463</v>
      </c>
      <c r="AJ267" s="43">
        <f t="shared" ca="1" si="210"/>
        <v>1669385.2289334135</v>
      </c>
      <c r="AK267" s="43">
        <f t="shared" ca="1" si="210"/>
        <v>1217926.4129151111</v>
      </c>
      <c r="AL267" s="43">
        <f t="shared" ca="1" si="210"/>
        <v>1127400.0092209652</v>
      </c>
      <c r="AM267" s="43">
        <f t="shared" ca="1" si="210"/>
        <v>1044322.1412057637</v>
      </c>
      <c r="AN267" s="43">
        <f t="shared" ca="1" si="210"/>
        <v>44842.247265814171</v>
      </c>
      <c r="AR267" s="11" t="e">
        <f ca="1">_xll.RiskOutput("TNR at "&amp;TEXT(Rate,"0.0%")&amp;" Discount")+SUM(AR245:AR264)*B269</f>
        <v>#NAME?</v>
      </c>
    </row>
    <row r="269" spans="1:47" x14ac:dyDescent="0.25">
      <c r="A269" t="s">
        <v>149</v>
      </c>
      <c r="B269" s="113" t="e">
        <f ca="1">SUM(B267:AN267)/SUM(B266:AN266)+_xll.RiskOutput("Discount Factor")</f>
        <v>#NAME?</v>
      </c>
      <c r="AR269" s="185" t="e">
        <f ca="1">_xll.RiskOutput("Paid TNR Process No Tail")+SUM(U245:U264)-AS266</f>
        <v>#NAME?</v>
      </c>
    </row>
    <row r="270" spans="1:47" x14ac:dyDescent="0.25">
      <c r="A270" t="str">
        <f>"Duration at "&amp;TEXT(Rate,"0.0%")</f>
        <v>Duration at 2.5%</v>
      </c>
      <c r="B270" s="113">
        <f ca="1">SUMPRODUCT(B267:AN267,B8:AN8)/SUM(B267:AN267)/12-0.05</f>
        <v>9.4239965649863979</v>
      </c>
    </row>
    <row r="271" spans="1:47" x14ac:dyDescent="0.25">
      <c r="A271" t="s">
        <v>150</v>
      </c>
      <c r="B271" s="113">
        <f ca="1">SUMPRODUCT(B266:AN266,B8:AN8)/SUM(B266:AN266)/12-0.05</f>
        <v>10.951424649023149</v>
      </c>
    </row>
    <row r="275" spans="43:43" x14ac:dyDescent="0.25">
      <c r="AQ275" s="7"/>
    </row>
  </sheetData>
  <phoneticPr fontId="4" type="noConversion"/>
  <printOptions horizontalCentered="1"/>
  <pageMargins left="0.75" right="0.75" top="1" bottom="1" header="0.5" footer="0.5"/>
  <pageSetup scale="16" orientation="landscape" r:id="rId1"/>
  <headerFooter alignWithMargins="0">
    <oddHeader>&amp;RDISTRIBUTION 88-01</oddHeader>
    <oddFooter>&amp;L&amp;F&amp;CPage &amp;P of &amp;N&amp;R&amp;A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716"/>
  <sheetViews>
    <sheetView tabSelected="1" workbookViewId="0">
      <pane xSplit="2" ySplit="2" topLeftCell="C4" activePane="bottomRight" state="frozen"/>
      <selection activeCell="A42" sqref="A42"/>
      <selection pane="topRight" activeCell="A42" sqref="A42"/>
      <selection pane="bottomLeft" activeCell="A42" sqref="A42"/>
      <selection pane="bottomRight" activeCell="C4" sqref="C4"/>
    </sheetView>
  </sheetViews>
  <sheetFormatPr defaultRowHeight="13.2" x14ac:dyDescent="0.25"/>
  <cols>
    <col min="3" max="4" width="14" bestFit="1" customWidth="1"/>
    <col min="5" max="5" width="17.33203125" bestFit="1" customWidth="1"/>
    <col min="6" max="6" width="17.77734375" bestFit="1" customWidth="1"/>
    <col min="7" max="7" width="15.6640625" customWidth="1"/>
    <col min="8" max="8" width="16.33203125" style="52" bestFit="1" customWidth="1"/>
    <col min="9" max="9" width="13.6640625" customWidth="1"/>
    <col min="10" max="10" width="10.77734375" bestFit="1" customWidth="1"/>
    <col min="12" max="12" width="15.77734375" bestFit="1" customWidth="1"/>
    <col min="13" max="13" width="11.44140625" bestFit="1" customWidth="1"/>
    <col min="14" max="14" width="13.77734375" bestFit="1" customWidth="1"/>
    <col min="15" max="16" width="13.77734375" customWidth="1"/>
    <col min="17" max="18" width="15.6640625" bestFit="1" customWidth="1"/>
    <col min="19" max="19" width="12" bestFit="1" customWidth="1"/>
  </cols>
  <sheetData>
    <row r="1" spans="1:18" x14ac:dyDescent="0.25">
      <c r="A1" s="134"/>
      <c r="B1" s="134"/>
      <c r="C1" s="134"/>
      <c r="D1" s="134"/>
      <c r="E1" s="134"/>
      <c r="F1" s="134"/>
      <c r="G1" s="134"/>
      <c r="L1" t="s">
        <v>265</v>
      </c>
    </row>
    <row r="2" spans="1:18" ht="14.4" x14ac:dyDescent="0.3">
      <c r="A2" s="156" t="s">
        <v>177</v>
      </c>
      <c r="B2" s="156" t="s">
        <v>178</v>
      </c>
      <c r="C2" s="156" t="s">
        <v>179</v>
      </c>
      <c r="D2" s="156" t="s">
        <v>180</v>
      </c>
      <c r="E2" s="156" t="s">
        <v>181</v>
      </c>
      <c r="F2" s="156" t="s">
        <v>182</v>
      </c>
      <c r="G2" s="156" t="s">
        <v>183</v>
      </c>
      <c r="H2" s="126" t="s">
        <v>207</v>
      </c>
      <c r="L2" t="s">
        <v>177</v>
      </c>
      <c r="M2" t="s">
        <v>178</v>
      </c>
      <c r="N2" t="s">
        <v>179</v>
      </c>
    </row>
    <row r="3" spans="1:18" ht="14.4" x14ac:dyDescent="0.3">
      <c r="A3" s="157" t="s">
        <v>231</v>
      </c>
      <c r="B3" s="158">
        <v>1995</v>
      </c>
      <c r="C3" s="186">
        <v>1610882</v>
      </c>
      <c r="D3" s="186">
        <v>159002.09</v>
      </c>
      <c r="E3" s="186">
        <v>-707515.83999999985</v>
      </c>
      <c r="F3" s="186">
        <f>$I3+$C3+D3</f>
        <v>535380884.08999997</v>
      </c>
      <c r="G3" s="186">
        <f>$I3+$C3+E3</f>
        <v>534514366.16000003</v>
      </c>
      <c r="H3" s="187">
        <f t="shared" ref="H3:H107" si="0">F3-D3-C3</f>
        <v>533611000</v>
      </c>
      <c r="I3" s="43">
        <f>VLOOKUP(A3,$L$3:$N$39,3,0)*1000</f>
        <v>533611000</v>
      </c>
      <c r="L3" t="s">
        <v>2</v>
      </c>
      <c r="M3">
        <v>1995</v>
      </c>
      <c r="N3">
        <v>610</v>
      </c>
      <c r="P3" t="s">
        <v>2</v>
      </c>
      <c r="Q3">
        <v>1995</v>
      </c>
      <c r="R3">
        <v>610</v>
      </c>
    </row>
    <row r="4" spans="1:18" ht="14.4" x14ac:dyDescent="0.3">
      <c r="A4" s="157" t="s">
        <v>231</v>
      </c>
      <c r="B4" s="158">
        <v>1996</v>
      </c>
      <c r="C4" s="188">
        <v>1260</v>
      </c>
      <c r="D4" s="188">
        <v>285223.18</v>
      </c>
      <c r="E4" s="188">
        <v>221269.63</v>
      </c>
      <c r="F4" s="188">
        <v>447694949.83999997</v>
      </c>
      <c r="G4" s="188">
        <v>447630996.28999996</v>
      </c>
      <c r="H4" s="187">
        <f t="shared" si="0"/>
        <v>447408466.65999997</v>
      </c>
      <c r="L4" t="s">
        <v>3</v>
      </c>
      <c r="M4">
        <v>1995</v>
      </c>
      <c r="N4">
        <v>0</v>
      </c>
      <c r="P4" t="s">
        <v>3</v>
      </c>
      <c r="Q4">
        <v>1995</v>
      </c>
      <c r="R4">
        <v>0</v>
      </c>
    </row>
    <row r="5" spans="1:18" ht="14.4" x14ac:dyDescent="0.3">
      <c r="A5" s="157" t="s">
        <v>231</v>
      </c>
      <c r="B5" s="158">
        <v>1997</v>
      </c>
      <c r="C5" s="188">
        <v>0</v>
      </c>
      <c r="D5" s="188">
        <v>250153.7</v>
      </c>
      <c r="E5" s="188">
        <v>124838.97</v>
      </c>
      <c r="F5" s="188">
        <v>649990847.50999999</v>
      </c>
      <c r="G5" s="188">
        <v>649865532.77999997</v>
      </c>
      <c r="H5" s="187">
        <f t="shared" si="0"/>
        <v>649740693.80999994</v>
      </c>
      <c r="L5" t="s">
        <v>4</v>
      </c>
      <c r="M5">
        <v>1995</v>
      </c>
      <c r="N5">
        <v>437359</v>
      </c>
      <c r="P5" t="s">
        <v>4</v>
      </c>
      <c r="Q5">
        <v>1995</v>
      </c>
      <c r="R5">
        <v>437359</v>
      </c>
    </row>
    <row r="6" spans="1:18" ht="14.4" x14ac:dyDescent="0.3">
      <c r="A6" s="157" t="s">
        <v>231</v>
      </c>
      <c r="B6" s="158">
        <v>1998</v>
      </c>
      <c r="C6" s="188">
        <v>176623</v>
      </c>
      <c r="D6" s="188">
        <v>-133908.00999999998</v>
      </c>
      <c r="E6" s="188">
        <v>-231714.11999999997</v>
      </c>
      <c r="F6" s="188">
        <v>701750853.78999984</v>
      </c>
      <c r="G6" s="188">
        <v>701653047.67999971</v>
      </c>
      <c r="H6" s="187">
        <f t="shared" si="0"/>
        <v>701708138.79999983</v>
      </c>
      <c r="L6" t="s">
        <v>5</v>
      </c>
      <c r="M6">
        <v>1995</v>
      </c>
      <c r="N6">
        <v>191033</v>
      </c>
      <c r="P6" t="s">
        <v>5</v>
      </c>
      <c r="Q6">
        <v>1995</v>
      </c>
      <c r="R6">
        <v>191033</v>
      </c>
    </row>
    <row r="7" spans="1:18" ht="14.4" x14ac:dyDescent="0.3">
      <c r="A7" s="157" t="s">
        <v>231</v>
      </c>
      <c r="B7" s="158">
        <v>1999</v>
      </c>
      <c r="C7" s="188">
        <v>955257</v>
      </c>
      <c r="D7" s="188">
        <v>-361517.88</v>
      </c>
      <c r="E7" s="188">
        <v>-159812.24999999988</v>
      </c>
      <c r="F7" s="188">
        <v>705670528.25000012</v>
      </c>
      <c r="G7" s="188">
        <v>705872233.88000023</v>
      </c>
      <c r="H7" s="187">
        <f t="shared" si="0"/>
        <v>705076789.13000011</v>
      </c>
      <c r="L7" t="s">
        <v>230</v>
      </c>
      <c r="M7">
        <v>1995</v>
      </c>
      <c r="N7">
        <v>803</v>
      </c>
      <c r="P7" t="s">
        <v>230</v>
      </c>
      <c r="Q7">
        <v>1995</v>
      </c>
      <c r="R7">
        <v>803</v>
      </c>
    </row>
    <row r="8" spans="1:18" ht="14.4" x14ac:dyDescent="0.3">
      <c r="A8" s="157" t="s">
        <v>231</v>
      </c>
      <c r="B8" s="158">
        <v>2000</v>
      </c>
      <c r="C8" s="188">
        <v>391514</v>
      </c>
      <c r="D8" s="188">
        <v>217970.3000000001</v>
      </c>
      <c r="E8" s="188">
        <v>177496.99000000002</v>
      </c>
      <c r="F8" s="188">
        <v>712278683.73999977</v>
      </c>
      <c r="G8" s="188">
        <v>712238210.42999995</v>
      </c>
      <c r="H8" s="187">
        <f t="shared" si="0"/>
        <v>711669199.43999982</v>
      </c>
      <c r="L8" t="s">
        <v>6</v>
      </c>
      <c r="M8">
        <v>1995</v>
      </c>
      <c r="N8">
        <v>10436</v>
      </c>
      <c r="P8" t="s">
        <v>6</v>
      </c>
      <c r="Q8">
        <v>1995</v>
      </c>
      <c r="R8">
        <v>10436</v>
      </c>
    </row>
    <row r="9" spans="1:18" ht="14.4" x14ac:dyDescent="0.3">
      <c r="A9" s="157" t="s">
        <v>231</v>
      </c>
      <c r="B9" s="158">
        <v>2001</v>
      </c>
      <c r="C9" s="188">
        <v>4870</v>
      </c>
      <c r="D9" s="188">
        <v>461229.13</v>
      </c>
      <c r="E9" s="188">
        <v>1257010.9100000001</v>
      </c>
      <c r="F9" s="188">
        <v>383766133.00000006</v>
      </c>
      <c r="G9" s="188">
        <v>384561914.78000015</v>
      </c>
      <c r="H9" s="187">
        <f t="shared" si="0"/>
        <v>383300033.87000006</v>
      </c>
      <c r="L9" t="s">
        <v>7</v>
      </c>
      <c r="M9">
        <v>1995</v>
      </c>
      <c r="N9">
        <v>26190</v>
      </c>
      <c r="P9" t="s">
        <v>7</v>
      </c>
      <c r="Q9">
        <v>1995</v>
      </c>
      <c r="R9">
        <v>26190</v>
      </c>
    </row>
    <row r="10" spans="1:18" ht="14.4" x14ac:dyDescent="0.3">
      <c r="A10" s="157" t="s">
        <v>231</v>
      </c>
      <c r="B10" s="158">
        <v>2002</v>
      </c>
      <c r="C10" s="188">
        <v>414243</v>
      </c>
      <c r="D10" s="188">
        <v>104115.65</v>
      </c>
      <c r="E10" s="188">
        <v>-25875.650000000081</v>
      </c>
      <c r="F10" s="188">
        <v>404586208.61000013</v>
      </c>
      <c r="G10" s="188">
        <v>404456217.31000012</v>
      </c>
      <c r="H10" s="187">
        <f t="shared" si="0"/>
        <v>404067849.96000016</v>
      </c>
      <c r="L10" t="s">
        <v>8</v>
      </c>
      <c r="M10">
        <v>1995</v>
      </c>
      <c r="N10">
        <v>6993</v>
      </c>
      <c r="P10" t="s">
        <v>8</v>
      </c>
      <c r="Q10">
        <v>1995</v>
      </c>
      <c r="R10">
        <v>6993</v>
      </c>
    </row>
    <row r="11" spans="1:18" ht="14.4" x14ac:dyDescent="0.3">
      <c r="A11" s="157" t="s">
        <v>231</v>
      </c>
      <c r="B11" s="158">
        <v>2003</v>
      </c>
      <c r="C11" s="188">
        <v>187860</v>
      </c>
      <c r="D11" s="188">
        <v>1459154.5599999998</v>
      </c>
      <c r="E11" s="188">
        <v>2955030.1700000004</v>
      </c>
      <c r="F11" s="188">
        <v>326549798.71999997</v>
      </c>
      <c r="G11" s="188">
        <v>328045674.32999998</v>
      </c>
      <c r="H11" s="187">
        <f t="shared" si="0"/>
        <v>324902784.15999997</v>
      </c>
      <c r="L11" t="s">
        <v>258</v>
      </c>
      <c r="M11">
        <v>1995</v>
      </c>
      <c r="N11">
        <v>748472</v>
      </c>
      <c r="P11" t="s">
        <v>258</v>
      </c>
      <c r="Q11">
        <v>1995</v>
      </c>
      <c r="R11">
        <v>748472</v>
      </c>
    </row>
    <row r="12" spans="1:18" ht="14.4" x14ac:dyDescent="0.3">
      <c r="A12" s="157" t="s">
        <v>231</v>
      </c>
      <c r="B12" s="158">
        <v>2004</v>
      </c>
      <c r="C12" s="188">
        <v>65851</v>
      </c>
      <c r="D12" s="188">
        <v>-175081.25</v>
      </c>
      <c r="E12" s="188">
        <v>-502449.45999999973</v>
      </c>
      <c r="F12" s="188">
        <v>409603697.36999995</v>
      </c>
      <c r="G12" s="188">
        <v>409276329.15999997</v>
      </c>
      <c r="H12" s="187">
        <f t="shared" si="0"/>
        <v>409712927.61999995</v>
      </c>
      <c r="L12" t="s">
        <v>266</v>
      </c>
      <c r="M12">
        <v>1995</v>
      </c>
      <c r="N12">
        <v>11809</v>
      </c>
      <c r="P12" t="s">
        <v>266</v>
      </c>
      <c r="Q12">
        <v>1995</v>
      </c>
      <c r="R12">
        <v>11809</v>
      </c>
    </row>
    <row r="13" spans="1:18" ht="14.4" x14ac:dyDescent="0.3">
      <c r="A13" s="157" t="s">
        <v>231</v>
      </c>
      <c r="B13" s="158">
        <v>2005</v>
      </c>
      <c r="C13" s="188">
        <v>1752760</v>
      </c>
      <c r="D13" s="188">
        <v>-317540.99</v>
      </c>
      <c r="E13" s="188">
        <v>883912.2300000001</v>
      </c>
      <c r="F13" s="188">
        <v>380670206.28000003</v>
      </c>
      <c r="G13" s="188">
        <v>381871659.5</v>
      </c>
      <c r="H13" s="187">
        <f t="shared" si="0"/>
        <v>379234987.27000004</v>
      </c>
      <c r="L13" t="s">
        <v>231</v>
      </c>
      <c r="M13">
        <v>1995</v>
      </c>
      <c r="N13">
        <v>533611</v>
      </c>
      <c r="P13" t="s">
        <v>231</v>
      </c>
      <c r="Q13">
        <v>1995</v>
      </c>
      <c r="R13">
        <v>533611</v>
      </c>
    </row>
    <row r="14" spans="1:18" ht="14.4" x14ac:dyDescent="0.3">
      <c r="A14" s="157" t="s">
        <v>231</v>
      </c>
      <c r="B14" s="158">
        <v>2006</v>
      </c>
      <c r="C14" s="188">
        <v>1209785</v>
      </c>
      <c r="D14" s="188">
        <v>242279.80000000005</v>
      </c>
      <c r="E14" s="188">
        <v>2464184.2400000007</v>
      </c>
      <c r="F14" s="188">
        <v>370751879.38</v>
      </c>
      <c r="G14" s="188">
        <v>372973783.81999999</v>
      </c>
      <c r="H14" s="187">
        <f t="shared" si="0"/>
        <v>369299814.57999998</v>
      </c>
      <c r="J14" s="43"/>
      <c r="K14" s="43"/>
      <c r="L14" t="s">
        <v>232</v>
      </c>
      <c r="M14">
        <v>1995</v>
      </c>
      <c r="N14">
        <v>773634</v>
      </c>
      <c r="P14" t="s">
        <v>232</v>
      </c>
      <c r="Q14">
        <v>1995</v>
      </c>
      <c r="R14">
        <v>773634</v>
      </c>
    </row>
    <row r="15" spans="1:18" ht="14.4" x14ac:dyDescent="0.3">
      <c r="A15" s="157" t="s">
        <v>231</v>
      </c>
      <c r="B15" s="158">
        <v>2007</v>
      </c>
      <c r="C15" s="188">
        <v>686943</v>
      </c>
      <c r="D15" s="188">
        <v>53795.520000000019</v>
      </c>
      <c r="E15" s="188">
        <v>2834605.96</v>
      </c>
      <c r="F15" s="188">
        <v>349219384.94999993</v>
      </c>
      <c r="G15" s="188">
        <v>352000195.39000005</v>
      </c>
      <c r="H15" s="187">
        <f t="shared" si="0"/>
        <v>348478646.42999995</v>
      </c>
      <c r="J15" s="43"/>
      <c r="K15" s="43"/>
      <c r="L15" t="s">
        <v>233</v>
      </c>
      <c r="M15">
        <v>1995</v>
      </c>
      <c r="N15">
        <v>892151</v>
      </c>
      <c r="P15" t="s">
        <v>233</v>
      </c>
      <c r="Q15">
        <v>1995</v>
      </c>
      <c r="R15">
        <v>892151</v>
      </c>
    </row>
    <row r="16" spans="1:18" ht="14.4" x14ac:dyDescent="0.3">
      <c r="A16" s="157" t="s">
        <v>231</v>
      </c>
      <c r="B16" s="158">
        <v>2008</v>
      </c>
      <c r="C16" s="188">
        <v>4137400</v>
      </c>
      <c r="D16" s="188">
        <v>-1095413.33</v>
      </c>
      <c r="E16" s="188">
        <v>1987319.6999999997</v>
      </c>
      <c r="F16" s="188">
        <v>299166382.51999998</v>
      </c>
      <c r="G16" s="188">
        <v>302249115.55000001</v>
      </c>
      <c r="H16" s="187">
        <f t="shared" si="0"/>
        <v>296124395.84999996</v>
      </c>
      <c r="J16" s="43"/>
      <c r="K16" s="43"/>
      <c r="L16" t="s">
        <v>234</v>
      </c>
      <c r="M16">
        <v>1995</v>
      </c>
      <c r="N16">
        <v>879</v>
      </c>
      <c r="P16" t="s">
        <v>234</v>
      </c>
      <c r="Q16">
        <v>1995</v>
      </c>
      <c r="R16">
        <v>879</v>
      </c>
    </row>
    <row r="17" spans="1:18" ht="14.4" x14ac:dyDescent="0.3">
      <c r="A17" s="157" t="s">
        <v>231</v>
      </c>
      <c r="B17" s="158">
        <v>2009</v>
      </c>
      <c r="C17" s="188">
        <v>1240136</v>
      </c>
      <c r="D17" s="188">
        <v>1661153.3399999999</v>
      </c>
      <c r="E17" s="188">
        <v>2944882.64</v>
      </c>
      <c r="F17" s="188">
        <v>292520234.24000001</v>
      </c>
      <c r="G17" s="188">
        <v>293803963.54000002</v>
      </c>
      <c r="H17" s="187">
        <f t="shared" si="0"/>
        <v>289618944.90000004</v>
      </c>
      <c r="J17" s="43"/>
      <c r="K17" s="43"/>
      <c r="L17" t="s">
        <v>235</v>
      </c>
      <c r="M17">
        <v>1995</v>
      </c>
      <c r="N17">
        <v>512431</v>
      </c>
      <c r="P17" t="s">
        <v>235</v>
      </c>
      <c r="Q17">
        <v>1995</v>
      </c>
      <c r="R17">
        <v>512431</v>
      </c>
    </row>
    <row r="18" spans="1:18" ht="14.4" x14ac:dyDescent="0.3">
      <c r="A18" s="157" t="s">
        <v>231</v>
      </c>
      <c r="B18" s="158">
        <v>2010</v>
      </c>
      <c r="C18" s="188">
        <v>6972630</v>
      </c>
      <c r="D18" s="188">
        <v>2393345.2399999998</v>
      </c>
      <c r="E18" s="188">
        <v>5363673.25</v>
      </c>
      <c r="F18" s="188">
        <v>294971792.55999994</v>
      </c>
      <c r="G18" s="188">
        <v>297942120.56999993</v>
      </c>
      <c r="H18" s="187">
        <f t="shared" si="0"/>
        <v>285605817.31999993</v>
      </c>
      <c r="J18" s="43"/>
      <c r="K18" s="43"/>
      <c r="L18" t="s">
        <v>236</v>
      </c>
      <c r="M18">
        <v>1995</v>
      </c>
      <c r="N18">
        <v>615003</v>
      </c>
      <c r="P18" t="s">
        <v>236</v>
      </c>
      <c r="Q18">
        <v>1995</v>
      </c>
      <c r="R18">
        <v>615003</v>
      </c>
    </row>
    <row r="19" spans="1:18" ht="14.4" x14ac:dyDescent="0.3">
      <c r="A19" s="157" t="s">
        <v>231</v>
      </c>
      <c r="B19" s="158">
        <v>2011</v>
      </c>
      <c r="C19" s="188">
        <v>15679804</v>
      </c>
      <c r="D19" s="188">
        <v>4272569.3600000003</v>
      </c>
      <c r="E19" s="188">
        <v>11433540.770000001</v>
      </c>
      <c r="F19" s="188">
        <v>305846464.24000001</v>
      </c>
      <c r="G19" s="188">
        <v>313007435.64999998</v>
      </c>
      <c r="H19" s="187">
        <f t="shared" si="0"/>
        <v>285894090.88</v>
      </c>
      <c r="J19" s="43"/>
      <c r="K19" s="43"/>
      <c r="L19" t="s">
        <v>237</v>
      </c>
      <c r="M19">
        <v>1995</v>
      </c>
      <c r="N19">
        <v>66559</v>
      </c>
      <c r="P19" t="s">
        <v>237</v>
      </c>
      <c r="Q19">
        <v>1995</v>
      </c>
      <c r="R19">
        <v>66559</v>
      </c>
    </row>
    <row r="20" spans="1:18" ht="14.4" x14ac:dyDescent="0.3">
      <c r="A20" s="157" t="s">
        <v>231</v>
      </c>
      <c r="B20" s="158">
        <v>2012</v>
      </c>
      <c r="C20" s="188">
        <v>30457230</v>
      </c>
      <c r="D20" s="188">
        <v>13187058.279999999</v>
      </c>
      <c r="E20" s="188">
        <v>13836112.410000004</v>
      </c>
      <c r="F20" s="188">
        <v>316968359.91000003</v>
      </c>
      <c r="G20" s="188">
        <v>317617414.03999996</v>
      </c>
      <c r="H20" s="187">
        <f t="shared" si="0"/>
        <v>273324071.63000005</v>
      </c>
      <c r="J20" s="43"/>
      <c r="K20" s="43"/>
      <c r="L20" t="s">
        <v>238</v>
      </c>
      <c r="M20">
        <v>1995</v>
      </c>
      <c r="N20">
        <v>88774</v>
      </c>
      <c r="P20" t="s">
        <v>238</v>
      </c>
      <c r="Q20">
        <v>1995</v>
      </c>
      <c r="R20">
        <v>88774</v>
      </c>
    </row>
    <row r="21" spans="1:18" ht="14.4" x14ac:dyDescent="0.3">
      <c r="A21" s="157" t="s">
        <v>231</v>
      </c>
      <c r="B21" s="158">
        <v>2013</v>
      </c>
      <c r="C21" s="188">
        <v>51564016</v>
      </c>
      <c r="D21" s="188">
        <v>44889130.279999994</v>
      </c>
      <c r="E21" s="188">
        <v>48084018.45000001</v>
      </c>
      <c r="F21" s="188">
        <v>277689246.57999992</v>
      </c>
      <c r="G21" s="188">
        <v>280884134.74999994</v>
      </c>
      <c r="H21" s="187">
        <f t="shared" si="0"/>
        <v>181236100.29999992</v>
      </c>
      <c r="J21" s="43"/>
      <c r="K21" s="43"/>
      <c r="L21" t="s">
        <v>239</v>
      </c>
      <c r="M21">
        <v>1995</v>
      </c>
      <c r="N21">
        <v>1177</v>
      </c>
      <c r="P21" t="s">
        <v>239</v>
      </c>
      <c r="Q21">
        <v>1995</v>
      </c>
      <c r="R21">
        <v>1177</v>
      </c>
    </row>
    <row r="22" spans="1:18" ht="14.4" x14ac:dyDescent="0.3">
      <c r="A22" s="157" t="s">
        <v>231</v>
      </c>
      <c r="B22" s="158">
        <v>2014</v>
      </c>
      <c r="C22" s="188">
        <v>53014377</v>
      </c>
      <c r="D22" s="188">
        <v>69432921.460000008</v>
      </c>
      <c r="E22" s="188">
        <v>75474888.859999999</v>
      </c>
      <c r="F22" s="188">
        <v>231778222.80000007</v>
      </c>
      <c r="G22" s="188">
        <v>237820190.20000005</v>
      </c>
      <c r="H22" s="187">
        <f t="shared" si="0"/>
        <v>109330924.34000006</v>
      </c>
      <c r="J22" s="43"/>
      <c r="K22" s="43"/>
      <c r="L22" t="s">
        <v>253</v>
      </c>
      <c r="M22">
        <v>1995</v>
      </c>
      <c r="N22">
        <v>284890</v>
      </c>
      <c r="P22" t="s">
        <v>253</v>
      </c>
      <c r="Q22">
        <v>1995</v>
      </c>
      <c r="R22">
        <v>284890</v>
      </c>
    </row>
    <row r="23" spans="1:18" ht="14.4" x14ac:dyDescent="0.3">
      <c r="A23" s="157" t="s">
        <v>231</v>
      </c>
      <c r="B23" s="158">
        <v>2015</v>
      </c>
      <c r="C23" s="188">
        <v>37497828.390000001</v>
      </c>
      <c r="D23" s="188">
        <v>94177632.109999999</v>
      </c>
      <c r="E23" s="188">
        <v>102898277.42999998</v>
      </c>
      <c r="F23" s="188">
        <v>186552762.24000001</v>
      </c>
      <c r="G23" s="188">
        <v>195273407.56000003</v>
      </c>
      <c r="H23" s="187">
        <f t="shared" si="0"/>
        <v>54877301.74000001</v>
      </c>
      <c r="J23" s="43"/>
      <c r="K23" s="43"/>
      <c r="L23" t="s">
        <v>254</v>
      </c>
      <c r="M23">
        <v>1995</v>
      </c>
      <c r="N23">
        <v>57526</v>
      </c>
      <c r="P23" t="s">
        <v>254</v>
      </c>
      <c r="Q23">
        <v>1995</v>
      </c>
      <c r="R23">
        <v>57526</v>
      </c>
    </row>
    <row r="24" spans="1:18" ht="14.4" x14ac:dyDescent="0.3">
      <c r="A24" s="157" t="s">
        <v>232</v>
      </c>
      <c r="B24" s="158">
        <v>1995</v>
      </c>
      <c r="C24" s="186">
        <v>465203030.44</v>
      </c>
      <c r="D24" s="186">
        <v>177617121.88</v>
      </c>
      <c r="E24" s="186">
        <v>174817330.75999999</v>
      </c>
      <c r="F24" s="186">
        <f>$I24+$C24+D24</f>
        <v>1416454152.3200002</v>
      </c>
      <c r="G24" s="186">
        <f>$I24+$C24+E24</f>
        <v>1413654361.2</v>
      </c>
      <c r="H24" s="187">
        <f t="shared" si="0"/>
        <v>773634000</v>
      </c>
      <c r="I24" s="43">
        <f>VLOOKUP(A24,$L$3:$N$39,3,0)*1000</f>
        <v>773634000</v>
      </c>
      <c r="L24" t="s">
        <v>240</v>
      </c>
      <c r="M24">
        <v>1995</v>
      </c>
      <c r="N24">
        <v>-541816</v>
      </c>
      <c r="P24" t="s">
        <v>240</v>
      </c>
      <c r="Q24">
        <v>1995</v>
      </c>
      <c r="R24">
        <v>-541816</v>
      </c>
    </row>
    <row r="25" spans="1:18" ht="14.4" x14ac:dyDescent="0.3">
      <c r="A25" s="157" t="s">
        <v>232</v>
      </c>
      <c r="B25" s="158">
        <v>1996</v>
      </c>
      <c r="C25" s="188">
        <v>30838158</v>
      </c>
      <c r="D25" s="188">
        <v>15660179.690000001</v>
      </c>
      <c r="E25" s="188">
        <v>14852506.98</v>
      </c>
      <c r="F25" s="188">
        <v>761146028.77999985</v>
      </c>
      <c r="G25" s="188">
        <v>760338356.07000005</v>
      </c>
      <c r="H25" s="187">
        <f t="shared" si="0"/>
        <v>714647691.08999979</v>
      </c>
      <c r="L25" t="s">
        <v>241</v>
      </c>
      <c r="M25">
        <v>1995</v>
      </c>
      <c r="N25">
        <v>0</v>
      </c>
      <c r="P25" t="s">
        <v>241</v>
      </c>
      <c r="Q25">
        <v>1995</v>
      </c>
      <c r="R25">
        <v>0</v>
      </c>
    </row>
    <row r="26" spans="1:18" ht="14.4" x14ac:dyDescent="0.3">
      <c r="A26" s="157" t="s">
        <v>232</v>
      </c>
      <c r="B26" s="158">
        <v>1997</v>
      </c>
      <c r="C26" s="188">
        <v>46041119</v>
      </c>
      <c r="D26" s="188">
        <v>16171622.339999998</v>
      </c>
      <c r="E26" s="188">
        <v>15876953.389999999</v>
      </c>
      <c r="F26" s="188">
        <v>893873908.1400001</v>
      </c>
      <c r="G26" s="188">
        <v>893579239.19000018</v>
      </c>
      <c r="H26" s="187">
        <f t="shared" si="0"/>
        <v>831661166.80000007</v>
      </c>
      <c r="L26" t="s">
        <v>242</v>
      </c>
      <c r="M26">
        <v>1995</v>
      </c>
      <c r="N26">
        <v>11588</v>
      </c>
      <c r="P26" t="s">
        <v>242</v>
      </c>
      <c r="Q26">
        <v>1995</v>
      </c>
      <c r="R26">
        <v>11588</v>
      </c>
    </row>
    <row r="27" spans="1:18" ht="14.4" x14ac:dyDescent="0.3">
      <c r="A27" s="157" t="s">
        <v>232</v>
      </c>
      <c r="B27" s="158">
        <v>1998</v>
      </c>
      <c r="C27" s="188">
        <v>53295136</v>
      </c>
      <c r="D27" s="188">
        <v>21005775.880000003</v>
      </c>
      <c r="E27" s="188">
        <v>20035603.239999998</v>
      </c>
      <c r="F27" s="188">
        <v>1071059554.0399991</v>
      </c>
      <c r="G27" s="188">
        <v>1070089381.3999991</v>
      </c>
      <c r="H27" s="187">
        <f t="shared" si="0"/>
        <v>996758642.15999913</v>
      </c>
      <c r="L27" t="s">
        <v>243</v>
      </c>
      <c r="M27">
        <v>1995</v>
      </c>
      <c r="N27">
        <v>443400</v>
      </c>
      <c r="P27" t="s">
        <v>243</v>
      </c>
      <c r="Q27">
        <v>1995</v>
      </c>
      <c r="R27">
        <v>443400</v>
      </c>
    </row>
    <row r="28" spans="1:18" ht="14.4" x14ac:dyDescent="0.3">
      <c r="A28" s="157" t="s">
        <v>232</v>
      </c>
      <c r="B28" s="158">
        <v>1999</v>
      </c>
      <c r="C28" s="188">
        <v>53565201</v>
      </c>
      <c r="D28" s="188">
        <v>18064089.029999997</v>
      </c>
      <c r="E28" s="188">
        <v>21563861.43</v>
      </c>
      <c r="F28" s="188">
        <v>908957235.56000006</v>
      </c>
      <c r="G28" s="188">
        <v>912457007.96000004</v>
      </c>
      <c r="H28" s="187">
        <f t="shared" si="0"/>
        <v>837327945.53000009</v>
      </c>
      <c r="L28" t="s">
        <v>244</v>
      </c>
      <c r="M28">
        <v>1995</v>
      </c>
      <c r="N28">
        <v>3470</v>
      </c>
      <c r="P28" t="s">
        <v>244</v>
      </c>
      <c r="Q28">
        <v>1995</v>
      </c>
      <c r="R28">
        <v>3470</v>
      </c>
    </row>
    <row r="29" spans="1:18" ht="14.4" x14ac:dyDescent="0.3">
      <c r="A29" s="157" t="s">
        <v>232</v>
      </c>
      <c r="B29" s="158">
        <v>2000</v>
      </c>
      <c r="C29" s="188">
        <v>59985392</v>
      </c>
      <c r="D29" s="188">
        <v>16917321.139999997</v>
      </c>
      <c r="E29" s="188">
        <v>21004499.509999998</v>
      </c>
      <c r="F29" s="188">
        <v>855505715.59999907</v>
      </c>
      <c r="G29" s="188">
        <v>859592893.96999884</v>
      </c>
      <c r="H29" s="187">
        <f t="shared" si="0"/>
        <v>778603002.45999908</v>
      </c>
      <c r="L29" t="s">
        <v>245</v>
      </c>
      <c r="M29">
        <v>1995</v>
      </c>
      <c r="N29">
        <v>9881</v>
      </c>
      <c r="P29" t="s">
        <v>245</v>
      </c>
      <c r="Q29">
        <v>1995</v>
      </c>
      <c r="R29">
        <v>9881</v>
      </c>
    </row>
    <row r="30" spans="1:18" ht="14.4" x14ac:dyDescent="0.3">
      <c r="A30" s="157" t="s">
        <v>232</v>
      </c>
      <c r="B30" s="158">
        <v>2001</v>
      </c>
      <c r="C30" s="188">
        <v>46729519.270000003</v>
      </c>
      <c r="D30" s="188">
        <v>28901773.789999999</v>
      </c>
      <c r="E30" s="188">
        <v>28049957.090000004</v>
      </c>
      <c r="F30" s="188">
        <v>709472794.62000012</v>
      </c>
      <c r="G30" s="188">
        <v>708620977.9200002</v>
      </c>
      <c r="H30" s="187">
        <f t="shared" si="0"/>
        <v>633841501.56000018</v>
      </c>
      <c r="L30" t="s">
        <v>246</v>
      </c>
      <c r="M30">
        <v>1995</v>
      </c>
      <c r="N30">
        <v>434</v>
      </c>
      <c r="P30" t="s">
        <v>246</v>
      </c>
      <c r="Q30">
        <v>1995</v>
      </c>
      <c r="R30">
        <v>434</v>
      </c>
    </row>
    <row r="31" spans="1:18" ht="14.4" x14ac:dyDescent="0.3">
      <c r="A31" s="157" t="s">
        <v>232</v>
      </c>
      <c r="B31" s="158">
        <v>2002</v>
      </c>
      <c r="C31" s="188">
        <v>57336995.5</v>
      </c>
      <c r="D31" s="188">
        <v>20578663.239999998</v>
      </c>
      <c r="E31" s="188">
        <v>22543843.110000003</v>
      </c>
      <c r="F31" s="188">
        <v>778526434.0799998</v>
      </c>
      <c r="G31" s="188">
        <v>780491613.94999969</v>
      </c>
      <c r="H31" s="187">
        <f t="shared" si="0"/>
        <v>700610775.33999979</v>
      </c>
      <c r="L31" t="s">
        <v>247</v>
      </c>
      <c r="M31">
        <v>1995</v>
      </c>
      <c r="N31">
        <v>113966</v>
      </c>
      <c r="P31" t="s">
        <v>247</v>
      </c>
      <c r="Q31">
        <v>1995</v>
      </c>
      <c r="R31">
        <v>113966</v>
      </c>
    </row>
    <row r="32" spans="1:18" ht="14.4" x14ac:dyDescent="0.3">
      <c r="A32" s="157" t="s">
        <v>232</v>
      </c>
      <c r="B32" s="158">
        <v>2003</v>
      </c>
      <c r="C32" s="188">
        <v>36926039.299999997</v>
      </c>
      <c r="D32" s="188">
        <v>23070201.799999997</v>
      </c>
      <c r="E32" s="188">
        <v>22621264.829999998</v>
      </c>
      <c r="F32" s="188">
        <v>600112694.86999989</v>
      </c>
      <c r="G32" s="188">
        <v>599663757.89999998</v>
      </c>
      <c r="H32" s="187">
        <f t="shared" si="0"/>
        <v>540116453.76999998</v>
      </c>
      <c r="L32" t="s">
        <v>248</v>
      </c>
      <c r="M32">
        <v>1995</v>
      </c>
      <c r="N32">
        <v>127919</v>
      </c>
      <c r="P32" t="s">
        <v>248</v>
      </c>
      <c r="Q32">
        <v>1995</v>
      </c>
      <c r="R32">
        <v>127919</v>
      </c>
    </row>
    <row r="33" spans="1:18" ht="14.4" x14ac:dyDescent="0.3">
      <c r="A33" s="157" t="s">
        <v>232</v>
      </c>
      <c r="B33" s="158">
        <v>2004</v>
      </c>
      <c r="C33" s="188">
        <v>38597816.470000006</v>
      </c>
      <c r="D33" s="188">
        <v>26139099.319999997</v>
      </c>
      <c r="E33" s="188">
        <v>28022691.690000001</v>
      </c>
      <c r="F33" s="188">
        <v>483925297.69</v>
      </c>
      <c r="G33" s="188">
        <v>485808890.06</v>
      </c>
      <c r="H33" s="187">
        <f t="shared" si="0"/>
        <v>419188381.89999998</v>
      </c>
      <c r="L33" t="s">
        <v>249</v>
      </c>
      <c r="M33">
        <v>1995</v>
      </c>
      <c r="N33">
        <v>0</v>
      </c>
      <c r="P33" t="s">
        <v>249</v>
      </c>
      <c r="Q33">
        <v>1995</v>
      </c>
      <c r="R33">
        <v>0</v>
      </c>
    </row>
    <row r="34" spans="1:18" ht="14.4" x14ac:dyDescent="0.3">
      <c r="A34" s="157" t="s">
        <v>232</v>
      </c>
      <c r="B34" s="158">
        <v>2005</v>
      </c>
      <c r="C34" s="188">
        <v>31915839.48</v>
      </c>
      <c r="D34" s="188">
        <v>19661409.559999999</v>
      </c>
      <c r="E34" s="188">
        <v>19439524.910000004</v>
      </c>
      <c r="F34" s="188">
        <v>389469507.05000013</v>
      </c>
      <c r="G34" s="188">
        <v>389247622.40000015</v>
      </c>
      <c r="H34" s="187">
        <f t="shared" si="0"/>
        <v>337892258.01000011</v>
      </c>
      <c r="L34" t="s">
        <v>250</v>
      </c>
      <c r="M34">
        <v>1995</v>
      </c>
      <c r="N34">
        <v>70264</v>
      </c>
      <c r="P34" t="s">
        <v>250</v>
      </c>
      <c r="Q34">
        <v>1995</v>
      </c>
      <c r="R34">
        <v>70264</v>
      </c>
    </row>
    <row r="35" spans="1:18" ht="14.4" x14ac:dyDescent="0.3">
      <c r="A35" s="157" t="s">
        <v>232</v>
      </c>
      <c r="B35" s="158">
        <v>2006</v>
      </c>
      <c r="C35" s="188">
        <v>31940263.800000001</v>
      </c>
      <c r="D35" s="188">
        <v>24745912.810000002</v>
      </c>
      <c r="E35" s="188">
        <v>31429518.41</v>
      </c>
      <c r="F35" s="188">
        <v>390001098.99000001</v>
      </c>
      <c r="G35" s="188">
        <v>396684704.59000003</v>
      </c>
      <c r="H35" s="187">
        <f t="shared" si="0"/>
        <v>333314922.38</v>
      </c>
      <c r="L35" t="s">
        <v>251</v>
      </c>
      <c r="M35">
        <v>1995</v>
      </c>
      <c r="N35">
        <v>1902</v>
      </c>
      <c r="P35" t="s">
        <v>251</v>
      </c>
      <c r="Q35">
        <v>1995</v>
      </c>
      <c r="R35">
        <v>1902</v>
      </c>
    </row>
    <row r="36" spans="1:18" ht="14.4" x14ac:dyDescent="0.3">
      <c r="A36" s="157" t="s">
        <v>232</v>
      </c>
      <c r="B36" s="158">
        <v>2007</v>
      </c>
      <c r="C36" s="188">
        <v>33853206.219999999</v>
      </c>
      <c r="D36" s="188">
        <v>35411951.530000001</v>
      </c>
      <c r="E36" s="188">
        <v>34044616.039999999</v>
      </c>
      <c r="F36" s="188">
        <v>445006405.46999997</v>
      </c>
      <c r="G36" s="188">
        <v>443639069.98000002</v>
      </c>
      <c r="H36" s="187">
        <f t="shared" si="0"/>
        <v>375741247.71999991</v>
      </c>
      <c r="L36" t="s">
        <v>252</v>
      </c>
      <c r="M36">
        <v>1995</v>
      </c>
      <c r="N36">
        <v>34509</v>
      </c>
      <c r="P36" t="s">
        <v>252</v>
      </c>
      <c r="Q36">
        <v>1995</v>
      </c>
      <c r="R36">
        <v>34509</v>
      </c>
    </row>
    <row r="37" spans="1:18" ht="14.4" x14ac:dyDescent="0.3">
      <c r="A37" s="157" t="s">
        <v>232</v>
      </c>
      <c r="B37" s="158">
        <v>2008</v>
      </c>
      <c r="C37" s="188">
        <v>34321239.649999999</v>
      </c>
      <c r="D37" s="188">
        <v>46153338.93</v>
      </c>
      <c r="E37" s="188">
        <v>44964715.469999999</v>
      </c>
      <c r="F37" s="188">
        <v>456834906.12</v>
      </c>
      <c r="G37" s="188">
        <v>455646282.66000003</v>
      </c>
      <c r="H37" s="187">
        <f t="shared" si="0"/>
        <v>376360327.54000002</v>
      </c>
      <c r="L37" t="s">
        <v>44</v>
      </c>
      <c r="M37">
        <v>1995</v>
      </c>
      <c r="N37">
        <v>14555</v>
      </c>
      <c r="P37" t="s">
        <v>44</v>
      </c>
      <c r="Q37">
        <v>1995</v>
      </c>
      <c r="R37">
        <v>14555</v>
      </c>
    </row>
    <row r="38" spans="1:18" ht="14.4" x14ac:dyDescent="0.3">
      <c r="A38" s="157" t="s">
        <v>232</v>
      </c>
      <c r="B38" s="158">
        <v>2009</v>
      </c>
      <c r="C38" s="188">
        <v>39180736.109999999</v>
      </c>
      <c r="D38" s="188">
        <v>50038646.829999998</v>
      </c>
      <c r="E38" s="188">
        <v>51770101.069999993</v>
      </c>
      <c r="F38" s="188">
        <v>418485012.64999998</v>
      </c>
      <c r="G38" s="188">
        <v>420216466.89000005</v>
      </c>
      <c r="H38" s="187">
        <f t="shared" si="0"/>
        <v>329265629.70999998</v>
      </c>
      <c r="L38" t="s">
        <v>45</v>
      </c>
      <c r="M38">
        <v>1995</v>
      </c>
      <c r="N38">
        <v>36653</v>
      </c>
      <c r="P38" t="s">
        <v>45</v>
      </c>
      <c r="Q38">
        <v>1995</v>
      </c>
      <c r="R38">
        <v>36653</v>
      </c>
    </row>
    <row r="39" spans="1:18" ht="14.4" x14ac:dyDescent="0.3">
      <c r="A39" s="157" t="s">
        <v>232</v>
      </c>
      <c r="B39" s="158">
        <v>2010</v>
      </c>
      <c r="C39" s="188">
        <v>59500230</v>
      </c>
      <c r="D39" s="188">
        <v>60140602.020000003</v>
      </c>
      <c r="E39" s="188">
        <v>61204145.149999999</v>
      </c>
      <c r="F39" s="188">
        <v>469391250.86000001</v>
      </c>
      <c r="G39" s="188">
        <v>470454793.99000001</v>
      </c>
      <c r="H39" s="187">
        <f t="shared" si="0"/>
        <v>349750418.84000003</v>
      </c>
      <c r="L39" t="s">
        <v>267</v>
      </c>
      <c r="M39">
        <v>1995</v>
      </c>
      <c r="N39">
        <v>51786</v>
      </c>
      <c r="P39" t="s">
        <v>267</v>
      </c>
      <c r="Q39">
        <v>1995</v>
      </c>
      <c r="R39">
        <v>51786</v>
      </c>
    </row>
    <row r="40" spans="1:18" ht="14.4" x14ac:dyDescent="0.3">
      <c r="A40" s="157" t="s">
        <v>232</v>
      </c>
      <c r="B40" s="158">
        <v>2011</v>
      </c>
      <c r="C40" s="188">
        <v>49621309</v>
      </c>
      <c r="D40" s="188">
        <v>70205988.269999996</v>
      </c>
      <c r="E40" s="188">
        <v>77537186.50999999</v>
      </c>
      <c r="F40" s="188">
        <v>414283375.37000006</v>
      </c>
      <c r="G40" s="188">
        <v>421614573.61000007</v>
      </c>
      <c r="H40" s="187">
        <f t="shared" si="0"/>
        <v>294456078.10000008</v>
      </c>
    </row>
    <row r="41" spans="1:18" ht="14.4" x14ac:dyDescent="0.3">
      <c r="A41" s="157" t="s">
        <v>232</v>
      </c>
      <c r="B41" s="158">
        <v>2012</v>
      </c>
      <c r="C41" s="188">
        <v>53524327</v>
      </c>
      <c r="D41" s="188">
        <v>86201363.00999999</v>
      </c>
      <c r="E41" s="188">
        <v>96175402.409999996</v>
      </c>
      <c r="F41" s="188">
        <v>367007365</v>
      </c>
      <c r="G41" s="188">
        <v>376981404.39999998</v>
      </c>
      <c r="H41" s="187">
        <f t="shared" si="0"/>
        <v>227281674.99000001</v>
      </c>
    </row>
    <row r="42" spans="1:18" ht="14.4" x14ac:dyDescent="0.3">
      <c r="A42" s="157" t="s">
        <v>232</v>
      </c>
      <c r="B42" s="158">
        <v>2013</v>
      </c>
      <c r="C42" s="188">
        <v>85771765</v>
      </c>
      <c r="D42" s="188">
        <v>96423664.169999972</v>
      </c>
      <c r="E42" s="188">
        <v>112517979.79000002</v>
      </c>
      <c r="F42" s="188">
        <v>370632689.4199999</v>
      </c>
      <c r="G42" s="188">
        <v>386727005.0399999</v>
      </c>
      <c r="H42" s="187">
        <f t="shared" si="0"/>
        <v>188437260.24999994</v>
      </c>
    </row>
    <row r="43" spans="1:18" ht="14.4" x14ac:dyDescent="0.3">
      <c r="A43" s="157" t="s">
        <v>232</v>
      </c>
      <c r="B43" s="158">
        <v>2014</v>
      </c>
      <c r="C43" s="188">
        <v>81758540</v>
      </c>
      <c r="D43" s="188">
        <v>128129963.21000001</v>
      </c>
      <c r="E43" s="188">
        <v>149339916.47</v>
      </c>
      <c r="F43" s="188">
        <v>332607081.5800001</v>
      </c>
      <c r="G43" s="188">
        <v>353817034.83999997</v>
      </c>
      <c r="H43" s="187">
        <f t="shared" si="0"/>
        <v>122718578.37000009</v>
      </c>
    </row>
    <row r="44" spans="1:18" ht="14.4" x14ac:dyDescent="0.3">
      <c r="A44" s="157" t="s">
        <v>232</v>
      </c>
      <c r="B44" s="158">
        <v>2015</v>
      </c>
      <c r="C44" s="188">
        <v>77776952</v>
      </c>
      <c r="D44" s="188">
        <v>191021237.74000001</v>
      </c>
      <c r="E44" s="188">
        <v>201953048.47</v>
      </c>
      <c r="F44" s="188">
        <v>311289941.61000001</v>
      </c>
      <c r="G44" s="188">
        <v>322221752.34000003</v>
      </c>
      <c r="H44" s="187">
        <f t="shared" si="0"/>
        <v>42491751.870000005</v>
      </c>
    </row>
    <row r="45" spans="1:18" ht="14.4" x14ac:dyDescent="0.3">
      <c r="A45" s="157" t="s">
        <v>233</v>
      </c>
      <c r="B45" s="158">
        <v>1995</v>
      </c>
      <c r="C45" s="186">
        <v>327556179</v>
      </c>
      <c r="D45" s="186">
        <v>171322973.53</v>
      </c>
      <c r="E45" s="186">
        <v>167980440.85000005</v>
      </c>
      <c r="F45" s="186">
        <f>$I45+$C45+D45</f>
        <v>1391030152.53</v>
      </c>
      <c r="G45" s="186">
        <f>$I45+$C45+E45</f>
        <v>1387687619.8500001</v>
      </c>
      <c r="H45" s="187">
        <f t="shared" ref="H45" si="1">F45-D45-C45</f>
        <v>892151000</v>
      </c>
      <c r="I45" s="43">
        <f>VLOOKUP(A45,$L$3:$N$39,3,0)*1000</f>
        <v>892151000</v>
      </c>
    </row>
    <row r="46" spans="1:18" ht="14.4" x14ac:dyDescent="0.3">
      <c r="A46" s="157" t="s">
        <v>233</v>
      </c>
      <c r="B46" s="158">
        <v>1996</v>
      </c>
      <c r="C46" s="188">
        <v>46761703</v>
      </c>
      <c r="D46" s="188">
        <v>21139127.620000001</v>
      </c>
      <c r="E46" s="188">
        <v>18723400.77</v>
      </c>
      <c r="F46" s="188">
        <v>1086724736.98</v>
      </c>
      <c r="G46" s="188">
        <v>1084309010.1300001</v>
      </c>
      <c r="H46" s="187">
        <f t="shared" si="0"/>
        <v>1018823906.36</v>
      </c>
    </row>
    <row r="47" spans="1:18" ht="14.4" x14ac:dyDescent="0.3">
      <c r="A47" s="157" t="s">
        <v>233</v>
      </c>
      <c r="B47" s="158">
        <v>1997</v>
      </c>
      <c r="C47" s="188">
        <v>66856636.600000001</v>
      </c>
      <c r="D47" s="188">
        <v>30331113.889999997</v>
      </c>
      <c r="E47" s="188">
        <v>26604877.720000003</v>
      </c>
      <c r="F47" s="188">
        <v>1299128700.3099999</v>
      </c>
      <c r="G47" s="188">
        <v>1295402464.1400001</v>
      </c>
      <c r="H47" s="187">
        <f t="shared" si="0"/>
        <v>1201940949.8199999</v>
      </c>
    </row>
    <row r="48" spans="1:18" ht="14.4" x14ac:dyDescent="0.3">
      <c r="A48" s="157" t="s">
        <v>233</v>
      </c>
      <c r="B48" s="158">
        <v>1998</v>
      </c>
      <c r="C48" s="188">
        <v>96152109</v>
      </c>
      <c r="D48" s="188">
        <v>41922066.399999999</v>
      </c>
      <c r="E48" s="188">
        <v>31601359.559999999</v>
      </c>
      <c r="F48" s="188">
        <v>1634323285.5599997</v>
      </c>
      <c r="G48" s="188">
        <v>1624002578.7199998</v>
      </c>
      <c r="H48" s="187">
        <f t="shared" si="0"/>
        <v>1496249110.1599996</v>
      </c>
    </row>
    <row r="49" spans="1:8" ht="14.4" x14ac:dyDescent="0.3">
      <c r="A49" s="157" t="s">
        <v>233</v>
      </c>
      <c r="B49" s="158">
        <v>1999</v>
      </c>
      <c r="C49" s="188">
        <v>91044267</v>
      </c>
      <c r="D49" s="188">
        <v>43798480.979999997</v>
      </c>
      <c r="E49" s="188">
        <v>21690253.469999999</v>
      </c>
      <c r="F49" s="188">
        <v>1728519185.27</v>
      </c>
      <c r="G49" s="188">
        <v>1706410957.7599998</v>
      </c>
      <c r="H49" s="187">
        <f t="shared" si="0"/>
        <v>1593676437.29</v>
      </c>
    </row>
    <row r="50" spans="1:8" ht="14.4" x14ac:dyDescent="0.3">
      <c r="A50" s="157" t="s">
        <v>233</v>
      </c>
      <c r="B50" s="158">
        <v>2000</v>
      </c>
      <c r="C50" s="188">
        <v>70514102</v>
      </c>
      <c r="D50" s="188">
        <v>60200347.580000006</v>
      </c>
      <c r="E50" s="188">
        <v>53318359.170000002</v>
      </c>
      <c r="F50" s="188">
        <v>1739210318.47</v>
      </c>
      <c r="G50" s="188">
        <v>1732328330.0600002</v>
      </c>
      <c r="H50" s="187">
        <f t="shared" si="0"/>
        <v>1608495868.8900001</v>
      </c>
    </row>
    <row r="51" spans="1:8" ht="14.4" x14ac:dyDescent="0.3">
      <c r="A51" s="157" t="s">
        <v>233</v>
      </c>
      <c r="B51" s="158">
        <v>2001</v>
      </c>
      <c r="C51" s="188">
        <v>109543110</v>
      </c>
      <c r="D51" s="188">
        <v>79167931.640000001</v>
      </c>
      <c r="E51" s="188">
        <v>71281007.86999999</v>
      </c>
      <c r="F51" s="188">
        <v>1843382264.3099997</v>
      </c>
      <c r="G51" s="188">
        <v>1835495340.5399997</v>
      </c>
      <c r="H51" s="187">
        <f t="shared" si="0"/>
        <v>1654671222.6699996</v>
      </c>
    </row>
    <row r="52" spans="1:8" ht="14.4" x14ac:dyDescent="0.3">
      <c r="A52" s="157" t="s">
        <v>233</v>
      </c>
      <c r="B52" s="158">
        <v>2002</v>
      </c>
      <c r="C52" s="188">
        <v>85788345</v>
      </c>
      <c r="D52" s="188">
        <v>86486724.839999974</v>
      </c>
      <c r="E52" s="188">
        <v>75140752.849999979</v>
      </c>
      <c r="F52" s="188">
        <v>1667767957.8600004</v>
      </c>
      <c r="G52" s="188">
        <v>1656421985.8700004</v>
      </c>
      <c r="H52" s="187">
        <f t="shared" si="0"/>
        <v>1495492888.0200005</v>
      </c>
    </row>
    <row r="53" spans="1:8" ht="14.4" x14ac:dyDescent="0.3">
      <c r="A53" s="157" t="s">
        <v>233</v>
      </c>
      <c r="B53" s="158">
        <v>2003</v>
      </c>
      <c r="C53" s="188">
        <v>49707157</v>
      </c>
      <c r="D53" s="188">
        <v>69692482.719999984</v>
      </c>
      <c r="E53" s="188">
        <v>71555938.309999987</v>
      </c>
      <c r="F53" s="188">
        <v>1069082060.4800001</v>
      </c>
      <c r="G53" s="188">
        <v>1070945516.0700001</v>
      </c>
      <c r="H53" s="187">
        <f t="shared" si="0"/>
        <v>949682420.76000011</v>
      </c>
    </row>
    <row r="54" spans="1:8" ht="14.4" x14ac:dyDescent="0.3">
      <c r="A54" s="157" t="s">
        <v>233</v>
      </c>
      <c r="B54" s="158">
        <v>2004</v>
      </c>
      <c r="C54" s="188">
        <v>46096783</v>
      </c>
      <c r="D54" s="188">
        <v>46507162.100000009</v>
      </c>
      <c r="E54" s="188">
        <v>46882427.460000001</v>
      </c>
      <c r="F54" s="188">
        <v>772622086.5999999</v>
      </c>
      <c r="G54" s="188">
        <v>772997351.95999992</v>
      </c>
      <c r="H54" s="187">
        <f t="shared" si="0"/>
        <v>680018141.49999988</v>
      </c>
    </row>
    <row r="55" spans="1:8" ht="14.4" x14ac:dyDescent="0.3">
      <c r="A55" s="157" t="s">
        <v>233</v>
      </c>
      <c r="B55" s="158">
        <v>2005</v>
      </c>
      <c r="C55" s="188">
        <v>20068172.32</v>
      </c>
      <c r="D55" s="188">
        <v>33692437.530000001</v>
      </c>
      <c r="E55" s="188">
        <v>36318266.469999999</v>
      </c>
      <c r="F55" s="188">
        <v>440445208.76999998</v>
      </c>
      <c r="G55" s="188">
        <v>443071037.70999998</v>
      </c>
      <c r="H55" s="187">
        <f t="shared" si="0"/>
        <v>386684598.92000002</v>
      </c>
    </row>
    <row r="56" spans="1:8" ht="14.4" x14ac:dyDescent="0.3">
      <c r="A56" s="157" t="s">
        <v>233</v>
      </c>
      <c r="B56" s="158">
        <v>2006</v>
      </c>
      <c r="C56" s="188">
        <v>23642902</v>
      </c>
      <c r="D56" s="188">
        <v>33401303.440000005</v>
      </c>
      <c r="E56" s="188">
        <v>35271817.520000003</v>
      </c>
      <c r="F56" s="188">
        <v>402114570.08999997</v>
      </c>
      <c r="G56" s="188">
        <v>403985084.17000002</v>
      </c>
      <c r="H56" s="187">
        <f t="shared" si="0"/>
        <v>345070364.64999998</v>
      </c>
    </row>
    <row r="57" spans="1:8" ht="14.4" x14ac:dyDescent="0.3">
      <c r="A57" s="157" t="s">
        <v>233</v>
      </c>
      <c r="B57" s="158">
        <v>2007</v>
      </c>
      <c r="C57" s="188">
        <v>20818992</v>
      </c>
      <c r="D57" s="188">
        <v>35453449.43</v>
      </c>
      <c r="E57" s="188">
        <v>37179073.969999999</v>
      </c>
      <c r="F57" s="188">
        <v>369468328.44000006</v>
      </c>
      <c r="G57" s="188">
        <v>371193952.98000002</v>
      </c>
      <c r="H57" s="187">
        <f t="shared" si="0"/>
        <v>313195887.01000005</v>
      </c>
    </row>
    <row r="58" spans="1:8" ht="14.4" x14ac:dyDescent="0.3">
      <c r="A58" s="157" t="s">
        <v>233</v>
      </c>
      <c r="B58" s="158">
        <v>2008</v>
      </c>
      <c r="C58" s="188">
        <v>34150951</v>
      </c>
      <c r="D58" s="188">
        <v>30142727.239999995</v>
      </c>
      <c r="E58" s="188">
        <v>30257687.689999998</v>
      </c>
      <c r="F58" s="188">
        <v>339979019.56999999</v>
      </c>
      <c r="G58" s="188">
        <v>340093980.01999998</v>
      </c>
      <c r="H58" s="187">
        <f t="shared" si="0"/>
        <v>275685341.32999998</v>
      </c>
    </row>
    <row r="59" spans="1:8" ht="14.4" x14ac:dyDescent="0.3">
      <c r="A59" s="157" t="s">
        <v>233</v>
      </c>
      <c r="B59" s="158">
        <v>2009</v>
      </c>
      <c r="C59" s="188">
        <v>17875664</v>
      </c>
      <c r="D59" s="188">
        <v>44228586.770000003</v>
      </c>
      <c r="E59" s="188">
        <v>42827203.789999999</v>
      </c>
      <c r="F59" s="188">
        <v>326828045.00999999</v>
      </c>
      <c r="G59" s="188">
        <v>325426662.02999997</v>
      </c>
      <c r="H59" s="187">
        <f t="shared" si="0"/>
        <v>264723794.24000001</v>
      </c>
    </row>
    <row r="60" spans="1:8" ht="14.4" x14ac:dyDescent="0.3">
      <c r="A60" s="157" t="s">
        <v>233</v>
      </c>
      <c r="B60" s="158">
        <v>2010</v>
      </c>
      <c r="C60" s="188">
        <v>22369139</v>
      </c>
      <c r="D60" s="188">
        <v>47743655.399999999</v>
      </c>
      <c r="E60" s="188">
        <v>44585509.869999997</v>
      </c>
      <c r="F60" s="188">
        <v>320346585.07999998</v>
      </c>
      <c r="G60" s="188">
        <v>317188439.54999995</v>
      </c>
      <c r="H60" s="187">
        <f t="shared" si="0"/>
        <v>250233790.68000001</v>
      </c>
    </row>
    <row r="61" spans="1:8" ht="14.4" x14ac:dyDescent="0.3">
      <c r="A61" s="157" t="s">
        <v>233</v>
      </c>
      <c r="B61" s="158">
        <v>2011</v>
      </c>
      <c r="C61" s="188">
        <v>26608160</v>
      </c>
      <c r="D61" s="188">
        <v>50877878.289999999</v>
      </c>
      <c r="E61" s="188">
        <v>49513976.689999998</v>
      </c>
      <c r="F61" s="188">
        <v>293642935.74000001</v>
      </c>
      <c r="G61" s="188">
        <v>292279034.13999999</v>
      </c>
      <c r="H61" s="187">
        <f t="shared" si="0"/>
        <v>216156897.45000002</v>
      </c>
    </row>
    <row r="62" spans="1:8" ht="14.4" x14ac:dyDescent="0.3">
      <c r="A62" s="157" t="s">
        <v>233</v>
      </c>
      <c r="B62" s="158">
        <v>2012</v>
      </c>
      <c r="C62" s="188">
        <v>40700791</v>
      </c>
      <c r="D62" s="188">
        <v>69788245.209999993</v>
      </c>
      <c r="E62" s="188">
        <v>70595109.74000001</v>
      </c>
      <c r="F62" s="188">
        <v>323799518.06999999</v>
      </c>
      <c r="G62" s="188">
        <v>324606382.59999996</v>
      </c>
      <c r="H62" s="187">
        <f t="shared" si="0"/>
        <v>213310481.86000001</v>
      </c>
    </row>
    <row r="63" spans="1:8" ht="14.4" x14ac:dyDescent="0.3">
      <c r="A63" s="157" t="s">
        <v>233</v>
      </c>
      <c r="B63" s="158">
        <v>2013</v>
      </c>
      <c r="C63" s="188">
        <v>36761355</v>
      </c>
      <c r="D63" s="188">
        <v>96440853.110000014</v>
      </c>
      <c r="E63" s="188">
        <v>102593449.22</v>
      </c>
      <c r="F63" s="188">
        <v>300980296.02999997</v>
      </c>
      <c r="G63" s="188">
        <v>307132892.14000005</v>
      </c>
      <c r="H63" s="187">
        <f t="shared" si="0"/>
        <v>167778087.91999996</v>
      </c>
    </row>
    <row r="64" spans="1:8" ht="14.4" x14ac:dyDescent="0.3">
      <c r="A64" s="157" t="s">
        <v>233</v>
      </c>
      <c r="B64" s="158">
        <v>2014</v>
      </c>
      <c r="C64" s="188">
        <v>47639664</v>
      </c>
      <c r="D64" s="188">
        <v>143238679.47</v>
      </c>
      <c r="E64" s="188">
        <v>147749484.57000002</v>
      </c>
      <c r="F64" s="188">
        <v>307486140.63999999</v>
      </c>
      <c r="G64" s="188">
        <v>311996945.74000001</v>
      </c>
      <c r="H64" s="187">
        <f t="shared" si="0"/>
        <v>116607797.16999999</v>
      </c>
    </row>
    <row r="65" spans="1:9" ht="14.4" x14ac:dyDescent="0.3">
      <c r="A65" s="157" t="s">
        <v>233</v>
      </c>
      <c r="B65" s="158">
        <v>2015</v>
      </c>
      <c r="C65" s="188">
        <v>41815900</v>
      </c>
      <c r="D65" s="188">
        <v>163326824.24000001</v>
      </c>
      <c r="E65" s="188">
        <v>169736099.50999999</v>
      </c>
      <c r="F65" s="188">
        <v>247101062.34999999</v>
      </c>
      <c r="G65" s="188">
        <v>253510337.62</v>
      </c>
      <c r="H65" s="187">
        <f t="shared" si="0"/>
        <v>41958338.109999985</v>
      </c>
    </row>
    <row r="66" spans="1:9" ht="14.4" x14ac:dyDescent="0.3">
      <c r="A66" s="157" t="s">
        <v>234</v>
      </c>
      <c r="B66" s="158">
        <v>1995</v>
      </c>
      <c r="C66" s="186">
        <v>2173606</v>
      </c>
      <c r="D66" s="186">
        <v>-1015711.06</v>
      </c>
      <c r="E66" s="186">
        <v>-1015711.06</v>
      </c>
      <c r="F66" s="186">
        <f>$I66+$C66+D66</f>
        <v>2036894.94</v>
      </c>
      <c r="G66" s="186">
        <f>$I66+$C66+E66</f>
        <v>2036894.94</v>
      </c>
      <c r="H66" s="187">
        <f t="shared" ref="H66" si="2">F66-D66-C66</f>
        <v>879000</v>
      </c>
      <c r="I66" s="43">
        <f>VLOOKUP(A66,$L$3:$N$39,3,0)*1000</f>
        <v>879000</v>
      </c>
    </row>
    <row r="67" spans="1:9" ht="14.4" x14ac:dyDescent="0.3">
      <c r="A67" s="157" t="s">
        <v>234</v>
      </c>
      <c r="B67" s="158">
        <v>1996</v>
      </c>
      <c r="C67" s="188"/>
      <c r="D67" s="188"/>
      <c r="E67" s="188"/>
      <c r="F67" s="188"/>
      <c r="G67" s="188"/>
      <c r="H67" s="187">
        <f t="shared" si="0"/>
        <v>0</v>
      </c>
    </row>
    <row r="68" spans="1:9" ht="14.4" x14ac:dyDescent="0.3">
      <c r="A68" s="157" t="s">
        <v>234</v>
      </c>
      <c r="B68" s="158">
        <v>1997</v>
      </c>
      <c r="C68" s="188"/>
      <c r="D68" s="188"/>
      <c r="E68" s="188"/>
      <c r="F68" s="188"/>
      <c r="G68" s="188"/>
      <c r="H68" s="187">
        <f t="shared" si="0"/>
        <v>0</v>
      </c>
    </row>
    <row r="69" spans="1:9" ht="14.4" x14ac:dyDescent="0.3">
      <c r="A69" s="157" t="s">
        <v>234</v>
      </c>
      <c r="B69" s="158">
        <v>1998</v>
      </c>
      <c r="C69" s="186"/>
      <c r="D69" s="186"/>
      <c r="E69" s="186"/>
      <c r="F69" s="186"/>
      <c r="G69" s="186"/>
      <c r="H69" s="187">
        <f t="shared" si="0"/>
        <v>0</v>
      </c>
    </row>
    <row r="70" spans="1:9" ht="14.4" x14ac:dyDescent="0.3">
      <c r="A70" s="157" t="s">
        <v>234</v>
      </c>
      <c r="B70" s="158">
        <v>1999</v>
      </c>
      <c r="C70" s="186">
        <v>0</v>
      </c>
      <c r="D70" s="186">
        <v>11200</v>
      </c>
      <c r="E70" s="189">
        <v>11200</v>
      </c>
      <c r="F70" s="186">
        <v>11200</v>
      </c>
      <c r="G70" s="186">
        <v>11200</v>
      </c>
      <c r="H70" s="187">
        <f t="shared" si="0"/>
        <v>0</v>
      </c>
    </row>
    <row r="71" spans="1:9" ht="14.4" x14ac:dyDescent="0.3">
      <c r="A71" s="157" t="s">
        <v>234</v>
      </c>
      <c r="B71" s="158">
        <v>2000</v>
      </c>
      <c r="C71" s="186">
        <v>0</v>
      </c>
      <c r="D71" s="186">
        <v>2460.1999999999998</v>
      </c>
      <c r="E71" s="189">
        <v>2460.1999999999998</v>
      </c>
      <c r="F71" s="186">
        <v>359720.7</v>
      </c>
      <c r="G71" s="186">
        <v>359720.7</v>
      </c>
      <c r="H71" s="187">
        <f t="shared" si="0"/>
        <v>357260.5</v>
      </c>
    </row>
    <row r="72" spans="1:9" ht="14.4" x14ac:dyDescent="0.3">
      <c r="A72" s="157" t="s">
        <v>234</v>
      </c>
      <c r="B72" s="158">
        <v>2001</v>
      </c>
      <c r="C72" s="186">
        <v>1879701</v>
      </c>
      <c r="D72" s="186">
        <v>21744.920000000002</v>
      </c>
      <c r="E72" s="189">
        <v>21744.920000000002</v>
      </c>
      <c r="F72" s="186">
        <v>3299618.5</v>
      </c>
      <c r="G72" s="186">
        <v>3299618.5</v>
      </c>
      <c r="H72" s="187">
        <f t="shared" si="0"/>
        <v>1398172.58</v>
      </c>
    </row>
    <row r="73" spans="1:9" ht="14.4" x14ac:dyDescent="0.3">
      <c r="A73" s="157" t="s">
        <v>234</v>
      </c>
      <c r="B73" s="158">
        <v>2002</v>
      </c>
      <c r="C73" s="188">
        <v>324159</v>
      </c>
      <c r="D73" s="188">
        <v>55579.450000000012</v>
      </c>
      <c r="E73" s="188">
        <v>55579.450000000012</v>
      </c>
      <c r="F73" s="188">
        <v>4163480.32</v>
      </c>
      <c r="G73" s="188">
        <v>4163480.32</v>
      </c>
      <c r="H73" s="187">
        <f t="shared" si="0"/>
        <v>3783741.8699999996</v>
      </c>
    </row>
    <row r="74" spans="1:9" ht="14.4" x14ac:dyDescent="0.3">
      <c r="A74" s="157" t="s">
        <v>234</v>
      </c>
      <c r="B74" s="158">
        <v>2003</v>
      </c>
      <c r="C74" s="188">
        <v>2848879</v>
      </c>
      <c r="D74" s="188">
        <v>-8708158.629999999</v>
      </c>
      <c r="E74" s="190">
        <v>-8708158.629999999</v>
      </c>
      <c r="F74" s="188">
        <v>8292993.8399999999</v>
      </c>
      <c r="G74" s="188">
        <v>8292993.8399999999</v>
      </c>
      <c r="H74" s="187">
        <f t="shared" si="0"/>
        <v>14152273.469999999</v>
      </c>
    </row>
    <row r="75" spans="1:9" ht="14.4" x14ac:dyDescent="0.3">
      <c r="A75" s="157" t="s">
        <v>234</v>
      </c>
      <c r="B75" s="158">
        <v>2004</v>
      </c>
      <c r="C75" s="188">
        <v>12480296</v>
      </c>
      <c r="D75" s="188">
        <v>-28540495.890000001</v>
      </c>
      <c r="E75" s="190">
        <v>-28540495.890000001</v>
      </c>
      <c r="F75" s="188">
        <v>27038605.450000003</v>
      </c>
      <c r="G75" s="188">
        <v>27038605.450000003</v>
      </c>
      <c r="H75" s="187">
        <f t="shared" si="0"/>
        <v>43098805.340000004</v>
      </c>
    </row>
    <row r="76" spans="1:9" ht="14.4" x14ac:dyDescent="0.3">
      <c r="A76" s="157" t="s">
        <v>234</v>
      </c>
      <c r="B76" s="158">
        <v>2005</v>
      </c>
      <c r="C76" s="188">
        <v>8672935</v>
      </c>
      <c r="D76" s="188">
        <v>-28681112.109999992</v>
      </c>
      <c r="E76" s="190">
        <v>-28730861.390000001</v>
      </c>
      <c r="F76" s="188">
        <v>28146098.420000002</v>
      </c>
      <c r="G76" s="188">
        <v>28096349.140000001</v>
      </c>
      <c r="H76" s="187">
        <f t="shared" si="0"/>
        <v>48154275.529999994</v>
      </c>
    </row>
    <row r="77" spans="1:9" ht="14.4" x14ac:dyDescent="0.3">
      <c r="A77" s="157" t="s">
        <v>234</v>
      </c>
      <c r="B77" s="158">
        <v>2006</v>
      </c>
      <c r="C77" s="188">
        <v>11846148</v>
      </c>
      <c r="D77" s="188">
        <v>-36102333.109999999</v>
      </c>
      <c r="E77" s="190">
        <v>-35973485.090000004</v>
      </c>
      <c r="F77" s="188">
        <v>53222613.200000003</v>
      </c>
      <c r="G77" s="188">
        <v>53351461.219999999</v>
      </c>
      <c r="H77" s="187">
        <f t="shared" si="0"/>
        <v>77478798.310000002</v>
      </c>
    </row>
    <row r="78" spans="1:9" ht="14.4" x14ac:dyDescent="0.3">
      <c r="A78" s="157" t="s">
        <v>234</v>
      </c>
      <c r="B78" s="158">
        <v>2007</v>
      </c>
      <c r="C78" s="188">
        <v>21939079</v>
      </c>
      <c r="D78" s="188">
        <v>-48529846.970000006</v>
      </c>
      <c r="E78" s="190">
        <v>-48558916.130000003</v>
      </c>
      <c r="F78" s="188">
        <v>72402374.640000001</v>
      </c>
      <c r="G78" s="188">
        <v>72373305.480000004</v>
      </c>
      <c r="H78" s="187">
        <f t="shared" si="0"/>
        <v>98993142.610000014</v>
      </c>
    </row>
    <row r="79" spans="1:9" ht="14.4" x14ac:dyDescent="0.3">
      <c r="A79" s="157" t="s">
        <v>234</v>
      </c>
      <c r="B79" s="158">
        <v>2008</v>
      </c>
      <c r="C79" s="188">
        <v>27745606</v>
      </c>
      <c r="D79" s="188">
        <v>-24573887.98</v>
      </c>
      <c r="E79" s="190">
        <v>-24572118.210000001</v>
      </c>
      <c r="F79" s="188">
        <v>95775173.890000001</v>
      </c>
      <c r="G79" s="188">
        <v>95776943.660000011</v>
      </c>
      <c r="H79" s="187">
        <f t="shared" si="0"/>
        <v>92603455.870000005</v>
      </c>
    </row>
    <row r="80" spans="1:9" ht="14.4" x14ac:dyDescent="0.3">
      <c r="A80" s="157" t="s">
        <v>234</v>
      </c>
      <c r="B80" s="158">
        <v>2009</v>
      </c>
      <c r="C80" s="188">
        <v>33032812</v>
      </c>
      <c r="D80" s="188">
        <v>-32436627.529999997</v>
      </c>
      <c r="E80" s="190">
        <v>-31374145.469999995</v>
      </c>
      <c r="F80" s="188">
        <v>125296241.02000001</v>
      </c>
      <c r="G80" s="188">
        <v>126358723.08000001</v>
      </c>
      <c r="H80" s="187">
        <f t="shared" si="0"/>
        <v>124700056.55000001</v>
      </c>
    </row>
    <row r="81" spans="1:9" ht="14.4" x14ac:dyDescent="0.3">
      <c r="A81" s="157" t="s">
        <v>234</v>
      </c>
      <c r="B81" s="158">
        <v>2010</v>
      </c>
      <c r="C81" s="188">
        <v>51655309</v>
      </c>
      <c r="D81" s="188">
        <v>-40010809.660000004</v>
      </c>
      <c r="E81" s="190">
        <v>-38806898.800000004</v>
      </c>
      <c r="F81" s="188">
        <v>162112138.75999999</v>
      </c>
      <c r="G81" s="188">
        <v>163316049.61999997</v>
      </c>
      <c r="H81" s="187">
        <f t="shared" si="0"/>
        <v>150467639.41999999</v>
      </c>
    </row>
    <row r="82" spans="1:9" ht="14.4" x14ac:dyDescent="0.3">
      <c r="A82" s="157" t="s">
        <v>234</v>
      </c>
      <c r="B82" s="158">
        <v>2011</v>
      </c>
      <c r="C82" s="188">
        <v>46507956</v>
      </c>
      <c r="D82" s="188">
        <v>-34508941.689999998</v>
      </c>
      <c r="E82" s="190">
        <v>-34099053.259999998</v>
      </c>
      <c r="F82" s="188">
        <v>162509199.38999999</v>
      </c>
      <c r="G82" s="188">
        <v>162919087.82000002</v>
      </c>
      <c r="H82" s="187">
        <f t="shared" si="0"/>
        <v>150510185.07999998</v>
      </c>
    </row>
    <row r="83" spans="1:9" ht="14.4" x14ac:dyDescent="0.3">
      <c r="A83" s="157" t="s">
        <v>234</v>
      </c>
      <c r="B83" s="158">
        <v>2012</v>
      </c>
      <c r="C83" s="188">
        <v>60828995</v>
      </c>
      <c r="D83" s="188">
        <v>-6179858.2000000011</v>
      </c>
      <c r="E83" s="190">
        <v>-4403318.7699999996</v>
      </c>
      <c r="F83" s="188">
        <v>210475321.76999998</v>
      </c>
      <c r="G83" s="188">
        <v>212251861.19999999</v>
      </c>
      <c r="H83" s="187">
        <f t="shared" si="0"/>
        <v>155826184.96999997</v>
      </c>
    </row>
    <row r="84" spans="1:9" ht="14.4" x14ac:dyDescent="0.3">
      <c r="A84" s="157" t="s">
        <v>234</v>
      </c>
      <c r="B84" s="158">
        <v>2013</v>
      </c>
      <c r="C84" s="188">
        <v>61341699</v>
      </c>
      <c r="D84" s="188">
        <v>-24178169.150000002</v>
      </c>
      <c r="E84" s="190">
        <v>-22906966.830000002</v>
      </c>
      <c r="F84" s="188">
        <v>131051534.26000001</v>
      </c>
      <c r="G84" s="188">
        <v>132322736.58</v>
      </c>
      <c r="H84" s="187">
        <f t="shared" si="0"/>
        <v>93888004.409999996</v>
      </c>
    </row>
    <row r="85" spans="1:9" ht="14.4" x14ac:dyDescent="0.3">
      <c r="A85" s="157" t="s">
        <v>234</v>
      </c>
      <c r="B85" s="158">
        <v>2014</v>
      </c>
      <c r="C85" s="188">
        <v>31078728</v>
      </c>
      <c r="D85" s="188">
        <v>4508250.0299999993</v>
      </c>
      <c r="E85" s="190">
        <v>860942.95</v>
      </c>
      <c r="F85" s="188">
        <v>55162054.020000003</v>
      </c>
      <c r="G85" s="188">
        <v>51514746.939999998</v>
      </c>
      <c r="H85" s="187">
        <f t="shared" si="0"/>
        <v>19575075.990000002</v>
      </c>
    </row>
    <row r="86" spans="1:9" ht="14.4" x14ac:dyDescent="0.3">
      <c r="A86" s="157" t="s">
        <v>234</v>
      </c>
      <c r="B86" s="158">
        <v>2015</v>
      </c>
      <c r="C86" s="188">
        <v>9985907</v>
      </c>
      <c r="D86" s="188">
        <v>10301487.939999999</v>
      </c>
      <c r="E86" s="190">
        <v>12007364.82</v>
      </c>
      <c r="F86" s="188">
        <v>23037774.68</v>
      </c>
      <c r="G86" s="188">
        <v>24743651.560000002</v>
      </c>
      <c r="H86" s="187">
        <f t="shared" si="0"/>
        <v>2750379.74</v>
      </c>
    </row>
    <row r="87" spans="1:9" ht="14.4" x14ac:dyDescent="0.3">
      <c r="A87" s="157" t="s">
        <v>235</v>
      </c>
      <c r="B87" s="158">
        <v>1995</v>
      </c>
      <c r="C87" s="186">
        <v>6411192</v>
      </c>
      <c r="D87" s="186">
        <v>2215177.4000000004</v>
      </c>
      <c r="E87" s="191">
        <v>1347744.43</v>
      </c>
      <c r="F87" s="186">
        <f>$I87+$C87+D87</f>
        <v>521057369.39999998</v>
      </c>
      <c r="G87" s="186">
        <f>$I87+$C87+E87</f>
        <v>520189936.43000001</v>
      </c>
      <c r="H87" s="187">
        <f t="shared" ref="H87" si="3">F87-D87-C87</f>
        <v>512431000</v>
      </c>
      <c r="I87" s="43">
        <f>VLOOKUP(A87,$L$3:$N$39,3,0)*1000</f>
        <v>512431000</v>
      </c>
    </row>
    <row r="88" spans="1:9" ht="14.4" x14ac:dyDescent="0.3">
      <c r="A88" s="157" t="s">
        <v>235</v>
      </c>
      <c r="B88" s="158">
        <v>1996</v>
      </c>
      <c r="C88" s="188">
        <v>12271</v>
      </c>
      <c r="D88" s="188">
        <v>1350019.3699999999</v>
      </c>
      <c r="E88" s="190">
        <v>-2247093.14</v>
      </c>
      <c r="F88" s="188">
        <v>534203575.03566706</v>
      </c>
      <c r="G88" s="188">
        <v>530606462.52566707</v>
      </c>
      <c r="H88" s="187">
        <f t="shared" si="0"/>
        <v>532841284.66566706</v>
      </c>
    </row>
    <row r="89" spans="1:9" ht="14.4" x14ac:dyDescent="0.3">
      <c r="A89" s="157" t="s">
        <v>235</v>
      </c>
      <c r="B89" s="158">
        <v>1997</v>
      </c>
      <c r="C89" s="188">
        <v>47650</v>
      </c>
      <c r="D89" s="188">
        <v>675108.26</v>
      </c>
      <c r="E89" s="190">
        <v>357157.5</v>
      </c>
      <c r="F89" s="188">
        <v>575511833.48075438</v>
      </c>
      <c r="G89" s="188">
        <v>575193882.72075438</v>
      </c>
      <c r="H89" s="187">
        <f t="shared" si="0"/>
        <v>574789075.22075438</v>
      </c>
    </row>
    <row r="90" spans="1:9" ht="14.4" x14ac:dyDescent="0.3">
      <c r="A90" s="157" t="s">
        <v>235</v>
      </c>
      <c r="B90" s="158">
        <v>1998</v>
      </c>
      <c r="C90" s="188">
        <v>778054</v>
      </c>
      <c r="D90" s="188">
        <v>1147618.9600000002</v>
      </c>
      <c r="E90" s="190">
        <v>-133742.95000000001</v>
      </c>
      <c r="F90" s="188">
        <v>601105118.66991162</v>
      </c>
      <c r="G90" s="188">
        <v>599823756.75991154</v>
      </c>
      <c r="H90" s="187">
        <f t="shared" si="0"/>
        <v>599179445.70991158</v>
      </c>
    </row>
    <row r="91" spans="1:9" ht="14.4" x14ac:dyDescent="0.3">
      <c r="A91" s="157" t="s">
        <v>235</v>
      </c>
      <c r="B91" s="158">
        <v>1999</v>
      </c>
      <c r="C91" s="188">
        <v>2254418</v>
      </c>
      <c r="D91" s="188">
        <v>1844510.33</v>
      </c>
      <c r="E91" s="190">
        <v>156905.99000000011</v>
      </c>
      <c r="F91" s="188">
        <v>694253996.48724306</v>
      </c>
      <c r="G91" s="188">
        <v>692566392.14724302</v>
      </c>
      <c r="H91" s="187">
        <f t="shared" si="0"/>
        <v>690155068.15724301</v>
      </c>
    </row>
    <row r="92" spans="1:9" ht="14.4" x14ac:dyDescent="0.3">
      <c r="A92" s="157" t="s">
        <v>235</v>
      </c>
      <c r="B92" s="158">
        <v>2000</v>
      </c>
      <c r="C92" s="188">
        <v>1392861</v>
      </c>
      <c r="D92" s="188">
        <v>1420640.81</v>
      </c>
      <c r="E92" s="192">
        <v>-213187.32999999996</v>
      </c>
      <c r="F92" s="188">
        <v>523978989.70000005</v>
      </c>
      <c r="G92" s="188">
        <v>522345161.55999994</v>
      </c>
      <c r="H92" s="187">
        <f t="shared" si="0"/>
        <v>521165487.89000005</v>
      </c>
    </row>
    <row r="93" spans="1:9" ht="14.4" x14ac:dyDescent="0.3">
      <c r="A93" s="157" t="s">
        <v>235</v>
      </c>
      <c r="B93" s="158">
        <v>2001</v>
      </c>
      <c r="C93" s="188">
        <v>1406632</v>
      </c>
      <c r="D93" s="188">
        <v>964103.72</v>
      </c>
      <c r="E93" s="188">
        <v>1754456.2400000002</v>
      </c>
      <c r="F93" s="188">
        <v>389631580.34999985</v>
      </c>
      <c r="G93" s="188">
        <v>390421932.86999989</v>
      </c>
      <c r="H93" s="187">
        <f t="shared" si="0"/>
        <v>387260844.62999982</v>
      </c>
    </row>
    <row r="94" spans="1:9" ht="14.4" x14ac:dyDescent="0.3">
      <c r="A94" s="157" t="s">
        <v>235</v>
      </c>
      <c r="B94" s="158">
        <v>2002</v>
      </c>
      <c r="C94" s="188">
        <v>587927</v>
      </c>
      <c r="D94" s="188">
        <v>849252.60000000009</v>
      </c>
      <c r="E94" s="188">
        <v>978246.58</v>
      </c>
      <c r="F94" s="188">
        <v>324069107.79000002</v>
      </c>
      <c r="G94" s="188">
        <v>324198101.76999998</v>
      </c>
      <c r="H94" s="187">
        <f t="shared" si="0"/>
        <v>322631928.19</v>
      </c>
    </row>
    <row r="95" spans="1:9" ht="14.4" x14ac:dyDescent="0.3">
      <c r="A95" s="157" t="s">
        <v>235</v>
      </c>
      <c r="B95" s="158">
        <v>2003</v>
      </c>
      <c r="C95" s="188">
        <v>89210</v>
      </c>
      <c r="D95" s="188">
        <v>2545497.79</v>
      </c>
      <c r="E95" s="188">
        <v>667244.54</v>
      </c>
      <c r="F95" s="188">
        <v>302003072.82000005</v>
      </c>
      <c r="G95" s="188">
        <v>300124819.56999993</v>
      </c>
      <c r="H95" s="187">
        <f t="shared" si="0"/>
        <v>299368365.03000003</v>
      </c>
    </row>
    <row r="96" spans="1:9" ht="14.4" x14ac:dyDescent="0.3">
      <c r="A96" s="157" t="s">
        <v>235</v>
      </c>
      <c r="B96" s="158">
        <v>2004</v>
      </c>
      <c r="C96" s="188">
        <v>647771</v>
      </c>
      <c r="D96" s="188">
        <v>3680991.35</v>
      </c>
      <c r="E96" s="188">
        <v>3393521.08</v>
      </c>
      <c r="F96" s="188">
        <v>269432795.25999999</v>
      </c>
      <c r="G96" s="188">
        <v>269145324.99000001</v>
      </c>
      <c r="H96" s="187">
        <f t="shared" si="0"/>
        <v>265104032.91</v>
      </c>
    </row>
    <row r="97" spans="1:9" ht="14.4" x14ac:dyDescent="0.3">
      <c r="A97" s="157" t="s">
        <v>235</v>
      </c>
      <c r="B97" s="158">
        <v>2005</v>
      </c>
      <c r="C97" s="188">
        <v>3303217</v>
      </c>
      <c r="D97" s="188">
        <v>4695551.08</v>
      </c>
      <c r="E97" s="188">
        <v>4465876.62</v>
      </c>
      <c r="F97" s="188">
        <v>284651089.09000003</v>
      </c>
      <c r="G97" s="188">
        <v>284421414.63</v>
      </c>
      <c r="H97" s="187">
        <f t="shared" si="0"/>
        <v>276652321.01000005</v>
      </c>
    </row>
    <row r="98" spans="1:9" ht="14.4" x14ac:dyDescent="0.3">
      <c r="A98" s="157" t="s">
        <v>235</v>
      </c>
      <c r="B98" s="158">
        <v>2006</v>
      </c>
      <c r="C98" s="188">
        <v>2883590</v>
      </c>
      <c r="D98" s="188">
        <v>6305135.9100000001</v>
      </c>
      <c r="E98" s="188">
        <v>7154999.9600000009</v>
      </c>
      <c r="F98" s="188">
        <v>288988250.32000005</v>
      </c>
      <c r="G98" s="188">
        <v>289838114.37</v>
      </c>
      <c r="H98" s="187">
        <f t="shared" si="0"/>
        <v>279799524.41000003</v>
      </c>
    </row>
    <row r="99" spans="1:9" ht="14.4" x14ac:dyDescent="0.3">
      <c r="A99" s="157" t="s">
        <v>235</v>
      </c>
      <c r="B99" s="158">
        <v>2007</v>
      </c>
      <c r="C99" s="188">
        <v>5338911</v>
      </c>
      <c r="D99" s="188">
        <v>7276994.8799999999</v>
      </c>
      <c r="E99" s="188">
        <v>9167309.7699999996</v>
      </c>
      <c r="F99" s="188">
        <v>297359506.42999995</v>
      </c>
      <c r="G99" s="188">
        <v>299249821.31999999</v>
      </c>
      <c r="H99" s="187">
        <f t="shared" si="0"/>
        <v>284743600.54999995</v>
      </c>
    </row>
    <row r="100" spans="1:9" ht="14.4" x14ac:dyDescent="0.3">
      <c r="A100" s="157" t="s">
        <v>235</v>
      </c>
      <c r="B100" s="158">
        <v>2008</v>
      </c>
      <c r="C100" s="188">
        <v>6461481</v>
      </c>
      <c r="D100" s="188">
        <v>7592363.8300000001</v>
      </c>
      <c r="E100" s="188">
        <v>8783421.4700000007</v>
      </c>
      <c r="F100" s="188">
        <v>323953164.95000005</v>
      </c>
      <c r="G100" s="188">
        <v>325144222.58999997</v>
      </c>
      <c r="H100" s="187">
        <f t="shared" si="0"/>
        <v>309899320.12000006</v>
      </c>
    </row>
    <row r="101" spans="1:9" ht="14.4" x14ac:dyDescent="0.3">
      <c r="A101" s="157" t="s">
        <v>235</v>
      </c>
      <c r="B101" s="158">
        <v>2009</v>
      </c>
      <c r="C101" s="188">
        <v>20112364</v>
      </c>
      <c r="D101" s="188">
        <v>12196743.900000002</v>
      </c>
      <c r="E101" s="188">
        <v>12543319.960000001</v>
      </c>
      <c r="F101" s="188">
        <v>320462777.77999997</v>
      </c>
      <c r="G101" s="188">
        <v>320809353.84000003</v>
      </c>
      <c r="H101" s="187">
        <f t="shared" si="0"/>
        <v>288153669.88</v>
      </c>
    </row>
    <row r="102" spans="1:9" ht="14.4" x14ac:dyDescent="0.3">
      <c r="A102" s="157" t="s">
        <v>235</v>
      </c>
      <c r="B102" s="158">
        <v>2010</v>
      </c>
      <c r="C102" s="188">
        <v>17444949</v>
      </c>
      <c r="D102" s="188">
        <v>15589968.130000001</v>
      </c>
      <c r="E102" s="188">
        <v>19571252.969999999</v>
      </c>
      <c r="F102" s="188">
        <v>306962615.19</v>
      </c>
      <c r="G102" s="188">
        <v>310943900.03000003</v>
      </c>
      <c r="H102" s="187">
        <f t="shared" si="0"/>
        <v>273927698.06</v>
      </c>
    </row>
    <row r="103" spans="1:9" ht="14.4" x14ac:dyDescent="0.3">
      <c r="A103" s="157" t="s">
        <v>235</v>
      </c>
      <c r="B103" s="158">
        <v>2011</v>
      </c>
      <c r="C103" s="188">
        <v>38120356</v>
      </c>
      <c r="D103" s="188">
        <v>22850852.099999998</v>
      </c>
      <c r="E103" s="188">
        <v>25142237.41</v>
      </c>
      <c r="F103" s="188">
        <v>301945994.88</v>
      </c>
      <c r="G103" s="188">
        <v>304237380.19</v>
      </c>
      <c r="H103" s="187">
        <f t="shared" si="0"/>
        <v>240974786.77999997</v>
      </c>
    </row>
    <row r="104" spans="1:9" ht="14.4" x14ac:dyDescent="0.3">
      <c r="A104" s="157" t="s">
        <v>235</v>
      </c>
      <c r="B104" s="158">
        <v>2012</v>
      </c>
      <c r="C104" s="188">
        <v>56980198</v>
      </c>
      <c r="D104" s="188">
        <v>38943670.780000001</v>
      </c>
      <c r="E104" s="188">
        <v>43214219.900000006</v>
      </c>
      <c r="F104" s="188">
        <v>281859362.94999999</v>
      </c>
      <c r="G104" s="188">
        <v>286129912.07000005</v>
      </c>
      <c r="H104" s="187">
        <f t="shared" si="0"/>
        <v>185935494.16999999</v>
      </c>
    </row>
    <row r="105" spans="1:9" ht="14.4" x14ac:dyDescent="0.3">
      <c r="A105" s="157" t="s">
        <v>235</v>
      </c>
      <c r="B105" s="158">
        <v>2013</v>
      </c>
      <c r="C105" s="188">
        <v>87798014</v>
      </c>
      <c r="D105" s="188">
        <v>88867181.75999999</v>
      </c>
      <c r="E105" s="188">
        <v>84216636.120000005</v>
      </c>
      <c r="F105" s="188">
        <v>314288280.90999997</v>
      </c>
      <c r="G105" s="188">
        <v>309637735.26999998</v>
      </c>
      <c r="H105" s="187">
        <f t="shared" si="0"/>
        <v>137623085.14999998</v>
      </c>
    </row>
    <row r="106" spans="1:9" ht="14.4" x14ac:dyDescent="0.3">
      <c r="A106" s="157" t="s">
        <v>235</v>
      </c>
      <c r="B106" s="158">
        <v>2014</v>
      </c>
      <c r="C106" s="188">
        <v>87409545</v>
      </c>
      <c r="D106" s="188">
        <v>146015707.75</v>
      </c>
      <c r="E106" s="188">
        <v>169810697.96000001</v>
      </c>
      <c r="F106" s="188">
        <v>295960340.59999996</v>
      </c>
      <c r="G106" s="188">
        <v>319755330.81</v>
      </c>
      <c r="H106" s="187">
        <f t="shared" si="0"/>
        <v>62535087.849999964</v>
      </c>
    </row>
    <row r="107" spans="1:9" ht="14.4" x14ac:dyDescent="0.3">
      <c r="A107" s="157" t="s">
        <v>235</v>
      </c>
      <c r="B107" s="158">
        <v>2015</v>
      </c>
      <c r="C107" s="188">
        <v>32700167</v>
      </c>
      <c r="D107" s="188">
        <v>208717432.81</v>
      </c>
      <c r="E107" s="188">
        <v>219606662.16000003</v>
      </c>
      <c r="F107" s="188">
        <v>255789064.75</v>
      </c>
      <c r="G107" s="188">
        <v>266678294.10000002</v>
      </c>
      <c r="H107" s="187">
        <f t="shared" si="0"/>
        <v>14371464.939999998</v>
      </c>
    </row>
    <row r="108" spans="1:9" ht="14.4" x14ac:dyDescent="0.3">
      <c r="A108" s="157" t="s">
        <v>236</v>
      </c>
      <c r="B108" s="158">
        <v>1995</v>
      </c>
      <c r="C108" s="186">
        <v>5742523</v>
      </c>
      <c r="D108" s="186">
        <v>8062807.4499999993</v>
      </c>
      <c r="E108" s="186">
        <v>1618519.5600000003</v>
      </c>
      <c r="F108" s="186">
        <f>$I108+$C108+D108</f>
        <v>628808330.45000005</v>
      </c>
      <c r="G108" s="186">
        <f>$I108+$C108+E108</f>
        <v>622364042.55999994</v>
      </c>
      <c r="H108" s="187">
        <f t="shared" ref="H108" si="4">F108-D108-C108</f>
        <v>615003000</v>
      </c>
      <c r="I108" s="43">
        <f>VLOOKUP(A108,$L$3:$N$39,3,0)*1000</f>
        <v>615003000</v>
      </c>
    </row>
    <row r="109" spans="1:9" ht="14.4" x14ac:dyDescent="0.3">
      <c r="A109" s="157" t="s">
        <v>236</v>
      </c>
      <c r="B109" s="158">
        <v>1996</v>
      </c>
      <c r="C109" s="188">
        <v>101002</v>
      </c>
      <c r="D109" s="188">
        <v>4926419.1500000004</v>
      </c>
      <c r="E109" s="188">
        <v>-521620.7899999998</v>
      </c>
      <c r="F109" s="188">
        <v>224983472.36427936</v>
      </c>
      <c r="G109" s="188">
        <v>219535432.42427933</v>
      </c>
      <c r="H109" s="187">
        <f t="shared" ref="H109:H172" si="5">F109-D109-C109</f>
        <v>219956051.21427935</v>
      </c>
    </row>
    <row r="110" spans="1:9" ht="14.4" x14ac:dyDescent="0.3">
      <c r="A110" s="157" t="s">
        <v>236</v>
      </c>
      <c r="B110" s="158">
        <v>1997</v>
      </c>
      <c r="C110" s="188">
        <v>722307</v>
      </c>
      <c r="D110" s="188">
        <v>1667753.1400000004</v>
      </c>
      <c r="E110" s="188">
        <v>2473765.41</v>
      </c>
      <c r="F110" s="188">
        <v>275158659.24468648</v>
      </c>
      <c r="G110" s="188">
        <v>275964671.51468652</v>
      </c>
      <c r="H110" s="187">
        <f t="shared" si="5"/>
        <v>272768599.1046865</v>
      </c>
    </row>
    <row r="111" spans="1:9" ht="14.4" x14ac:dyDescent="0.3">
      <c r="A111" s="157" t="s">
        <v>236</v>
      </c>
      <c r="B111" s="158">
        <v>1998</v>
      </c>
      <c r="C111" s="188">
        <v>1053768</v>
      </c>
      <c r="D111" s="188">
        <v>14434659.040000003</v>
      </c>
      <c r="E111" s="188">
        <v>15908909.329999998</v>
      </c>
      <c r="F111" s="188">
        <v>366104876.45337743</v>
      </c>
      <c r="G111" s="188">
        <v>367579126.74337733</v>
      </c>
      <c r="H111" s="187">
        <f t="shared" si="5"/>
        <v>350616449.4133774</v>
      </c>
    </row>
    <row r="112" spans="1:9" ht="14.4" x14ac:dyDescent="0.3">
      <c r="A112" s="157" t="s">
        <v>236</v>
      </c>
      <c r="B112" s="158">
        <v>1999</v>
      </c>
      <c r="C112" s="188">
        <v>2652150.7199999997</v>
      </c>
      <c r="D112" s="188">
        <v>16795902.540000003</v>
      </c>
      <c r="E112" s="188">
        <v>15224443.270000001</v>
      </c>
      <c r="F112" s="188">
        <v>476549938.46374983</v>
      </c>
      <c r="G112" s="188">
        <v>474978479.19374979</v>
      </c>
      <c r="H112" s="187">
        <f t="shared" si="5"/>
        <v>457101885.20374978</v>
      </c>
    </row>
    <row r="113" spans="1:8" ht="14.4" x14ac:dyDescent="0.3">
      <c r="A113" s="157" t="s">
        <v>236</v>
      </c>
      <c r="B113" s="158">
        <v>2000</v>
      </c>
      <c r="C113" s="188">
        <v>-364255.26</v>
      </c>
      <c r="D113" s="188">
        <v>14885577.879999999</v>
      </c>
      <c r="E113" s="188">
        <v>14266853.969999999</v>
      </c>
      <c r="F113" s="188">
        <v>396553594.60005867</v>
      </c>
      <c r="G113" s="188">
        <v>395934870.69005859</v>
      </c>
      <c r="H113" s="187">
        <f t="shared" si="5"/>
        <v>382032271.98005867</v>
      </c>
    </row>
    <row r="114" spans="1:8" ht="14.4" x14ac:dyDescent="0.3">
      <c r="A114" s="157" t="s">
        <v>236</v>
      </c>
      <c r="B114" s="158">
        <v>2001</v>
      </c>
      <c r="C114" s="188">
        <v>685966.64999999991</v>
      </c>
      <c r="D114" s="188">
        <v>10762265.590000002</v>
      </c>
      <c r="E114" s="188">
        <v>15484407.270000003</v>
      </c>
      <c r="F114" s="188">
        <v>354568542.87</v>
      </c>
      <c r="G114" s="188">
        <v>359290684.55000007</v>
      </c>
      <c r="H114" s="187">
        <f t="shared" si="5"/>
        <v>343120310.63000005</v>
      </c>
    </row>
    <row r="115" spans="1:8" ht="14.4" x14ac:dyDescent="0.3">
      <c r="A115" s="157" t="s">
        <v>236</v>
      </c>
      <c r="B115" s="158">
        <v>2002</v>
      </c>
      <c r="C115" s="188">
        <v>1227851</v>
      </c>
      <c r="D115" s="188">
        <v>721789.82</v>
      </c>
      <c r="E115" s="188">
        <v>-127278.23000000017</v>
      </c>
      <c r="F115" s="188">
        <v>151287449.53</v>
      </c>
      <c r="G115" s="188">
        <v>150438381.48000002</v>
      </c>
      <c r="H115" s="187">
        <f t="shared" si="5"/>
        <v>149337808.71000001</v>
      </c>
    </row>
    <row r="116" spans="1:8" ht="14.4" x14ac:dyDescent="0.3">
      <c r="A116" s="157" t="s">
        <v>236</v>
      </c>
      <c r="B116" s="158">
        <v>2003</v>
      </c>
      <c r="C116" s="188">
        <v>2037205</v>
      </c>
      <c r="D116" s="188">
        <v>-159600.47999999998</v>
      </c>
      <c r="E116" s="188">
        <v>2099226.19</v>
      </c>
      <c r="F116" s="188">
        <v>153174702.62</v>
      </c>
      <c r="G116" s="188">
        <v>155433529.28999999</v>
      </c>
      <c r="H116" s="187">
        <f t="shared" si="5"/>
        <v>151297098.09999999</v>
      </c>
    </row>
    <row r="117" spans="1:8" ht="14.4" x14ac:dyDescent="0.3">
      <c r="A117" s="157" t="s">
        <v>236</v>
      </c>
      <c r="B117" s="158">
        <v>2004</v>
      </c>
      <c r="C117" s="188">
        <v>2172129</v>
      </c>
      <c r="D117" s="188">
        <v>31833.920000000038</v>
      </c>
      <c r="E117" s="188">
        <v>6628678.3900000006</v>
      </c>
      <c r="F117" s="188">
        <v>155504292.85999998</v>
      </c>
      <c r="G117" s="188">
        <v>162101137.32999998</v>
      </c>
      <c r="H117" s="187">
        <f t="shared" si="5"/>
        <v>153300329.94</v>
      </c>
    </row>
    <row r="118" spans="1:8" ht="14.4" x14ac:dyDescent="0.3">
      <c r="A118" s="157" t="s">
        <v>236</v>
      </c>
      <c r="B118" s="158">
        <v>2005</v>
      </c>
      <c r="C118" s="188">
        <v>256305</v>
      </c>
      <c r="D118" s="188">
        <v>2593000.75</v>
      </c>
      <c r="E118" s="188">
        <v>10364235.34</v>
      </c>
      <c r="F118" s="188">
        <v>169926441.85000002</v>
      </c>
      <c r="G118" s="188">
        <v>177697676.43999997</v>
      </c>
      <c r="H118" s="187">
        <f t="shared" si="5"/>
        <v>167077136.10000002</v>
      </c>
    </row>
    <row r="119" spans="1:8" ht="14.4" x14ac:dyDescent="0.3">
      <c r="A119" s="157" t="s">
        <v>236</v>
      </c>
      <c r="B119" s="158">
        <v>2006</v>
      </c>
      <c r="C119" s="188">
        <v>2940186</v>
      </c>
      <c r="D119" s="188">
        <v>2760812.53</v>
      </c>
      <c r="E119" s="188">
        <v>3302977.92</v>
      </c>
      <c r="F119" s="188">
        <v>170449354.30000001</v>
      </c>
      <c r="G119" s="188">
        <v>170991519.68999994</v>
      </c>
      <c r="H119" s="187">
        <f t="shared" si="5"/>
        <v>164748355.77000001</v>
      </c>
    </row>
    <row r="120" spans="1:8" ht="14.4" x14ac:dyDescent="0.3">
      <c r="A120" s="157" t="s">
        <v>236</v>
      </c>
      <c r="B120" s="158">
        <v>2007</v>
      </c>
      <c r="C120" s="188">
        <v>4074867</v>
      </c>
      <c r="D120" s="188">
        <v>4603076.75</v>
      </c>
      <c r="E120" s="188">
        <v>4699737.5</v>
      </c>
      <c r="F120" s="188">
        <v>210079845.92999995</v>
      </c>
      <c r="G120" s="188">
        <v>210176506.67999998</v>
      </c>
      <c r="H120" s="187">
        <f t="shared" si="5"/>
        <v>201401902.17999995</v>
      </c>
    </row>
    <row r="121" spans="1:8" ht="14.4" x14ac:dyDescent="0.3">
      <c r="A121" s="157" t="s">
        <v>236</v>
      </c>
      <c r="B121" s="158">
        <v>2008</v>
      </c>
      <c r="C121" s="188">
        <v>6532803.7699999996</v>
      </c>
      <c r="D121" s="188">
        <v>10025125.580000002</v>
      </c>
      <c r="E121" s="188">
        <v>13170171.560000001</v>
      </c>
      <c r="F121" s="188">
        <v>214935935.55000001</v>
      </c>
      <c r="G121" s="188">
        <v>218080981.53</v>
      </c>
      <c r="H121" s="187">
        <f t="shared" si="5"/>
        <v>198378006.19999999</v>
      </c>
    </row>
    <row r="122" spans="1:8" ht="14.4" x14ac:dyDescent="0.3">
      <c r="A122" s="157" t="s">
        <v>236</v>
      </c>
      <c r="B122" s="158">
        <v>2009</v>
      </c>
      <c r="C122" s="188">
        <v>9588624</v>
      </c>
      <c r="D122" s="188">
        <v>7292392.8199999994</v>
      </c>
      <c r="E122" s="188">
        <v>12078616.700000001</v>
      </c>
      <c r="F122" s="188">
        <v>253250470.93999994</v>
      </c>
      <c r="G122" s="188">
        <v>258036694.81999996</v>
      </c>
      <c r="H122" s="187">
        <f t="shared" si="5"/>
        <v>236369454.11999995</v>
      </c>
    </row>
    <row r="123" spans="1:8" ht="14.4" x14ac:dyDescent="0.3">
      <c r="A123" s="157" t="s">
        <v>236</v>
      </c>
      <c r="B123" s="158">
        <v>2010</v>
      </c>
      <c r="C123" s="188">
        <v>21348019</v>
      </c>
      <c r="D123" s="188">
        <v>13938502.219999999</v>
      </c>
      <c r="E123" s="188">
        <v>19767942.879999999</v>
      </c>
      <c r="F123" s="188">
        <v>260643436.66000003</v>
      </c>
      <c r="G123" s="188">
        <v>266472877.31999996</v>
      </c>
      <c r="H123" s="187">
        <f t="shared" si="5"/>
        <v>225356915.44000003</v>
      </c>
    </row>
    <row r="124" spans="1:8" ht="14.4" x14ac:dyDescent="0.3">
      <c r="A124" s="157" t="s">
        <v>236</v>
      </c>
      <c r="B124" s="158">
        <v>2011</v>
      </c>
      <c r="C124" s="188">
        <v>29233955</v>
      </c>
      <c r="D124" s="188">
        <v>15608693.919999998</v>
      </c>
      <c r="E124" s="188">
        <v>37271949.149999991</v>
      </c>
      <c r="F124" s="188">
        <v>329809941.89000005</v>
      </c>
      <c r="G124" s="188">
        <v>351473197.12000012</v>
      </c>
      <c r="H124" s="187">
        <f t="shared" si="5"/>
        <v>284967292.97000003</v>
      </c>
    </row>
    <row r="125" spans="1:8" ht="14.4" x14ac:dyDescent="0.3">
      <c r="A125" s="157" t="s">
        <v>236</v>
      </c>
      <c r="B125" s="158">
        <v>2012</v>
      </c>
      <c r="C125" s="188">
        <v>39758707.75</v>
      </c>
      <c r="D125" s="188">
        <v>35931306.539999999</v>
      </c>
      <c r="E125" s="188">
        <v>42692831.86999999</v>
      </c>
      <c r="F125" s="188">
        <v>182499482.54000005</v>
      </c>
      <c r="G125" s="188">
        <v>189261007.86999995</v>
      </c>
      <c r="H125" s="187">
        <f t="shared" si="5"/>
        <v>106809468.25000006</v>
      </c>
    </row>
    <row r="126" spans="1:8" ht="14.4" x14ac:dyDescent="0.3">
      <c r="A126" s="157" t="s">
        <v>236</v>
      </c>
      <c r="B126" s="158">
        <v>2013</v>
      </c>
      <c r="C126" s="188">
        <v>52507253.93</v>
      </c>
      <c r="D126" s="188">
        <v>66177377.469999969</v>
      </c>
      <c r="E126" s="188">
        <v>57206639.210000001</v>
      </c>
      <c r="F126" s="188">
        <v>187180097.05000007</v>
      </c>
      <c r="G126" s="188">
        <v>178209358.78999999</v>
      </c>
      <c r="H126" s="187">
        <f t="shared" si="5"/>
        <v>68495465.650000095</v>
      </c>
    </row>
    <row r="127" spans="1:8" ht="14.4" x14ac:dyDescent="0.3">
      <c r="A127" s="157" t="s">
        <v>236</v>
      </c>
      <c r="B127" s="158">
        <v>2014</v>
      </c>
      <c r="C127" s="188">
        <v>52599820.480000004</v>
      </c>
      <c r="D127" s="188">
        <v>102469530.49999994</v>
      </c>
      <c r="E127" s="188">
        <v>90692793.199999988</v>
      </c>
      <c r="F127" s="188">
        <v>192761297.30999991</v>
      </c>
      <c r="G127" s="188">
        <v>180984560.00999999</v>
      </c>
      <c r="H127" s="187">
        <f t="shared" si="5"/>
        <v>37691946.329999968</v>
      </c>
    </row>
    <row r="128" spans="1:8" ht="14.4" x14ac:dyDescent="0.3">
      <c r="A128" s="157" t="s">
        <v>236</v>
      </c>
      <c r="B128" s="158">
        <v>2015</v>
      </c>
      <c r="C128" s="188">
        <v>14529143.129999999</v>
      </c>
      <c r="D128" s="188">
        <v>78719480.37000002</v>
      </c>
      <c r="E128" s="188">
        <v>83114780.719999984</v>
      </c>
      <c r="F128" s="188">
        <v>103175442.53999999</v>
      </c>
      <c r="G128" s="188">
        <v>107570742.88999997</v>
      </c>
      <c r="H128" s="187">
        <f t="shared" si="5"/>
        <v>9926819.039999973</v>
      </c>
    </row>
    <row r="129" spans="1:9" ht="14.4" x14ac:dyDescent="0.3">
      <c r="A129" s="157" t="s">
        <v>237</v>
      </c>
      <c r="B129" s="158">
        <v>1995</v>
      </c>
      <c r="C129" s="186">
        <v>10015589</v>
      </c>
      <c r="D129" s="186">
        <v>1824328.9200000004</v>
      </c>
      <c r="E129" s="186">
        <v>1646858.3000000005</v>
      </c>
      <c r="F129" s="186">
        <f>$I129+$C129+D129</f>
        <v>78398917.920000002</v>
      </c>
      <c r="G129" s="186">
        <f>$I129+$C129+E129</f>
        <v>78221447.299999997</v>
      </c>
      <c r="H129" s="187">
        <f t="shared" si="5"/>
        <v>66559000</v>
      </c>
      <c r="I129" s="43">
        <f>VLOOKUP(A129,$L$3:$N$39,3,0)*1000</f>
        <v>66559000</v>
      </c>
    </row>
    <row r="130" spans="1:9" ht="14.4" x14ac:dyDescent="0.3">
      <c r="A130" s="157" t="s">
        <v>237</v>
      </c>
      <c r="B130" s="158">
        <v>1996</v>
      </c>
      <c r="C130" s="188">
        <v>500403</v>
      </c>
      <c r="D130" s="188">
        <v>-490067.01</v>
      </c>
      <c r="E130" s="188">
        <v>-490168.01</v>
      </c>
      <c r="F130" s="188">
        <v>35087225.821425743</v>
      </c>
      <c r="G130" s="188">
        <v>35087124.821425743</v>
      </c>
      <c r="H130" s="187">
        <f t="shared" si="5"/>
        <v>35076889.831425741</v>
      </c>
    </row>
    <row r="131" spans="1:9" ht="14.4" x14ac:dyDescent="0.3">
      <c r="A131" s="157" t="s">
        <v>237</v>
      </c>
      <c r="B131" s="158">
        <v>1997</v>
      </c>
      <c r="C131" s="188">
        <v>202</v>
      </c>
      <c r="D131" s="188">
        <v>4356.91</v>
      </c>
      <c r="E131" s="188">
        <v>4798</v>
      </c>
      <c r="F131" s="188">
        <v>38809011.642128699</v>
      </c>
      <c r="G131" s="188">
        <v>38809452.732128695</v>
      </c>
      <c r="H131" s="187">
        <f t="shared" si="5"/>
        <v>38804452.732128702</v>
      </c>
    </row>
    <row r="132" spans="1:9" ht="14.4" x14ac:dyDescent="0.3">
      <c r="A132" s="157" t="s">
        <v>237</v>
      </c>
      <c r="B132" s="158">
        <v>1998</v>
      </c>
      <c r="C132" s="188">
        <v>200406</v>
      </c>
      <c r="D132" s="188">
        <v>60480.729999999996</v>
      </c>
      <c r="E132" s="188">
        <v>66092.92</v>
      </c>
      <c r="F132" s="188">
        <v>109482366.66</v>
      </c>
      <c r="G132" s="188">
        <v>109487978.84999999</v>
      </c>
      <c r="H132" s="187">
        <f t="shared" si="5"/>
        <v>109221479.92999999</v>
      </c>
    </row>
    <row r="133" spans="1:9" ht="14.4" x14ac:dyDescent="0.3">
      <c r="A133" s="157" t="s">
        <v>237</v>
      </c>
      <c r="B133" s="158">
        <v>1999</v>
      </c>
      <c r="C133" s="188">
        <v>107</v>
      </c>
      <c r="D133" s="188">
        <v>78035.61</v>
      </c>
      <c r="E133" s="188">
        <v>811277.54</v>
      </c>
      <c r="F133" s="188">
        <v>169601313.70999998</v>
      </c>
      <c r="G133" s="188">
        <v>170334555.63999999</v>
      </c>
      <c r="H133" s="187">
        <f t="shared" si="5"/>
        <v>169523171.09999996</v>
      </c>
    </row>
    <row r="134" spans="1:9" ht="14.4" x14ac:dyDescent="0.3">
      <c r="A134" s="157" t="s">
        <v>237</v>
      </c>
      <c r="B134" s="158">
        <v>2000</v>
      </c>
      <c r="C134" s="188">
        <v>1200105</v>
      </c>
      <c r="D134" s="188">
        <v>582330.30999999994</v>
      </c>
      <c r="E134" s="188">
        <v>581884.68999999994</v>
      </c>
      <c r="F134" s="188">
        <v>144178828.32999998</v>
      </c>
      <c r="G134" s="188">
        <v>144178382.71000001</v>
      </c>
      <c r="H134" s="187">
        <f t="shared" si="5"/>
        <v>142396393.01999998</v>
      </c>
    </row>
    <row r="135" spans="1:9" ht="14.4" x14ac:dyDescent="0.3">
      <c r="A135" s="157" t="s">
        <v>237</v>
      </c>
      <c r="B135" s="158">
        <v>2001</v>
      </c>
      <c r="C135" s="188">
        <v>3879485</v>
      </c>
      <c r="D135" s="188">
        <v>675649.07000000007</v>
      </c>
      <c r="E135" s="188">
        <v>2554828.71</v>
      </c>
      <c r="F135" s="188">
        <v>119024514.14</v>
      </c>
      <c r="G135" s="188">
        <v>120903693.78000002</v>
      </c>
      <c r="H135" s="187">
        <f t="shared" si="5"/>
        <v>114469380.07000001</v>
      </c>
    </row>
    <row r="136" spans="1:9" ht="14.4" x14ac:dyDescent="0.3">
      <c r="A136" s="157" t="s">
        <v>237</v>
      </c>
      <c r="B136" s="158">
        <v>2002</v>
      </c>
      <c r="C136" s="188">
        <v>2065215</v>
      </c>
      <c r="D136" s="188">
        <v>-287243.8</v>
      </c>
      <c r="E136" s="188">
        <v>419011.48000000004</v>
      </c>
      <c r="F136" s="188">
        <v>92029508.819999993</v>
      </c>
      <c r="G136" s="188">
        <v>92735764.099999994</v>
      </c>
      <c r="H136" s="187">
        <f t="shared" si="5"/>
        <v>90251537.61999999</v>
      </c>
    </row>
    <row r="137" spans="1:9" ht="14.4" x14ac:dyDescent="0.3">
      <c r="A137" s="157" t="s">
        <v>237</v>
      </c>
      <c r="B137" s="158">
        <v>2003</v>
      </c>
      <c r="C137" s="188">
        <v>4</v>
      </c>
      <c r="D137" s="188">
        <v>1920971.83</v>
      </c>
      <c r="E137" s="188">
        <v>2393974.1500000004</v>
      </c>
      <c r="F137" s="188">
        <v>46626930.939999998</v>
      </c>
      <c r="G137" s="188">
        <v>47099933.260000005</v>
      </c>
      <c r="H137" s="187">
        <f t="shared" si="5"/>
        <v>44705955.109999999</v>
      </c>
    </row>
    <row r="138" spans="1:9" ht="14.4" x14ac:dyDescent="0.3">
      <c r="A138" s="157" t="s">
        <v>237</v>
      </c>
      <c r="B138" s="158">
        <v>2004</v>
      </c>
      <c r="C138" s="188">
        <v>400000</v>
      </c>
      <c r="D138" s="188">
        <v>-199762.32</v>
      </c>
      <c r="E138" s="188">
        <v>925298.24</v>
      </c>
      <c r="F138" s="188">
        <v>53158204.049999997</v>
      </c>
      <c r="G138" s="188">
        <v>54283264.609999999</v>
      </c>
      <c r="H138" s="187">
        <f t="shared" si="5"/>
        <v>52957966.369999997</v>
      </c>
    </row>
    <row r="139" spans="1:9" ht="14.4" x14ac:dyDescent="0.3">
      <c r="A139" s="157" t="s">
        <v>237</v>
      </c>
      <c r="B139" s="158">
        <v>2005</v>
      </c>
      <c r="C139" s="188">
        <v>88</v>
      </c>
      <c r="D139" s="188">
        <v>-2121.010000000002</v>
      </c>
      <c r="E139" s="188">
        <v>2802736.7399999998</v>
      </c>
      <c r="F139" s="188">
        <v>31217181.839999996</v>
      </c>
      <c r="G139" s="188">
        <v>34022039.589999996</v>
      </c>
      <c r="H139" s="187">
        <f t="shared" si="5"/>
        <v>31219214.849999998</v>
      </c>
    </row>
    <row r="140" spans="1:9" ht="14.4" x14ac:dyDescent="0.3">
      <c r="A140" s="157" t="s">
        <v>237</v>
      </c>
      <c r="B140" s="158">
        <v>2006</v>
      </c>
      <c r="C140" s="188">
        <v>943901</v>
      </c>
      <c r="D140" s="188">
        <v>555617.78</v>
      </c>
      <c r="E140" s="188">
        <v>4384885.87</v>
      </c>
      <c r="F140" s="188">
        <v>41926135.739999995</v>
      </c>
      <c r="G140" s="188">
        <v>45755403.829999998</v>
      </c>
      <c r="H140" s="187">
        <f t="shared" si="5"/>
        <v>40426616.959999993</v>
      </c>
    </row>
    <row r="141" spans="1:9" ht="14.4" x14ac:dyDescent="0.3">
      <c r="A141" s="157" t="s">
        <v>237</v>
      </c>
      <c r="B141" s="158">
        <v>2007</v>
      </c>
      <c r="C141" s="188">
        <v>1912602</v>
      </c>
      <c r="D141" s="188">
        <v>652541.00000000012</v>
      </c>
      <c r="E141" s="188">
        <v>10102121.25</v>
      </c>
      <c r="F141" s="188">
        <v>72736254.909999996</v>
      </c>
      <c r="G141" s="188">
        <v>82185835.160000011</v>
      </c>
      <c r="H141" s="187">
        <f t="shared" si="5"/>
        <v>70171111.909999996</v>
      </c>
    </row>
    <row r="142" spans="1:9" ht="14.4" x14ac:dyDescent="0.3">
      <c r="A142" s="157" t="s">
        <v>237</v>
      </c>
      <c r="B142" s="158">
        <v>2008</v>
      </c>
      <c r="C142" s="188">
        <v>722369</v>
      </c>
      <c r="D142" s="188">
        <v>510484.65999999992</v>
      </c>
      <c r="E142" s="188">
        <v>6437071.7699999996</v>
      </c>
      <c r="F142" s="188">
        <v>78186579.510000005</v>
      </c>
      <c r="G142" s="188">
        <v>84113166.620000005</v>
      </c>
      <c r="H142" s="187">
        <f t="shared" si="5"/>
        <v>76953725.850000009</v>
      </c>
    </row>
    <row r="143" spans="1:9" ht="14.4" x14ac:dyDescent="0.3">
      <c r="A143" s="157" t="s">
        <v>237</v>
      </c>
      <c r="B143" s="158">
        <v>2009</v>
      </c>
      <c r="C143" s="188">
        <v>4118668</v>
      </c>
      <c r="D143" s="188">
        <v>6022084.4000000004</v>
      </c>
      <c r="E143" s="188">
        <v>8817328.5600000005</v>
      </c>
      <c r="F143" s="188">
        <v>103911170.31999999</v>
      </c>
      <c r="G143" s="188">
        <v>106706414.47999999</v>
      </c>
      <c r="H143" s="187">
        <f t="shared" si="5"/>
        <v>93770417.919999987</v>
      </c>
    </row>
    <row r="144" spans="1:9" ht="14.4" x14ac:dyDescent="0.3">
      <c r="A144" s="157" t="s">
        <v>237</v>
      </c>
      <c r="B144" s="158">
        <v>2010</v>
      </c>
      <c r="C144" s="188">
        <v>12480182</v>
      </c>
      <c r="D144" s="188">
        <v>9286600.8800000008</v>
      </c>
      <c r="E144" s="188">
        <v>15617008.960000001</v>
      </c>
      <c r="F144" s="188">
        <v>132396450.19999999</v>
      </c>
      <c r="G144" s="188">
        <v>138726858.28</v>
      </c>
      <c r="H144" s="187">
        <f t="shared" si="5"/>
        <v>110629667.31999999</v>
      </c>
    </row>
    <row r="145" spans="1:11" ht="14.4" x14ac:dyDescent="0.3">
      <c r="A145" s="157" t="s">
        <v>237</v>
      </c>
      <c r="B145" s="158">
        <v>2011</v>
      </c>
      <c r="C145" s="188">
        <v>16462374</v>
      </c>
      <c r="D145" s="188">
        <v>16923233.630000003</v>
      </c>
      <c r="E145" s="188">
        <v>11119155.399999999</v>
      </c>
      <c r="F145" s="188">
        <v>148387064</v>
      </c>
      <c r="G145" s="188">
        <v>142582985.76999998</v>
      </c>
      <c r="H145" s="187">
        <f t="shared" si="5"/>
        <v>115001456.37</v>
      </c>
    </row>
    <row r="146" spans="1:11" ht="14.4" x14ac:dyDescent="0.3">
      <c r="A146" s="157" t="s">
        <v>237</v>
      </c>
      <c r="B146" s="158">
        <v>2012</v>
      </c>
      <c r="C146" s="188">
        <v>28293285</v>
      </c>
      <c r="D146" s="188">
        <v>39654043.699999996</v>
      </c>
      <c r="E146" s="188">
        <v>44340446.390000001</v>
      </c>
      <c r="F146" s="188">
        <v>144941054.93000001</v>
      </c>
      <c r="G146" s="188">
        <v>149627457.62</v>
      </c>
      <c r="H146" s="187">
        <f t="shared" si="5"/>
        <v>76993726.230000019</v>
      </c>
    </row>
    <row r="147" spans="1:11" ht="14.4" x14ac:dyDescent="0.3">
      <c r="A147" s="157" t="s">
        <v>237</v>
      </c>
      <c r="B147" s="158">
        <v>2013</v>
      </c>
      <c r="C147" s="188">
        <v>36314976</v>
      </c>
      <c r="D147" s="188">
        <v>57959727.640000001</v>
      </c>
      <c r="E147" s="188">
        <v>63917727.730000004</v>
      </c>
      <c r="F147" s="188">
        <v>149647606.69999999</v>
      </c>
      <c r="G147" s="188">
        <v>155605606.78999999</v>
      </c>
      <c r="H147" s="187">
        <f t="shared" si="5"/>
        <v>55372903.059999987</v>
      </c>
    </row>
    <row r="148" spans="1:11" ht="14.4" x14ac:dyDescent="0.3">
      <c r="A148" s="157" t="s">
        <v>237</v>
      </c>
      <c r="B148" s="158">
        <v>2014</v>
      </c>
      <c r="C148" s="188">
        <v>40976118</v>
      </c>
      <c r="D148" s="188">
        <v>102363281.25</v>
      </c>
      <c r="E148" s="188">
        <v>100494869.95999998</v>
      </c>
      <c r="F148" s="188">
        <v>159199344.74000001</v>
      </c>
      <c r="G148" s="188">
        <v>157330933.44999999</v>
      </c>
      <c r="H148" s="187">
        <f t="shared" si="5"/>
        <v>15859945.49000001</v>
      </c>
    </row>
    <row r="149" spans="1:11" ht="14.4" x14ac:dyDescent="0.3">
      <c r="A149" s="157" t="s">
        <v>237</v>
      </c>
      <c r="B149" s="158">
        <v>2015</v>
      </c>
      <c r="C149" s="188">
        <v>18489545</v>
      </c>
      <c r="D149" s="188">
        <v>137197412.09</v>
      </c>
      <c r="E149" s="188">
        <v>141747562.85999998</v>
      </c>
      <c r="F149" s="188">
        <v>155690976.36000001</v>
      </c>
      <c r="G149" s="188">
        <v>160241127.13</v>
      </c>
      <c r="H149" s="187">
        <f t="shared" si="5"/>
        <v>4019.2700000107288</v>
      </c>
    </row>
    <row r="150" spans="1:11" ht="14.4" x14ac:dyDescent="0.3">
      <c r="A150" s="157" t="s">
        <v>238</v>
      </c>
      <c r="B150" s="158">
        <v>1995</v>
      </c>
      <c r="C150" s="186">
        <v>94495336</v>
      </c>
      <c r="D150" s="186">
        <v>7251238.0599999996</v>
      </c>
      <c r="E150" s="194">
        <v>7251238.0599999996</v>
      </c>
      <c r="F150" s="186">
        <f>$I150+$C150+D150</f>
        <v>190520574.06</v>
      </c>
      <c r="G150" s="186">
        <f>$I150+$C150+E150</f>
        <v>190520574.06</v>
      </c>
      <c r="H150" s="187">
        <f t="shared" si="5"/>
        <v>88774000</v>
      </c>
      <c r="I150" s="43">
        <f>VLOOKUP(A150,$L$3:$N$39,3,0)*1000</f>
        <v>88774000</v>
      </c>
      <c r="J150" t="s">
        <v>268</v>
      </c>
    </row>
    <row r="151" spans="1:11" ht="14.4" x14ac:dyDescent="0.3">
      <c r="A151" s="157" t="s">
        <v>238</v>
      </c>
      <c r="B151" s="158">
        <v>1996</v>
      </c>
      <c r="C151" s="188">
        <v>61058459</v>
      </c>
      <c r="D151" s="188">
        <v>3884585.15</v>
      </c>
      <c r="E151" s="188">
        <v>3884585.15</v>
      </c>
      <c r="F151" s="188">
        <v>82302405.810000002</v>
      </c>
      <c r="G151" s="188">
        <v>82302405.810000002</v>
      </c>
      <c r="H151" s="193">
        <f>'Paid TriData'!X150</f>
        <v>88774675.039999992</v>
      </c>
    </row>
    <row r="152" spans="1:11" ht="14.4" x14ac:dyDescent="0.3">
      <c r="A152" s="157" t="s">
        <v>238</v>
      </c>
      <c r="B152" s="158">
        <v>1997</v>
      </c>
      <c r="C152" s="188">
        <v>51800085</v>
      </c>
      <c r="D152" s="188">
        <v>15284149.799999999</v>
      </c>
      <c r="E152" s="188">
        <v>15284149.799999999</v>
      </c>
      <c r="F152" s="188">
        <v>81809062.520000011</v>
      </c>
      <c r="G152" s="188">
        <v>81809062.520000011</v>
      </c>
      <c r="H152" s="193">
        <f>'Paid TriData'!X151</f>
        <v>91323904.940000013</v>
      </c>
      <c r="I152" s="134" t="s">
        <v>9</v>
      </c>
      <c r="J152" s="137"/>
      <c r="K152" s="137"/>
    </row>
    <row r="153" spans="1:11" ht="14.4" x14ac:dyDescent="0.3">
      <c r="A153" s="157" t="s">
        <v>238</v>
      </c>
      <c r="B153" s="158">
        <v>1998</v>
      </c>
      <c r="C153" s="188">
        <v>72125270</v>
      </c>
      <c r="D153" s="188">
        <v>31720742.759999998</v>
      </c>
      <c r="E153" s="188">
        <v>31720742.759999998</v>
      </c>
      <c r="F153" s="188">
        <v>125587914.14</v>
      </c>
      <c r="G153" s="188">
        <v>125587914.14</v>
      </c>
      <c r="H153" s="193">
        <f>'Paid TriData'!X152</f>
        <v>112911320.96000001</v>
      </c>
      <c r="I153" s="134" t="s">
        <v>9</v>
      </c>
    </row>
    <row r="154" spans="1:11" ht="14.4" x14ac:dyDescent="0.3">
      <c r="A154" s="157" t="s">
        <v>238</v>
      </c>
      <c r="B154" s="158">
        <v>1999</v>
      </c>
      <c r="C154" s="188">
        <v>76817472</v>
      </c>
      <c r="D154" s="188">
        <v>40429896</v>
      </c>
      <c r="E154" s="188">
        <v>40429896</v>
      </c>
      <c r="F154" s="188">
        <v>112480899.58000001</v>
      </c>
      <c r="G154" s="188">
        <v>112480899.58000001</v>
      </c>
      <c r="H154" s="193">
        <f>'Paid TriData'!X153</f>
        <v>146271479.67000002</v>
      </c>
      <c r="I154" s="134" t="s">
        <v>9</v>
      </c>
    </row>
    <row r="155" spans="1:11" ht="14.4" x14ac:dyDescent="0.3">
      <c r="A155" s="157" t="s">
        <v>238</v>
      </c>
      <c r="B155" s="158">
        <v>2000</v>
      </c>
      <c r="C155" s="188">
        <v>77875665</v>
      </c>
      <c r="D155" s="188">
        <v>59502547.160000004</v>
      </c>
      <c r="E155" s="188">
        <v>59502547.160000004</v>
      </c>
      <c r="F155" s="188">
        <v>155636074.87</v>
      </c>
      <c r="G155" s="188">
        <v>155636074.87</v>
      </c>
      <c r="H155" s="193">
        <f>'Paid TriData'!X154</f>
        <v>133593335.19000001</v>
      </c>
      <c r="I155" s="134" t="s">
        <v>9</v>
      </c>
    </row>
    <row r="156" spans="1:11" ht="14.4" x14ac:dyDescent="0.3">
      <c r="A156" s="157" t="s">
        <v>238</v>
      </c>
      <c r="B156" s="158">
        <v>2001</v>
      </c>
      <c r="C156" s="188">
        <v>87399621</v>
      </c>
      <c r="D156" s="188">
        <v>45869422.590000004</v>
      </c>
      <c r="E156" s="188">
        <v>45869422.590000004</v>
      </c>
      <c r="F156" s="188">
        <v>126255272.83</v>
      </c>
      <c r="G156" s="188">
        <v>126255272.83</v>
      </c>
      <c r="H156" s="193">
        <f>'Paid TriData'!X155</f>
        <v>181556119.88</v>
      </c>
      <c r="I156" s="134" t="s">
        <v>9</v>
      </c>
    </row>
    <row r="157" spans="1:11" ht="14.4" x14ac:dyDescent="0.3">
      <c r="A157" s="157" t="s">
        <v>238</v>
      </c>
      <c r="B157" s="158">
        <v>2002</v>
      </c>
      <c r="C157" s="188">
        <v>70378708</v>
      </c>
      <c r="D157" s="188">
        <v>17847026.259999998</v>
      </c>
      <c r="E157" s="188">
        <v>17847026.259999998</v>
      </c>
      <c r="F157" s="188">
        <v>121242599.53</v>
      </c>
      <c r="G157" s="188">
        <v>121242599.53</v>
      </c>
      <c r="H157" s="193">
        <f>'Paid TriData'!X156</f>
        <v>128138583.42999999</v>
      </c>
      <c r="I157" s="134" t="s">
        <v>9</v>
      </c>
    </row>
    <row r="158" spans="1:11" ht="14.4" x14ac:dyDescent="0.3">
      <c r="A158" s="157" t="s">
        <v>238</v>
      </c>
      <c r="B158" s="158">
        <v>2003</v>
      </c>
      <c r="C158" s="188">
        <v>30423821</v>
      </c>
      <c r="D158" s="188">
        <v>19644062.920000002</v>
      </c>
      <c r="E158" s="188">
        <v>19644062.920000002</v>
      </c>
      <c r="F158" s="188">
        <v>78676811.049999997</v>
      </c>
      <c r="G158" s="188">
        <v>78676811.049999997</v>
      </c>
      <c r="H158" s="193">
        <f>'Paid TriData'!X157</f>
        <v>75284006.019999996</v>
      </c>
      <c r="I158" s="134" t="s">
        <v>9</v>
      </c>
    </row>
    <row r="159" spans="1:11" ht="14.4" x14ac:dyDescent="0.3">
      <c r="A159" s="157" t="s">
        <v>238</v>
      </c>
      <c r="B159" s="158">
        <v>2004</v>
      </c>
      <c r="C159" s="188">
        <v>17076164</v>
      </c>
      <c r="D159" s="188">
        <v>22953271.289999999</v>
      </c>
      <c r="E159" s="188">
        <v>22953271.289999999</v>
      </c>
      <c r="F159" s="188">
        <v>62413082.57</v>
      </c>
      <c r="G159" s="188">
        <v>62413082.57</v>
      </c>
      <c r="H159" s="193">
        <f>'Paid TriData'!X158</f>
        <v>28931429.210000001</v>
      </c>
      <c r="I159" s="134" t="s">
        <v>9</v>
      </c>
    </row>
    <row r="160" spans="1:11" ht="14.4" x14ac:dyDescent="0.3">
      <c r="A160" s="157" t="s">
        <v>238</v>
      </c>
      <c r="B160" s="158">
        <v>2005</v>
      </c>
      <c r="C160" s="188">
        <v>12842755</v>
      </c>
      <c r="D160" s="188">
        <v>25086176.210000001</v>
      </c>
      <c r="E160" s="188">
        <v>25086176.210000001</v>
      </c>
      <c r="F160" s="188">
        <v>50771533.770000003</v>
      </c>
      <c r="G160" s="188">
        <v>50771533.770000003</v>
      </c>
      <c r="H160" s="193">
        <f>'Paid TriData'!X159</f>
        <v>22851973.229999997</v>
      </c>
      <c r="I160" s="134" t="s">
        <v>9</v>
      </c>
    </row>
    <row r="161" spans="1:9" ht="14.4" x14ac:dyDescent="0.3">
      <c r="A161" s="157" t="s">
        <v>238</v>
      </c>
      <c r="B161" s="158">
        <v>2006</v>
      </c>
      <c r="C161" s="188">
        <v>14472707</v>
      </c>
      <c r="D161" s="188">
        <v>19832419.009999998</v>
      </c>
      <c r="E161" s="188">
        <v>19832419.009999998</v>
      </c>
      <c r="F161" s="188">
        <v>44365180.130000003</v>
      </c>
      <c r="G161" s="188">
        <v>44365180.130000003</v>
      </c>
      <c r="H161" s="193">
        <f>'Paid TriData'!X160</f>
        <v>13573123.15</v>
      </c>
      <c r="I161" s="134" t="s">
        <v>9</v>
      </c>
    </row>
    <row r="162" spans="1:9" ht="14.4" x14ac:dyDescent="0.3">
      <c r="A162" s="157" t="s">
        <v>238</v>
      </c>
      <c r="B162" s="158">
        <v>2007</v>
      </c>
      <c r="C162" s="188">
        <v>5678968</v>
      </c>
      <c r="D162" s="188">
        <v>11425488.109999999</v>
      </c>
      <c r="E162" s="188">
        <v>11425488.109999999</v>
      </c>
      <c r="F162" s="188">
        <v>20167893.220000003</v>
      </c>
      <c r="G162" s="188">
        <v>20167893.220000003</v>
      </c>
      <c r="H162" s="193">
        <f>'Paid TriData'!X161</f>
        <v>10039112.32</v>
      </c>
      <c r="I162" s="134" t="s">
        <v>9</v>
      </c>
    </row>
    <row r="163" spans="1:9" ht="14.4" x14ac:dyDescent="0.3">
      <c r="A163" s="157" t="s">
        <v>238</v>
      </c>
      <c r="B163" s="158">
        <v>2008</v>
      </c>
      <c r="C163" s="188"/>
      <c r="D163" s="188"/>
      <c r="E163" s="188"/>
      <c r="F163" s="188"/>
      <c r="G163" s="188"/>
      <c r="H163" s="193">
        <f>'Paid TriData'!X162</f>
        <v>3063437.11</v>
      </c>
      <c r="I163" s="134" t="s">
        <v>9</v>
      </c>
    </row>
    <row r="164" spans="1:9" ht="14.4" x14ac:dyDescent="0.3">
      <c r="A164" s="157" t="s">
        <v>238</v>
      </c>
      <c r="B164" s="158">
        <v>2009</v>
      </c>
      <c r="C164" s="188"/>
      <c r="D164" s="188"/>
      <c r="E164" s="188"/>
      <c r="F164" s="188"/>
      <c r="G164" s="188"/>
      <c r="H164" s="193">
        <f>'Paid TriData'!X163</f>
        <v>0</v>
      </c>
      <c r="I164" s="134" t="s">
        <v>9</v>
      </c>
    </row>
    <row r="165" spans="1:9" ht="14.4" x14ac:dyDescent="0.3">
      <c r="A165" s="157" t="s">
        <v>238</v>
      </c>
      <c r="B165" s="158">
        <v>2010</v>
      </c>
      <c r="C165" s="186"/>
      <c r="D165" s="186"/>
      <c r="E165" s="186"/>
      <c r="F165" s="186"/>
      <c r="G165" s="186"/>
      <c r="H165" s="193">
        <f>'Paid TriData'!X164</f>
        <v>0</v>
      </c>
      <c r="I165" s="134" t="s">
        <v>9</v>
      </c>
    </row>
    <row r="166" spans="1:9" ht="14.4" x14ac:dyDescent="0.3">
      <c r="A166" s="157" t="s">
        <v>238</v>
      </c>
      <c r="B166" s="158">
        <v>2011</v>
      </c>
      <c r="C166" s="186"/>
      <c r="D166" s="186"/>
      <c r="E166" s="186"/>
      <c r="F166" s="186"/>
      <c r="G166" s="186"/>
      <c r="H166" s="193">
        <f>'Paid TriData'!X165</f>
        <v>0</v>
      </c>
      <c r="I166" s="134"/>
    </row>
    <row r="167" spans="1:9" ht="14.4" x14ac:dyDescent="0.3">
      <c r="A167" s="157" t="s">
        <v>238</v>
      </c>
      <c r="B167" s="158">
        <v>2012</v>
      </c>
      <c r="C167" s="186"/>
      <c r="D167" s="186"/>
      <c r="E167" s="186"/>
      <c r="F167" s="186"/>
      <c r="G167" s="186"/>
      <c r="H167" s="193">
        <f>'Paid TriData'!X166</f>
        <v>0</v>
      </c>
    </row>
    <row r="168" spans="1:9" ht="14.4" x14ac:dyDescent="0.3">
      <c r="A168" s="157" t="s">
        <v>238</v>
      </c>
      <c r="B168" s="158">
        <v>2013</v>
      </c>
      <c r="C168" s="186"/>
      <c r="D168" s="186"/>
      <c r="E168" s="186"/>
      <c r="F168" s="186"/>
      <c r="G168" s="186"/>
      <c r="H168" s="193">
        <f>'Paid TriData'!X167</f>
        <v>0</v>
      </c>
    </row>
    <row r="169" spans="1:9" ht="14.4" x14ac:dyDescent="0.3">
      <c r="A169" s="157" t="s">
        <v>238</v>
      </c>
      <c r="B169" s="158">
        <v>2014</v>
      </c>
      <c r="C169" s="186"/>
      <c r="D169" s="186"/>
      <c r="E169" s="186"/>
      <c r="F169" s="186"/>
      <c r="G169" s="186"/>
      <c r="H169" s="193">
        <f>'Paid TriData'!X168</f>
        <v>0</v>
      </c>
    </row>
    <row r="170" spans="1:9" ht="14.4" x14ac:dyDescent="0.3">
      <c r="A170" s="157" t="s">
        <v>238</v>
      </c>
      <c r="B170" s="158">
        <v>2015</v>
      </c>
      <c r="C170" s="186"/>
      <c r="D170" s="186"/>
      <c r="E170" s="186"/>
      <c r="F170" s="186"/>
      <c r="G170" s="186"/>
      <c r="H170" s="193">
        <f>'Paid TriData'!X169</f>
        <v>0</v>
      </c>
    </row>
    <row r="171" spans="1:9" ht="14.4" x14ac:dyDescent="0.3">
      <c r="A171" s="157" t="s">
        <v>239</v>
      </c>
      <c r="B171" s="158">
        <v>1995</v>
      </c>
      <c r="C171" s="186"/>
      <c r="D171" s="186"/>
      <c r="E171" s="186"/>
      <c r="F171" s="186">
        <f>$I171+$C171+D171</f>
        <v>1177000</v>
      </c>
      <c r="G171" s="186">
        <f>$I171+$C171+E171</f>
        <v>1177000</v>
      </c>
      <c r="H171" s="187">
        <f t="shared" ref="H171" si="6">F171-D171-C171</f>
        <v>1177000</v>
      </c>
      <c r="I171" s="43">
        <f>VLOOKUP(A171,$L$3:$N$39,3,0)*1000</f>
        <v>1177000</v>
      </c>
    </row>
    <row r="172" spans="1:9" ht="14.4" x14ac:dyDescent="0.3">
      <c r="A172" s="157" t="s">
        <v>239</v>
      </c>
      <c r="B172" s="158">
        <v>1996</v>
      </c>
      <c r="C172" s="188"/>
      <c r="D172" s="188"/>
      <c r="E172" s="188"/>
      <c r="F172" s="188"/>
      <c r="G172" s="188"/>
      <c r="H172" s="187">
        <f t="shared" si="5"/>
        <v>0</v>
      </c>
    </row>
    <row r="173" spans="1:9" ht="14.4" x14ac:dyDescent="0.3">
      <c r="A173" s="157" t="s">
        <v>239</v>
      </c>
      <c r="B173" s="158">
        <v>1997</v>
      </c>
      <c r="C173" s="188"/>
      <c r="D173" s="188"/>
      <c r="E173" s="188"/>
      <c r="F173" s="188"/>
      <c r="G173" s="188"/>
      <c r="H173" s="187">
        <f t="shared" ref="H173:H204" si="7">F173-D173-C173</f>
        <v>0</v>
      </c>
    </row>
    <row r="174" spans="1:9" ht="14.4" x14ac:dyDescent="0.3">
      <c r="A174" s="157" t="s">
        <v>239</v>
      </c>
      <c r="B174" s="158">
        <v>1998</v>
      </c>
      <c r="C174" s="188"/>
      <c r="D174" s="188"/>
      <c r="E174" s="188"/>
      <c r="F174" s="188"/>
      <c r="G174" s="188"/>
      <c r="H174" s="187">
        <f t="shared" si="7"/>
        <v>0</v>
      </c>
    </row>
    <row r="175" spans="1:9" ht="14.4" x14ac:dyDescent="0.3">
      <c r="A175" s="157" t="s">
        <v>239</v>
      </c>
      <c r="B175" s="158">
        <v>1999</v>
      </c>
      <c r="C175" s="188">
        <v>0</v>
      </c>
      <c r="D175" s="188">
        <v>0.02</v>
      </c>
      <c r="E175" s="188">
        <v>0.02</v>
      </c>
      <c r="F175" s="188">
        <v>5488412.9300000006</v>
      </c>
      <c r="G175" s="188">
        <v>5488412.9300000006</v>
      </c>
      <c r="H175" s="187">
        <f t="shared" si="7"/>
        <v>5488412.9100000011</v>
      </c>
    </row>
    <row r="176" spans="1:9" ht="14.4" x14ac:dyDescent="0.3">
      <c r="A176" s="157" t="s">
        <v>239</v>
      </c>
      <c r="B176" s="158">
        <v>2000</v>
      </c>
      <c r="C176" s="188"/>
      <c r="D176" s="188"/>
      <c r="E176" s="188"/>
      <c r="F176" s="188"/>
      <c r="G176" s="188"/>
      <c r="H176" s="187">
        <f t="shared" si="7"/>
        <v>0</v>
      </c>
    </row>
    <row r="177" spans="1:9" ht="14.4" x14ac:dyDescent="0.3">
      <c r="A177" s="157" t="s">
        <v>239</v>
      </c>
      <c r="B177" s="158">
        <v>2001</v>
      </c>
      <c r="C177" s="188">
        <v>0</v>
      </c>
      <c r="D177" s="188">
        <v>-228.25</v>
      </c>
      <c r="E177" s="188">
        <v>-372.74</v>
      </c>
      <c r="F177" s="188">
        <v>6156668.2000000002</v>
      </c>
      <c r="G177" s="188">
        <v>6156523.71</v>
      </c>
      <c r="H177" s="187">
        <f t="shared" si="7"/>
        <v>6156896.4500000002</v>
      </c>
    </row>
    <row r="178" spans="1:9" ht="14.4" x14ac:dyDescent="0.3">
      <c r="A178" s="157" t="s">
        <v>239</v>
      </c>
      <c r="B178" s="158">
        <v>2002</v>
      </c>
      <c r="C178" s="188">
        <v>0</v>
      </c>
      <c r="D178" s="188">
        <v>3558.43</v>
      </c>
      <c r="E178" s="188">
        <v>3556.82</v>
      </c>
      <c r="F178" s="188">
        <v>22048374.290000003</v>
      </c>
      <c r="G178" s="188">
        <v>22048372.680000003</v>
      </c>
      <c r="H178" s="187">
        <f t="shared" si="7"/>
        <v>22044815.860000003</v>
      </c>
    </row>
    <row r="179" spans="1:9" ht="14.4" x14ac:dyDescent="0.3">
      <c r="A179" s="157" t="s">
        <v>239</v>
      </c>
      <c r="B179" s="158">
        <v>2003</v>
      </c>
      <c r="C179" s="188">
        <v>0</v>
      </c>
      <c r="D179" s="188">
        <v>228.12</v>
      </c>
      <c r="E179" s="188">
        <v>-511788.4</v>
      </c>
      <c r="F179" s="188">
        <v>41069852.930000007</v>
      </c>
      <c r="G179" s="188">
        <v>40557836.410000004</v>
      </c>
      <c r="H179" s="187">
        <f t="shared" si="7"/>
        <v>41069624.81000001</v>
      </c>
    </row>
    <row r="180" spans="1:9" ht="14.4" x14ac:dyDescent="0.3">
      <c r="A180" s="157" t="s">
        <v>239</v>
      </c>
      <c r="B180" s="158">
        <v>2004</v>
      </c>
      <c r="C180" s="188">
        <v>0</v>
      </c>
      <c r="D180" s="188">
        <v>-496.16999999999996</v>
      </c>
      <c r="E180" s="188">
        <v>-460.32000000000005</v>
      </c>
      <c r="F180" s="188">
        <v>12345.83</v>
      </c>
      <c r="G180" s="188">
        <v>12381.679999999998</v>
      </c>
      <c r="H180" s="187">
        <f t="shared" si="7"/>
        <v>12842</v>
      </c>
    </row>
    <row r="181" spans="1:9" ht="14.4" x14ac:dyDescent="0.3">
      <c r="A181" s="157" t="s">
        <v>239</v>
      </c>
      <c r="B181" s="158">
        <v>2005</v>
      </c>
      <c r="C181" s="188">
        <v>2850</v>
      </c>
      <c r="D181" s="188">
        <v>61.319999999999936</v>
      </c>
      <c r="E181" s="188">
        <v>392243.21</v>
      </c>
      <c r="F181" s="188">
        <v>215776236.59999999</v>
      </c>
      <c r="G181" s="188">
        <v>216168418.49000001</v>
      </c>
      <c r="H181" s="187">
        <f t="shared" si="7"/>
        <v>215773325.28</v>
      </c>
    </row>
    <row r="182" spans="1:9" ht="14.4" x14ac:dyDescent="0.3">
      <c r="A182" s="157" t="s">
        <v>239</v>
      </c>
      <c r="B182" s="158">
        <v>2006</v>
      </c>
      <c r="C182" s="188">
        <v>1450</v>
      </c>
      <c r="D182" s="188">
        <v>120.92</v>
      </c>
      <c r="E182" s="188">
        <v>-165076.6</v>
      </c>
      <c r="F182" s="188">
        <v>91471686.110000014</v>
      </c>
      <c r="G182" s="188">
        <v>91306488.590000004</v>
      </c>
      <c r="H182" s="187">
        <f t="shared" si="7"/>
        <v>91470115.190000013</v>
      </c>
    </row>
    <row r="183" spans="1:9" ht="14.4" x14ac:dyDescent="0.3">
      <c r="A183" s="157" t="s">
        <v>239</v>
      </c>
      <c r="B183" s="158">
        <v>2007</v>
      </c>
      <c r="C183" s="188">
        <v>0</v>
      </c>
      <c r="D183" s="188">
        <v>5359.4899999999989</v>
      </c>
      <c r="E183" s="188">
        <v>437867.99000000005</v>
      </c>
      <c r="F183" s="188">
        <v>91299201.220000014</v>
      </c>
      <c r="G183" s="188">
        <v>91731709.719999999</v>
      </c>
      <c r="H183" s="187">
        <f t="shared" si="7"/>
        <v>91293841.730000019</v>
      </c>
    </row>
    <row r="184" spans="1:9" ht="14.4" x14ac:dyDescent="0.3">
      <c r="A184" s="157" t="s">
        <v>239</v>
      </c>
      <c r="B184" s="158">
        <v>2008</v>
      </c>
      <c r="C184" s="188">
        <v>0</v>
      </c>
      <c r="D184" s="188">
        <v>-8705.1</v>
      </c>
      <c r="E184" s="188">
        <v>381342.89</v>
      </c>
      <c r="F184" s="188">
        <v>179730157.26000002</v>
      </c>
      <c r="G184" s="188">
        <v>180120205.25000003</v>
      </c>
      <c r="H184" s="187">
        <f t="shared" si="7"/>
        <v>179738862.36000001</v>
      </c>
    </row>
    <row r="185" spans="1:9" ht="14.4" x14ac:dyDescent="0.3">
      <c r="A185" s="157" t="s">
        <v>239</v>
      </c>
      <c r="B185" s="158">
        <v>2009</v>
      </c>
      <c r="C185" s="188">
        <v>0</v>
      </c>
      <c r="D185" s="188">
        <v>-148.61000000000035</v>
      </c>
      <c r="E185" s="188">
        <v>147853.58999999997</v>
      </c>
      <c r="F185" s="188">
        <v>133955741.65000001</v>
      </c>
      <c r="G185" s="188">
        <v>134103743.84999998</v>
      </c>
      <c r="H185" s="187">
        <f t="shared" si="7"/>
        <v>133955890.26000001</v>
      </c>
    </row>
    <row r="186" spans="1:9" ht="14.4" x14ac:dyDescent="0.3">
      <c r="A186" s="157" t="s">
        <v>239</v>
      </c>
      <c r="B186" s="158">
        <v>2010</v>
      </c>
      <c r="C186" s="188">
        <v>185000</v>
      </c>
      <c r="D186" s="188">
        <v>-215447.37</v>
      </c>
      <c r="E186" s="188">
        <v>142562.71</v>
      </c>
      <c r="F186" s="188">
        <v>70496896.109999999</v>
      </c>
      <c r="G186" s="188">
        <v>70854906.189999998</v>
      </c>
      <c r="H186" s="187">
        <f t="shared" si="7"/>
        <v>70527343.480000004</v>
      </c>
    </row>
    <row r="187" spans="1:9" ht="14.4" x14ac:dyDescent="0.3">
      <c r="A187" s="157" t="s">
        <v>239</v>
      </c>
      <c r="B187" s="158">
        <v>2011</v>
      </c>
      <c r="C187" s="188">
        <v>2529380</v>
      </c>
      <c r="D187" s="188">
        <v>-177488.33000000019</v>
      </c>
      <c r="E187" s="188">
        <v>146801.78000000003</v>
      </c>
      <c r="F187" s="188">
        <v>181477228.27000004</v>
      </c>
      <c r="G187" s="188">
        <v>181801518.38</v>
      </c>
      <c r="H187" s="187">
        <f t="shared" si="7"/>
        <v>179125336.60000005</v>
      </c>
    </row>
    <row r="188" spans="1:9" ht="14.4" x14ac:dyDescent="0.3">
      <c r="A188" s="157" t="s">
        <v>239</v>
      </c>
      <c r="B188" s="158">
        <v>2012</v>
      </c>
      <c r="C188" s="188">
        <v>5576890</v>
      </c>
      <c r="D188" s="188">
        <v>4555915.72</v>
      </c>
      <c r="E188" s="188">
        <v>4977494.71</v>
      </c>
      <c r="F188" s="188">
        <v>217385975.44</v>
      </c>
      <c r="G188" s="188">
        <v>217807554.43000001</v>
      </c>
      <c r="H188" s="187">
        <f t="shared" si="7"/>
        <v>207253169.72</v>
      </c>
    </row>
    <row r="189" spans="1:9" ht="14.4" x14ac:dyDescent="0.3">
      <c r="A189" s="157" t="s">
        <v>239</v>
      </c>
      <c r="B189" s="158">
        <v>2013</v>
      </c>
      <c r="C189" s="188">
        <v>15665395</v>
      </c>
      <c r="D189" s="188">
        <v>5886258.2800000003</v>
      </c>
      <c r="E189" s="188">
        <v>13157000.609999998</v>
      </c>
      <c r="F189" s="188">
        <v>133665271.59000002</v>
      </c>
      <c r="G189" s="188">
        <v>140936013.91999999</v>
      </c>
      <c r="H189" s="187">
        <f t="shared" si="7"/>
        <v>112113618.31000002</v>
      </c>
    </row>
    <row r="190" spans="1:9" ht="14.4" x14ac:dyDescent="0.3">
      <c r="A190" s="157" t="s">
        <v>239</v>
      </c>
      <c r="B190" s="158">
        <v>2014</v>
      </c>
      <c r="C190" s="188">
        <v>8172876</v>
      </c>
      <c r="D190" s="188">
        <v>6002609.8499999996</v>
      </c>
      <c r="E190" s="188">
        <v>4853591.13</v>
      </c>
      <c r="F190" s="188">
        <v>132600198.31999999</v>
      </c>
      <c r="G190" s="188">
        <v>131451179.59999996</v>
      </c>
      <c r="H190" s="187">
        <f t="shared" si="7"/>
        <v>118424712.47</v>
      </c>
    </row>
    <row r="191" spans="1:9" ht="14.4" x14ac:dyDescent="0.3">
      <c r="A191" s="157" t="s">
        <v>239</v>
      </c>
      <c r="B191" s="158">
        <v>2015</v>
      </c>
      <c r="C191" s="188">
        <v>46510856</v>
      </c>
      <c r="D191" s="188">
        <v>14660682.000000002</v>
      </c>
      <c r="E191" s="188">
        <v>17503044.260000002</v>
      </c>
      <c r="F191" s="188">
        <v>133250287.38</v>
      </c>
      <c r="G191" s="188">
        <v>136092649.63999999</v>
      </c>
      <c r="H191" s="187">
        <f t="shared" si="7"/>
        <v>72078749.379999995</v>
      </c>
    </row>
    <row r="192" spans="1:9" ht="14.4" x14ac:dyDescent="0.3">
      <c r="A192" s="157" t="s">
        <v>253</v>
      </c>
      <c r="B192" s="158">
        <v>1995</v>
      </c>
      <c r="C192" s="186">
        <v>133408</v>
      </c>
      <c r="D192" s="186">
        <v>29210.81</v>
      </c>
      <c r="E192" s="186">
        <v>-280081.16999999993</v>
      </c>
      <c r="F192" s="186">
        <f>$I192+$C192+D192</f>
        <v>285052618.81</v>
      </c>
      <c r="G192" s="186">
        <f>$I192+$C192+E192</f>
        <v>284743326.82999998</v>
      </c>
      <c r="H192" s="187">
        <f t="shared" si="7"/>
        <v>284890000</v>
      </c>
      <c r="I192" s="43">
        <f>VLOOKUP(A192,$L$3:$N$39,3,0)*1000</f>
        <v>284890000</v>
      </c>
    </row>
    <row r="193" spans="1:8" ht="14.4" x14ac:dyDescent="0.3">
      <c r="A193" s="157" t="s">
        <v>253</v>
      </c>
      <c r="B193" s="158">
        <v>1996</v>
      </c>
      <c r="C193" s="188">
        <v>0</v>
      </c>
      <c r="D193" s="188">
        <v>6188.51</v>
      </c>
      <c r="E193" s="188">
        <v>6052.72</v>
      </c>
      <c r="F193" s="188">
        <v>164475592.5700002</v>
      </c>
      <c r="G193" s="188">
        <v>164475456.78000021</v>
      </c>
      <c r="H193" s="187">
        <f t="shared" si="7"/>
        <v>164469404.06000021</v>
      </c>
    </row>
    <row r="194" spans="1:8" ht="14.4" x14ac:dyDescent="0.3">
      <c r="A194" s="157" t="s">
        <v>253</v>
      </c>
      <c r="B194" s="158">
        <v>1997</v>
      </c>
      <c r="C194" s="188">
        <v>5000</v>
      </c>
      <c r="D194" s="188">
        <v>5593.22</v>
      </c>
      <c r="E194" s="188">
        <v>5695.98</v>
      </c>
      <c r="F194" s="188">
        <v>303446674.24000019</v>
      </c>
      <c r="G194" s="188">
        <v>303446777.00000024</v>
      </c>
      <c r="H194" s="187">
        <f t="shared" si="7"/>
        <v>303436081.02000016</v>
      </c>
    </row>
    <row r="195" spans="1:8" ht="14.4" x14ac:dyDescent="0.3">
      <c r="A195" s="157" t="s">
        <v>253</v>
      </c>
      <c r="B195" s="158">
        <v>1998</v>
      </c>
      <c r="C195" s="188">
        <v>0</v>
      </c>
      <c r="D195" s="188">
        <v>5348.68</v>
      </c>
      <c r="E195" s="188">
        <v>5756.93</v>
      </c>
      <c r="F195" s="188">
        <v>362390673.87000036</v>
      </c>
      <c r="G195" s="188">
        <v>362391082.12000036</v>
      </c>
      <c r="H195" s="187">
        <f t="shared" si="7"/>
        <v>362385325.19000036</v>
      </c>
    </row>
    <row r="196" spans="1:8" ht="14.4" x14ac:dyDescent="0.3">
      <c r="A196" s="157" t="s">
        <v>253</v>
      </c>
      <c r="B196" s="158">
        <v>1999</v>
      </c>
      <c r="C196" s="188">
        <v>100</v>
      </c>
      <c r="D196" s="188">
        <v>3872.2200000000003</v>
      </c>
      <c r="E196" s="188">
        <v>5989.9000000000005</v>
      </c>
      <c r="F196" s="188">
        <v>363712173.08000004</v>
      </c>
      <c r="G196" s="188">
        <v>363714290.75999999</v>
      </c>
      <c r="H196" s="187">
        <f t="shared" si="7"/>
        <v>363708200.86000001</v>
      </c>
    </row>
    <row r="197" spans="1:8" ht="14.4" x14ac:dyDescent="0.3">
      <c r="A197" s="157" t="s">
        <v>253</v>
      </c>
      <c r="B197" s="158">
        <v>2000</v>
      </c>
      <c r="C197" s="188">
        <v>0</v>
      </c>
      <c r="D197" s="188">
        <v>4005.84</v>
      </c>
      <c r="E197" s="188">
        <v>3907.19</v>
      </c>
      <c r="F197" s="188">
        <v>312423821.78000003</v>
      </c>
      <c r="G197" s="188">
        <v>312423723.13000005</v>
      </c>
      <c r="H197" s="187">
        <f t="shared" si="7"/>
        <v>312419815.94000006</v>
      </c>
    </row>
    <row r="198" spans="1:8" ht="14.4" x14ac:dyDescent="0.3">
      <c r="A198" s="157" t="s">
        <v>253</v>
      </c>
      <c r="B198" s="158">
        <v>2001</v>
      </c>
      <c r="C198" s="188">
        <v>0</v>
      </c>
      <c r="D198" s="188">
        <v>-61363.500000000007</v>
      </c>
      <c r="E198" s="188">
        <v>-73062.050000000017</v>
      </c>
      <c r="F198" s="188">
        <v>367704264.87999988</v>
      </c>
      <c r="G198" s="188">
        <v>367692566.32999992</v>
      </c>
      <c r="H198" s="187">
        <f t="shared" si="7"/>
        <v>367765628.37999988</v>
      </c>
    </row>
    <row r="199" spans="1:8" ht="14.4" x14ac:dyDescent="0.3">
      <c r="A199" s="157" t="s">
        <v>253</v>
      </c>
      <c r="B199" s="158">
        <v>2002</v>
      </c>
      <c r="C199" s="188">
        <v>0</v>
      </c>
      <c r="D199" s="188">
        <v>-1361.0500000000002</v>
      </c>
      <c r="E199" s="188">
        <v>-96207.640000000014</v>
      </c>
      <c r="F199" s="188">
        <v>315163631.13999999</v>
      </c>
      <c r="G199" s="188">
        <v>315068784.55000001</v>
      </c>
      <c r="H199" s="187">
        <f t="shared" si="7"/>
        <v>315164992.19</v>
      </c>
    </row>
    <row r="200" spans="1:8" ht="14.4" x14ac:dyDescent="0.3">
      <c r="A200" s="157" t="s">
        <v>253</v>
      </c>
      <c r="B200" s="158">
        <v>2003</v>
      </c>
      <c r="C200" s="188">
        <v>0</v>
      </c>
      <c r="D200" s="188">
        <v>-88282.83</v>
      </c>
      <c r="E200" s="188">
        <v>-47941.880000000005</v>
      </c>
      <c r="F200" s="188">
        <v>291581034.26999962</v>
      </c>
      <c r="G200" s="188">
        <v>291621375.21999973</v>
      </c>
      <c r="H200" s="187">
        <f t="shared" si="7"/>
        <v>291669317.09999961</v>
      </c>
    </row>
    <row r="201" spans="1:8" ht="14.4" x14ac:dyDescent="0.3">
      <c r="A201" s="157" t="s">
        <v>253</v>
      </c>
      <c r="B201" s="158">
        <v>2004</v>
      </c>
      <c r="C201" s="188">
        <v>0</v>
      </c>
      <c r="D201" s="188">
        <v>2557.08</v>
      </c>
      <c r="E201" s="188">
        <v>-169954.31999999998</v>
      </c>
      <c r="F201" s="188">
        <v>354485249.42000002</v>
      </c>
      <c r="G201" s="188">
        <v>354312738.01999998</v>
      </c>
      <c r="H201" s="187">
        <f t="shared" si="7"/>
        <v>354482692.34000003</v>
      </c>
    </row>
    <row r="202" spans="1:8" ht="14.4" x14ac:dyDescent="0.3">
      <c r="A202" s="157" t="s">
        <v>253</v>
      </c>
      <c r="B202" s="158">
        <v>2005</v>
      </c>
      <c r="C202" s="188">
        <v>233948</v>
      </c>
      <c r="D202" s="188">
        <v>32542.270000000008</v>
      </c>
      <c r="E202" s="188">
        <v>930488.52</v>
      </c>
      <c r="F202" s="188">
        <v>378108235.30999976</v>
      </c>
      <c r="G202" s="188">
        <v>379006181.55999982</v>
      </c>
      <c r="H202" s="187">
        <f t="shared" si="7"/>
        <v>377841745.03999978</v>
      </c>
    </row>
    <row r="203" spans="1:8" ht="14.4" x14ac:dyDescent="0.3">
      <c r="A203" s="157" t="s">
        <v>253</v>
      </c>
      <c r="B203" s="158">
        <v>2006</v>
      </c>
      <c r="C203" s="188">
        <v>2816</v>
      </c>
      <c r="D203" s="188">
        <v>32478.87</v>
      </c>
      <c r="E203" s="188">
        <v>315687.83000000007</v>
      </c>
      <c r="F203" s="188">
        <v>230281290.43999997</v>
      </c>
      <c r="G203" s="188">
        <v>230564499.40000001</v>
      </c>
      <c r="H203" s="187">
        <f t="shared" si="7"/>
        <v>230245995.56999996</v>
      </c>
    </row>
    <row r="204" spans="1:8" ht="14.4" x14ac:dyDescent="0.3">
      <c r="A204" s="157" t="s">
        <v>253</v>
      </c>
      <c r="B204" s="158">
        <v>2007</v>
      </c>
      <c r="C204" s="188">
        <v>3460093</v>
      </c>
      <c r="D204" s="188">
        <v>-357844.84999999992</v>
      </c>
      <c r="E204" s="188">
        <v>215380.31</v>
      </c>
      <c r="F204" s="188">
        <v>268482893.76999998</v>
      </c>
      <c r="G204" s="188">
        <v>269056118.93000001</v>
      </c>
      <c r="H204" s="187">
        <f t="shared" si="7"/>
        <v>265380645.62</v>
      </c>
    </row>
    <row r="205" spans="1:8" ht="14.4" x14ac:dyDescent="0.3">
      <c r="A205" s="157" t="s">
        <v>253</v>
      </c>
      <c r="B205" s="158">
        <v>2008</v>
      </c>
      <c r="C205" s="188">
        <v>4595507</v>
      </c>
      <c r="D205" s="188">
        <v>1335975.0199999996</v>
      </c>
      <c r="E205" s="188">
        <v>2122417.8800000004</v>
      </c>
      <c r="F205" s="188">
        <v>339769902.50000012</v>
      </c>
      <c r="G205" s="188">
        <v>340556345.36000001</v>
      </c>
      <c r="H205" s="187">
        <f t="shared" ref="H205:H234" si="8">F205-D205-C205</f>
        <v>333838420.48000014</v>
      </c>
    </row>
    <row r="206" spans="1:8" ht="14.4" x14ac:dyDescent="0.3">
      <c r="A206" s="157" t="s">
        <v>253</v>
      </c>
      <c r="B206" s="158">
        <v>2009</v>
      </c>
      <c r="C206" s="188">
        <v>558468</v>
      </c>
      <c r="D206" s="188">
        <v>119348.94000000002</v>
      </c>
      <c r="E206" s="188">
        <v>463207.87</v>
      </c>
      <c r="F206" s="188">
        <v>211551752.73999998</v>
      </c>
      <c r="G206" s="188">
        <v>211895611.66999999</v>
      </c>
      <c r="H206" s="187">
        <f t="shared" si="8"/>
        <v>210873935.79999998</v>
      </c>
    </row>
    <row r="207" spans="1:8" ht="14.4" x14ac:dyDescent="0.3">
      <c r="A207" s="157" t="s">
        <v>253</v>
      </c>
      <c r="B207" s="158">
        <v>2010</v>
      </c>
      <c r="C207" s="188">
        <v>535579</v>
      </c>
      <c r="D207" s="188">
        <v>162832.87</v>
      </c>
      <c r="E207" s="188">
        <v>802592.17</v>
      </c>
      <c r="F207" s="188">
        <v>254256125.19000003</v>
      </c>
      <c r="G207" s="188">
        <v>254895884.49000007</v>
      </c>
      <c r="H207" s="187">
        <f t="shared" si="8"/>
        <v>253557713.32000002</v>
      </c>
    </row>
    <row r="208" spans="1:8" ht="14.4" x14ac:dyDescent="0.3">
      <c r="A208" s="157" t="s">
        <v>253</v>
      </c>
      <c r="B208" s="158">
        <v>2011</v>
      </c>
      <c r="C208" s="188">
        <v>1038452</v>
      </c>
      <c r="D208" s="188">
        <v>3006859.8200000008</v>
      </c>
      <c r="E208" s="188">
        <v>3236579.3200000008</v>
      </c>
      <c r="F208" s="188">
        <v>325318588.49000013</v>
      </c>
      <c r="G208" s="188">
        <v>325548307.99000007</v>
      </c>
      <c r="H208" s="187">
        <f t="shared" si="8"/>
        <v>321273276.67000014</v>
      </c>
    </row>
    <row r="209" spans="1:9" ht="14.4" x14ac:dyDescent="0.3">
      <c r="A209" s="157" t="s">
        <v>253</v>
      </c>
      <c r="B209" s="158">
        <v>2012</v>
      </c>
      <c r="C209" s="188">
        <v>5398729</v>
      </c>
      <c r="D209" s="188">
        <v>6733763.799999998</v>
      </c>
      <c r="E209" s="188">
        <v>7313528.2799999975</v>
      </c>
      <c r="F209" s="188">
        <v>397388287.77999985</v>
      </c>
      <c r="G209" s="188">
        <v>397968052.25999999</v>
      </c>
      <c r="H209" s="187">
        <f t="shared" si="8"/>
        <v>385255794.97999984</v>
      </c>
    </row>
    <row r="210" spans="1:9" ht="14.4" x14ac:dyDescent="0.3">
      <c r="A210" s="157" t="s">
        <v>253</v>
      </c>
      <c r="B210" s="158">
        <v>2013</v>
      </c>
      <c r="C210" s="188">
        <v>8910661</v>
      </c>
      <c r="D210" s="188">
        <v>-23882.290000000143</v>
      </c>
      <c r="E210" s="188">
        <v>2874378.5799999996</v>
      </c>
      <c r="F210" s="188">
        <v>311844203.68999994</v>
      </c>
      <c r="G210" s="188">
        <v>314742464.56000006</v>
      </c>
      <c r="H210" s="187">
        <f t="shared" si="8"/>
        <v>302957424.97999996</v>
      </c>
    </row>
    <row r="211" spans="1:9" ht="14.4" x14ac:dyDescent="0.3">
      <c r="A211" s="157" t="s">
        <v>253</v>
      </c>
      <c r="B211" s="158">
        <v>2014</v>
      </c>
      <c r="C211" s="188">
        <v>8105186</v>
      </c>
      <c r="D211" s="188">
        <v>8547831.2699999958</v>
      </c>
      <c r="E211" s="188">
        <v>16529219.040000005</v>
      </c>
      <c r="F211" s="188">
        <v>269453062.23999989</v>
      </c>
      <c r="G211" s="188">
        <v>277434450.00999999</v>
      </c>
      <c r="H211" s="187">
        <f t="shared" si="8"/>
        <v>252800044.96999991</v>
      </c>
    </row>
    <row r="212" spans="1:9" ht="14.4" x14ac:dyDescent="0.3">
      <c r="A212" s="157" t="s">
        <v>253</v>
      </c>
      <c r="B212" s="158">
        <v>2015</v>
      </c>
      <c r="C212" s="188">
        <v>55102746</v>
      </c>
      <c r="D212" s="188">
        <v>49689681.560000002</v>
      </c>
      <c r="E212" s="188">
        <v>54862786.899999976</v>
      </c>
      <c r="F212" s="188">
        <v>269256104.09000003</v>
      </c>
      <c r="G212" s="188">
        <v>274429209.43000007</v>
      </c>
      <c r="H212" s="187">
        <f t="shared" si="8"/>
        <v>164463676.53000003</v>
      </c>
    </row>
    <row r="213" spans="1:9" ht="14.4" x14ac:dyDescent="0.3">
      <c r="A213" s="157" t="s">
        <v>254</v>
      </c>
      <c r="B213" s="158">
        <v>1995</v>
      </c>
      <c r="C213" s="186">
        <v>3800330</v>
      </c>
      <c r="D213" s="186">
        <v>-219023.32999999996</v>
      </c>
      <c r="E213" s="186">
        <v>-1926569.1999999997</v>
      </c>
      <c r="F213" s="186">
        <f>$I213+$C213+D213</f>
        <v>61107306.670000002</v>
      </c>
      <c r="G213" s="186">
        <f>$I213+$C213+E213</f>
        <v>59399760.799999997</v>
      </c>
      <c r="H213" s="187">
        <f t="shared" si="8"/>
        <v>57526000</v>
      </c>
      <c r="I213" s="43">
        <f>VLOOKUP(A213,$L$3:$N$39,3,0)*1000</f>
        <v>57526000</v>
      </c>
    </row>
    <row r="214" spans="1:9" ht="14.4" x14ac:dyDescent="0.3">
      <c r="A214" s="157" t="s">
        <v>254</v>
      </c>
      <c r="B214" s="158">
        <v>1996</v>
      </c>
      <c r="C214" s="188">
        <v>5005</v>
      </c>
      <c r="D214" s="188">
        <v>-2494.88</v>
      </c>
      <c r="E214" s="188">
        <v>84365.12000000001</v>
      </c>
      <c r="F214" s="188">
        <v>129778228.12</v>
      </c>
      <c r="G214" s="188">
        <v>129865088.11999999</v>
      </c>
      <c r="H214" s="187">
        <f t="shared" si="8"/>
        <v>129775718</v>
      </c>
    </row>
    <row r="215" spans="1:9" ht="14.4" x14ac:dyDescent="0.3">
      <c r="A215" s="157" t="s">
        <v>254</v>
      </c>
      <c r="B215" s="158">
        <v>1997</v>
      </c>
      <c r="C215" s="188">
        <v>52209</v>
      </c>
      <c r="D215" s="188">
        <v>-28159.23</v>
      </c>
      <c r="E215" s="188">
        <v>839900.77</v>
      </c>
      <c r="F215" s="188">
        <v>158937607.20781252</v>
      </c>
      <c r="G215" s="188">
        <v>159805667.20781249</v>
      </c>
      <c r="H215" s="187">
        <f t="shared" si="8"/>
        <v>158913557.43781251</v>
      </c>
    </row>
    <row r="216" spans="1:9" ht="14.4" x14ac:dyDescent="0.3">
      <c r="A216" s="157" t="s">
        <v>254</v>
      </c>
      <c r="B216" s="158">
        <v>1998</v>
      </c>
      <c r="C216" s="188">
        <v>2927</v>
      </c>
      <c r="D216" s="188">
        <v>3043.99</v>
      </c>
      <c r="E216" s="188">
        <v>754252.74</v>
      </c>
      <c r="F216" s="188">
        <v>137170428.05000001</v>
      </c>
      <c r="G216" s="188">
        <v>137921636.80000001</v>
      </c>
      <c r="H216" s="187">
        <f t="shared" si="8"/>
        <v>137164457.06</v>
      </c>
    </row>
    <row r="217" spans="1:9" ht="14.4" x14ac:dyDescent="0.3">
      <c r="A217" s="157" t="s">
        <v>254</v>
      </c>
      <c r="B217" s="158">
        <v>1999</v>
      </c>
      <c r="C217" s="188">
        <v>1027785</v>
      </c>
      <c r="D217" s="188">
        <v>-181.66</v>
      </c>
      <c r="E217" s="188">
        <v>-858089.09</v>
      </c>
      <c r="F217" s="188">
        <v>131475185.96000001</v>
      </c>
      <c r="G217" s="188">
        <v>130617278.53</v>
      </c>
      <c r="H217" s="187">
        <f t="shared" si="8"/>
        <v>130447582.62</v>
      </c>
    </row>
    <row r="218" spans="1:9" ht="14.4" x14ac:dyDescent="0.3">
      <c r="A218" s="157" t="s">
        <v>254</v>
      </c>
      <c r="B218" s="158">
        <v>2000</v>
      </c>
      <c r="C218" s="188">
        <v>66866</v>
      </c>
      <c r="D218" s="188">
        <v>8608.4600000000009</v>
      </c>
      <c r="E218" s="188">
        <v>28698.46</v>
      </c>
      <c r="F218" s="188">
        <v>159176979.44999999</v>
      </c>
      <c r="G218" s="188">
        <v>159197069.45000002</v>
      </c>
      <c r="H218" s="187">
        <f t="shared" si="8"/>
        <v>159101504.98999998</v>
      </c>
    </row>
    <row r="219" spans="1:9" ht="14.4" x14ac:dyDescent="0.3">
      <c r="A219" s="157" t="s">
        <v>254</v>
      </c>
      <c r="B219" s="158">
        <v>2001</v>
      </c>
      <c r="C219" s="188">
        <v>153227</v>
      </c>
      <c r="D219" s="188">
        <v>19400.72</v>
      </c>
      <c r="E219" s="188">
        <v>2455.3299999999977</v>
      </c>
      <c r="F219" s="188">
        <v>145792027.97999999</v>
      </c>
      <c r="G219" s="188">
        <v>145775082.59</v>
      </c>
      <c r="H219" s="187">
        <f t="shared" si="8"/>
        <v>145619400.25999999</v>
      </c>
    </row>
    <row r="220" spans="1:9" ht="14.4" x14ac:dyDescent="0.3">
      <c r="A220" s="157" t="s">
        <v>254</v>
      </c>
      <c r="B220" s="158">
        <v>2002</v>
      </c>
      <c r="C220" s="188">
        <v>330980</v>
      </c>
      <c r="D220" s="188">
        <v>-4951.3500000000022</v>
      </c>
      <c r="E220" s="188">
        <v>-15830.159999999998</v>
      </c>
      <c r="F220" s="188">
        <v>140805083.41000003</v>
      </c>
      <c r="G220" s="188">
        <v>140794204.60000002</v>
      </c>
      <c r="H220" s="187">
        <f t="shared" si="8"/>
        <v>140479054.76000002</v>
      </c>
    </row>
    <row r="221" spans="1:9" ht="14.4" x14ac:dyDescent="0.3">
      <c r="A221" s="157" t="s">
        <v>254</v>
      </c>
      <c r="B221" s="158">
        <v>2003</v>
      </c>
      <c r="C221" s="188">
        <v>20226.000000000004</v>
      </c>
      <c r="D221" s="188">
        <v>27354.420000000002</v>
      </c>
      <c r="E221" s="188">
        <v>153437.77000000002</v>
      </c>
      <c r="F221" s="188">
        <v>136489571.31</v>
      </c>
      <c r="G221" s="188">
        <v>136615654.66</v>
      </c>
      <c r="H221" s="187">
        <f t="shared" si="8"/>
        <v>136441990.89000002</v>
      </c>
    </row>
    <row r="222" spans="1:9" ht="14.4" x14ac:dyDescent="0.3">
      <c r="A222" s="157" t="s">
        <v>254</v>
      </c>
      <c r="B222" s="158">
        <v>2004</v>
      </c>
      <c r="C222" s="188">
        <v>-24</v>
      </c>
      <c r="D222" s="188">
        <v>21181.190000000002</v>
      </c>
      <c r="E222" s="188">
        <v>195459.62000000002</v>
      </c>
      <c r="F222" s="188">
        <v>136359354.42999998</v>
      </c>
      <c r="G222" s="188">
        <v>136533632.85999995</v>
      </c>
      <c r="H222" s="187">
        <f t="shared" si="8"/>
        <v>136338197.23999998</v>
      </c>
    </row>
    <row r="223" spans="1:9" ht="14.4" x14ac:dyDescent="0.3">
      <c r="A223" s="157" t="s">
        <v>254</v>
      </c>
      <c r="B223" s="158">
        <v>2005</v>
      </c>
      <c r="C223" s="188">
        <v>702</v>
      </c>
      <c r="D223" s="188">
        <v>150264.04</v>
      </c>
      <c r="E223" s="188">
        <v>45128.31</v>
      </c>
      <c r="F223" s="188">
        <v>112776938.47999997</v>
      </c>
      <c r="G223" s="188">
        <v>112671802.75</v>
      </c>
      <c r="H223" s="187">
        <f t="shared" si="8"/>
        <v>112625972.43999997</v>
      </c>
    </row>
    <row r="224" spans="1:9" ht="14.4" x14ac:dyDescent="0.3">
      <c r="A224" s="157" t="s">
        <v>254</v>
      </c>
      <c r="B224" s="158">
        <v>2006</v>
      </c>
      <c r="C224" s="188">
        <v>-1594</v>
      </c>
      <c r="D224" s="188">
        <v>192496</v>
      </c>
      <c r="E224" s="188">
        <v>462824.66000000003</v>
      </c>
      <c r="F224" s="188">
        <v>106625590.7</v>
      </c>
      <c r="G224" s="188">
        <v>106895919.36000001</v>
      </c>
      <c r="H224" s="187">
        <f t="shared" si="8"/>
        <v>106434688.7</v>
      </c>
    </row>
    <row r="225" spans="1:9" ht="14.4" x14ac:dyDescent="0.3">
      <c r="A225" s="157" t="s">
        <v>254</v>
      </c>
      <c r="B225" s="158">
        <v>2007</v>
      </c>
      <c r="C225" s="188">
        <v>810925</v>
      </c>
      <c r="D225" s="188">
        <v>445416.80000000005</v>
      </c>
      <c r="E225" s="188">
        <v>878686.38999999978</v>
      </c>
      <c r="F225" s="188">
        <v>98306489.170000002</v>
      </c>
      <c r="G225" s="188">
        <v>98739758.760000005</v>
      </c>
      <c r="H225" s="187">
        <f t="shared" si="8"/>
        <v>97050147.370000005</v>
      </c>
    </row>
    <row r="226" spans="1:9" ht="14.4" x14ac:dyDescent="0.3">
      <c r="A226" s="157" t="s">
        <v>254</v>
      </c>
      <c r="B226" s="158">
        <v>2008</v>
      </c>
      <c r="C226" s="188">
        <v>4704760.8</v>
      </c>
      <c r="D226" s="188">
        <v>-529346.56999999983</v>
      </c>
      <c r="E226" s="188">
        <v>69831.529999999984</v>
      </c>
      <c r="F226" s="188">
        <v>120331089.98</v>
      </c>
      <c r="G226" s="188">
        <v>120930268.08</v>
      </c>
      <c r="H226" s="187">
        <f t="shared" si="8"/>
        <v>116155675.75</v>
      </c>
    </row>
    <row r="227" spans="1:9" ht="14.4" x14ac:dyDescent="0.3">
      <c r="A227" s="157" t="s">
        <v>254</v>
      </c>
      <c r="B227" s="158">
        <v>2009</v>
      </c>
      <c r="C227" s="188">
        <v>685362.2</v>
      </c>
      <c r="D227" s="188">
        <v>279030.67000000004</v>
      </c>
      <c r="E227" s="188">
        <v>814478.42999999982</v>
      </c>
      <c r="F227" s="188">
        <v>89302616.00999999</v>
      </c>
      <c r="G227" s="188">
        <v>89838063.769999996</v>
      </c>
      <c r="H227" s="187">
        <f t="shared" si="8"/>
        <v>88338223.139999986</v>
      </c>
    </row>
    <row r="228" spans="1:9" ht="14.4" x14ac:dyDescent="0.3">
      <c r="A228" s="157" t="s">
        <v>254</v>
      </c>
      <c r="B228" s="158">
        <v>2010</v>
      </c>
      <c r="C228" s="188">
        <v>2180297</v>
      </c>
      <c r="D228" s="188">
        <v>-1044420.0000000002</v>
      </c>
      <c r="E228" s="188">
        <v>668521.89999999991</v>
      </c>
      <c r="F228" s="188">
        <v>116018260.08</v>
      </c>
      <c r="G228" s="188">
        <v>117731201.98000002</v>
      </c>
      <c r="H228" s="187">
        <f t="shared" si="8"/>
        <v>114882383.08</v>
      </c>
    </row>
    <row r="229" spans="1:9" ht="14.4" x14ac:dyDescent="0.3">
      <c r="A229" s="157" t="s">
        <v>254</v>
      </c>
      <c r="B229" s="158">
        <v>2011</v>
      </c>
      <c r="C229" s="188">
        <v>1807499</v>
      </c>
      <c r="D229" s="188">
        <v>1092004.8999999999</v>
      </c>
      <c r="E229" s="188">
        <v>1377034.0700000003</v>
      </c>
      <c r="F229" s="188">
        <v>93218495.75999999</v>
      </c>
      <c r="G229" s="188">
        <v>93503524.929999962</v>
      </c>
      <c r="H229" s="187">
        <f t="shared" si="8"/>
        <v>90318991.859999985</v>
      </c>
    </row>
    <row r="230" spans="1:9" ht="14.4" x14ac:dyDescent="0.3">
      <c r="A230" s="157" t="s">
        <v>254</v>
      </c>
      <c r="B230" s="158">
        <v>2012</v>
      </c>
      <c r="C230" s="188">
        <v>3938204</v>
      </c>
      <c r="D230" s="188">
        <v>1024211.29</v>
      </c>
      <c r="E230" s="188">
        <v>962204.9099999998</v>
      </c>
      <c r="F230" s="188">
        <v>150894934.28999996</v>
      </c>
      <c r="G230" s="188">
        <v>150832927.90999997</v>
      </c>
      <c r="H230" s="187">
        <f t="shared" si="8"/>
        <v>145932518.99999997</v>
      </c>
    </row>
    <row r="231" spans="1:9" ht="14.4" x14ac:dyDescent="0.3">
      <c r="A231" s="157" t="s">
        <v>254</v>
      </c>
      <c r="B231" s="158">
        <v>2013</v>
      </c>
      <c r="C231" s="188">
        <v>2932167</v>
      </c>
      <c r="D231" s="188">
        <v>4666832.3100000005</v>
      </c>
      <c r="E231" s="188">
        <v>6583536.2299999995</v>
      </c>
      <c r="F231" s="188">
        <v>54813962.179999985</v>
      </c>
      <c r="G231" s="188">
        <v>56730666.099999994</v>
      </c>
      <c r="H231" s="187">
        <f t="shared" si="8"/>
        <v>47214962.869999982</v>
      </c>
    </row>
    <row r="232" spans="1:9" ht="14.4" x14ac:dyDescent="0.3">
      <c r="A232" s="157" t="s">
        <v>254</v>
      </c>
      <c r="B232" s="158">
        <v>2014</v>
      </c>
      <c r="C232" s="188">
        <v>11310003</v>
      </c>
      <c r="D232" s="188">
        <v>1673069.5800000003</v>
      </c>
      <c r="E232" s="188">
        <v>1224441.5700000003</v>
      </c>
      <c r="F232" s="188">
        <v>42788307.320000008</v>
      </c>
      <c r="G232" s="188">
        <v>42339679.309999995</v>
      </c>
      <c r="H232" s="187">
        <f t="shared" si="8"/>
        <v>29805234.74000001</v>
      </c>
    </row>
    <row r="233" spans="1:9" ht="14.4" x14ac:dyDescent="0.3">
      <c r="A233" s="157" t="s">
        <v>254</v>
      </c>
      <c r="B233" s="158">
        <v>2015</v>
      </c>
      <c r="C233" s="188">
        <v>11793437</v>
      </c>
      <c r="D233" s="188">
        <v>16485126.490000002</v>
      </c>
      <c r="E233" s="188">
        <v>18212607.639999997</v>
      </c>
      <c r="F233" s="188">
        <v>39788441.589999996</v>
      </c>
      <c r="G233" s="188">
        <v>41515922.739999995</v>
      </c>
      <c r="H233" s="187">
        <f t="shared" si="8"/>
        <v>11509878.099999994</v>
      </c>
    </row>
    <row r="234" spans="1:9" ht="14.4" x14ac:dyDescent="0.3">
      <c r="A234" s="157" t="s">
        <v>240</v>
      </c>
      <c r="B234" s="158">
        <v>1995</v>
      </c>
      <c r="C234" s="186">
        <v>-25769482</v>
      </c>
      <c r="D234" s="186">
        <v>-7408767.1600000001</v>
      </c>
      <c r="E234" s="186">
        <v>-10884024.980000002</v>
      </c>
      <c r="F234" s="186">
        <f>$I234+$C234+D234</f>
        <v>-574994249.15999997</v>
      </c>
      <c r="G234" s="186">
        <f>$I234+$C234+E234</f>
        <v>-578469506.98000002</v>
      </c>
      <c r="H234" s="187">
        <f t="shared" si="8"/>
        <v>-541816000</v>
      </c>
      <c r="I234" s="43">
        <f>VLOOKUP(A234,$L$3:$N$39,3,0)*1000</f>
        <v>-541816000</v>
      </c>
    </row>
    <row r="235" spans="1:9" ht="14.4" x14ac:dyDescent="0.3">
      <c r="A235" s="157" t="s">
        <v>240</v>
      </c>
      <c r="B235" s="158">
        <v>1996</v>
      </c>
      <c r="C235" s="186">
        <v>-17491949</v>
      </c>
      <c r="D235" s="186">
        <v>-1987648.6400000001</v>
      </c>
      <c r="E235" s="186">
        <v>-3090332.06</v>
      </c>
      <c r="F235" s="186">
        <v>-754152664.3900001</v>
      </c>
      <c r="G235" s="186">
        <v>-755255347.81000006</v>
      </c>
      <c r="H235" s="187">
        <f t="shared" ref="H235:H239" si="9">F235-D235-C235</f>
        <v>-734673066.75000012</v>
      </c>
    </row>
    <row r="236" spans="1:9" ht="14.4" x14ac:dyDescent="0.3">
      <c r="A236" s="157" t="s">
        <v>240</v>
      </c>
      <c r="B236" s="158">
        <v>1997</v>
      </c>
      <c r="C236" s="186">
        <v>-15890354</v>
      </c>
      <c r="D236" s="186">
        <v>-3216256.65</v>
      </c>
      <c r="E236" s="186">
        <v>-4404990.6399999997</v>
      </c>
      <c r="F236" s="186">
        <v>-830939907.11000001</v>
      </c>
      <c r="G236" s="186">
        <v>-832128641.10000002</v>
      </c>
      <c r="H236" s="187">
        <f t="shared" si="9"/>
        <v>-811833296.46000004</v>
      </c>
    </row>
    <row r="237" spans="1:9" ht="14.4" x14ac:dyDescent="0.3">
      <c r="A237" s="157" t="s">
        <v>240</v>
      </c>
      <c r="B237" s="158">
        <v>1998</v>
      </c>
      <c r="C237" s="188">
        <v>-17772079</v>
      </c>
      <c r="D237" s="188">
        <v>-6301644.7699999996</v>
      </c>
      <c r="E237" s="188">
        <v>-7669966.3499999996</v>
      </c>
      <c r="F237" s="188">
        <v>-898660036.21000004</v>
      </c>
      <c r="G237" s="188">
        <v>-900028357.79000008</v>
      </c>
      <c r="H237" s="187">
        <f t="shared" si="9"/>
        <v>-874586312.44000006</v>
      </c>
    </row>
    <row r="238" spans="1:9" ht="14.4" x14ac:dyDescent="0.3">
      <c r="A238" s="157" t="s">
        <v>240</v>
      </c>
      <c r="B238" s="158">
        <v>1999</v>
      </c>
      <c r="C238" s="186">
        <v>-22744885</v>
      </c>
      <c r="D238" s="186">
        <v>-12186450.109999999</v>
      </c>
      <c r="E238" s="186">
        <v>-11948468.310000001</v>
      </c>
      <c r="F238" s="186">
        <v>-1048099686.4299999</v>
      </c>
      <c r="G238" s="186">
        <v>-1047861704.63</v>
      </c>
      <c r="H238" s="187">
        <f t="shared" si="9"/>
        <v>-1013168351.3199999</v>
      </c>
    </row>
    <row r="239" spans="1:9" ht="14.4" x14ac:dyDescent="0.3">
      <c r="A239" s="157" t="s">
        <v>240</v>
      </c>
      <c r="B239" s="158">
        <v>2000</v>
      </c>
      <c r="C239" s="188">
        <v>-19267861</v>
      </c>
      <c r="D239" s="188">
        <v>-12763125.279999999</v>
      </c>
      <c r="E239" s="188">
        <v>-15672220.68</v>
      </c>
      <c r="F239" s="188">
        <v>-1207186651.49</v>
      </c>
      <c r="G239" s="188">
        <v>-1210095746.8899999</v>
      </c>
      <c r="H239" s="187">
        <f t="shared" si="9"/>
        <v>-1175155665.21</v>
      </c>
    </row>
    <row r="240" spans="1:9" ht="14.4" x14ac:dyDescent="0.3">
      <c r="A240" s="157" t="s">
        <v>240</v>
      </c>
      <c r="B240" s="158">
        <v>2001</v>
      </c>
      <c r="C240" s="188">
        <v>-26247831</v>
      </c>
      <c r="D240" s="188">
        <v>-6041178.7999999998</v>
      </c>
      <c r="E240" s="188">
        <v>-10177872.390000001</v>
      </c>
      <c r="F240" s="188">
        <v>-1362228036.96</v>
      </c>
      <c r="G240" s="188">
        <v>-1366364730.55</v>
      </c>
      <c r="H240" s="187">
        <f t="shared" ref="H240:H276" si="10">F240-D240-C240</f>
        <v>-1329939027.1600001</v>
      </c>
    </row>
    <row r="241" spans="1:9" ht="14.4" x14ac:dyDescent="0.3">
      <c r="A241" s="157" t="s">
        <v>240</v>
      </c>
      <c r="B241" s="158">
        <v>2002</v>
      </c>
      <c r="C241" s="188">
        <v>-22747229</v>
      </c>
      <c r="D241" s="188">
        <v>-17275262.799999997</v>
      </c>
      <c r="E241" s="188">
        <v>-18529872.629999999</v>
      </c>
      <c r="F241" s="188">
        <v>-1265617039.7800002</v>
      </c>
      <c r="G241" s="188">
        <v>-1266871649.6100001</v>
      </c>
      <c r="H241" s="187">
        <f t="shared" si="10"/>
        <v>-1225594547.9800003</v>
      </c>
    </row>
    <row r="242" spans="1:9" ht="14.4" x14ac:dyDescent="0.3">
      <c r="A242" s="157" t="s">
        <v>240</v>
      </c>
      <c r="B242" s="158">
        <v>2003</v>
      </c>
      <c r="C242" s="188">
        <v>-19880586</v>
      </c>
      <c r="D242" s="188">
        <v>-18821687.760000002</v>
      </c>
      <c r="E242" s="188">
        <v>-18275707.299999997</v>
      </c>
      <c r="F242" s="188">
        <v>-795586717.99000001</v>
      </c>
      <c r="G242" s="188">
        <v>-795040737.53000009</v>
      </c>
      <c r="H242" s="187">
        <f t="shared" si="10"/>
        <v>-756884444.23000002</v>
      </c>
    </row>
    <row r="243" spans="1:9" ht="14.4" x14ac:dyDescent="0.3">
      <c r="A243" s="157" t="s">
        <v>240</v>
      </c>
      <c r="B243" s="158">
        <v>2004</v>
      </c>
      <c r="C243" s="188">
        <v>-14668999</v>
      </c>
      <c r="D243" s="188">
        <v>-12367820.16</v>
      </c>
      <c r="E243" s="188">
        <v>-13238749.33</v>
      </c>
      <c r="F243" s="188">
        <v>-597806119.61000001</v>
      </c>
      <c r="G243" s="188">
        <v>-598677048.77999997</v>
      </c>
      <c r="H243" s="187">
        <f t="shared" si="10"/>
        <v>-570769300.45000005</v>
      </c>
    </row>
    <row r="244" spans="1:9" ht="14.4" x14ac:dyDescent="0.3">
      <c r="A244" s="157" t="s">
        <v>240</v>
      </c>
      <c r="B244" s="158">
        <v>2005</v>
      </c>
      <c r="C244" s="188">
        <v>-9354214</v>
      </c>
      <c r="D244" s="188">
        <v>-13064417.890000001</v>
      </c>
      <c r="E244" s="188">
        <v>-12315962.159999998</v>
      </c>
      <c r="F244" s="188">
        <v>-335438943.15000004</v>
      </c>
      <c r="G244" s="188">
        <v>-334690487.42000002</v>
      </c>
      <c r="H244" s="187">
        <f t="shared" si="10"/>
        <v>-313020311.26000005</v>
      </c>
    </row>
    <row r="245" spans="1:9" ht="14.4" x14ac:dyDescent="0.3">
      <c r="A245" s="157" t="s">
        <v>240</v>
      </c>
      <c r="B245" s="158">
        <v>2006</v>
      </c>
      <c r="C245" s="188">
        <v>-12012800</v>
      </c>
      <c r="D245" s="188">
        <v>-11055295.210000001</v>
      </c>
      <c r="E245" s="188">
        <v>-10610827.689999999</v>
      </c>
      <c r="F245" s="188">
        <v>-306712048.44999999</v>
      </c>
      <c r="G245" s="188">
        <v>-306267580.93000001</v>
      </c>
      <c r="H245" s="187">
        <f t="shared" si="10"/>
        <v>-283643953.24000001</v>
      </c>
    </row>
    <row r="246" spans="1:9" ht="14.4" x14ac:dyDescent="0.3">
      <c r="A246" s="157" t="s">
        <v>240</v>
      </c>
      <c r="B246" s="158">
        <v>2007</v>
      </c>
      <c r="C246" s="188">
        <v>-10520921</v>
      </c>
      <c r="D246" s="188">
        <v>-11830651.239999998</v>
      </c>
      <c r="E246" s="188">
        <v>-11946074.459999999</v>
      </c>
      <c r="F246" s="188">
        <v>-266377733.94</v>
      </c>
      <c r="G246" s="188">
        <v>-266493157.16</v>
      </c>
      <c r="H246" s="187">
        <f t="shared" si="10"/>
        <v>-244026161.69999999</v>
      </c>
    </row>
    <row r="247" spans="1:9" ht="14.4" x14ac:dyDescent="0.3">
      <c r="A247" s="157" t="s">
        <v>240</v>
      </c>
      <c r="B247" s="158">
        <v>2008</v>
      </c>
      <c r="C247" s="188">
        <v>-8780519</v>
      </c>
      <c r="D247" s="188">
        <v>-8728371.1999999993</v>
      </c>
      <c r="E247" s="188">
        <v>-10489768.07</v>
      </c>
      <c r="F247" s="188">
        <v>-236586016.16999999</v>
      </c>
      <c r="G247" s="188">
        <v>-238347413.04000002</v>
      </c>
      <c r="H247" s="187">
        <f t="shared" si="10"/>
        <v>-219077125.97</v>
      </c>
    </row>
    <row r="248" spans="1:9" ht="14.4" x14ac:dyDescent="0.3">
      <c r="A248" s="157" t="s">
        <v>240</v>
      </c>
      <c r="B248" s="158">
        <v>2009</v>
      </c>
      <c r="C248" s="188">
        <v>-9406567</v>
      </c>
      <c r="D248" s="188">
        <v>-16499066.620000001</v>
      </c>
      <c r="E248" s="188">
        <v>-16933574.710000001</v>
      </c>
      <c r="F248" s="188">
        <v>-234840234.53999999</v>
      </c>
      <c r="G248" s="188">
        <v>-235274742.63</v>
      </c>
      <c r="H248" s="187">
        <f t="shared" si="10"/>
        <v>-208934600.91999999</v>
      </c>
    </row>
    <row r="249" spans="1:9" ht="14.4" x14ac:dyDescent="0.3">
      <c r="A249" s="157" t="s">
        <v>240</v>
      </c>
      <c r="B249" s="158">
        <v>2010</v>
      </c>
      <c r="C249" s="188">
        <v>-9554235</v>
      </c>
      <c r="D249" s="188">
        <v>-21580274.699999999</v>
      </c>
      <c r="E249" s="188">
        <v>-21569739.579999998</v>
      </c>
      <c r="F249" s="188">
        <v>-234160131.69999999</v>
      </c>
      <c r="G249" s="188">
        <v>-234149596.57999998</v>
      </c>
      <c r="H249" s="187">
        <f t="shared" si="10"/>
        <v>-203025622</v>
      </c>
    </row>
    <row r="250" spans="1:9" ht="14.4" x14ac:dyDescent="0.3">
      <c r="A250" s="157" t="s">
        <v>240</v>
      </c>
      <c r="B250" s="158">
        <v>2011</v>
      </c>
      <c r="C250" s="188">
        <v>-14267034</v>
      </c>
      <c r="D250" s="188">
        <v>-28061341.990000002</v>
      </c>
      <c r="E250" s="188">
        <v>-27162830.680000003</v>
      </c>
      <c r="F250" s="188">
        <v>-218061859.93000001</v>
      </c>
      <c r="G250" s="188">
        <v>-217163348.62</v>
      </c>
      <c r="H250" s="187">
        <f t="shared" si="10"/>
        <v>-175733483.94</v>
      </c>
    </row>
    <row r="251" spans="1:9" ht="14.4" x14ac:dyDescent="0.3">
      <c r="A251" s="157" t="s">
        <v>240</v>
      </c>
      <c r="B251" s="158">
        <v>2012</v>
      </c>
      <c r="C251" s="188">
        <v>-20447646</v>
      </c>
      <c r="D251" s="188">
        <v>-42556879.32</v>
      </c>
      <c r="E251" s="188">
        <v>-41639906.049999997</v>
      </c>
      <c r="F251" s="188">
        <v>-236725320.63999999</v>
      </c>
      <c r="G251" s="188">
        <v>-235808347.37</v>
      </c>
      <c r="H251" s="187">
        <f t="shared" si="10"/>
        <v>-173720795.31999999</v>
      </c>
    </row>
    <row r="252" spans="1:9" ht="14.4" x14ac:dyDescent="0.3">
      <c r="A252" s="157" t="s">
        <v>240</v>
      </c>
      <c r="B252" s="158">
        <v>2013</v>
      </c>
      <c r="C252" s="188">
        <v>-25166625</v>
      </c>
      <c r="D252" s="188">
        <v>-54603485.969999999</v>
      </c>
      <c r="E252" s="188">
        <v>-55335939.740000002</v>
      </c>
      <c r="F252" s="188">
        <v>-223928395.78999999</v>
      </c>
      <c r="G252" s="188">
        <v>-224660849.56</v>
      </c>
      <c r="H252" s="187">
        <f t="shared" si="10"/>
        <v>-144158284.81999999</v>
      </c>
    </row>
    <row r="253" spans="1:9" ht="14.4" x14ac:dyDescent="0.3">
      <c r="A253" s="157" t="s">
        <v>240</v>
      </c>
      <c r="B253" s="158">
        <v>2014</v>
      </c>
      <c r="C253" s="188">
        <v>-37809628</v>
      </c>
      <c r="D253" s="188">
        <v>-94337451.379999995</v>
      </c>
      <c r="E253" s="188">
        <v>-94817657.519999996</v>
      </c>
      <c r="F253" s="188">
        <v>-231053577.30000001</v>
      </c>
      <c r="G253" s="188">
        <v>-231533783.44000003</v>
      </c>
      <c r="H253" s="187">
        <f t="shared" si="10"/>
        <v>-98906497.920000017</v>
      </c>
    </row>
    <row r="254" spans="1:9" ht="14.4" x14ac:dyDescent="0.3">
      <c r="A254" s="157" t="s">
        <v>240</v>
      </c>
      <c r="B254" s="158">
        <v>2015</v>
      </c>
      <c r="C254" s="188">
        <v>-35542707</v>
      </c>
      <c r="D254" s="188">
        <v>-97169872.260000005</v>
      </c>
      <c r="E254" s="188">
        <v>-105865048.19</v>
      </c>
      <c r="F254" s="188">
        <v>-168829724.68000001</v>
      </c>
      <c r="G254" s="188">
        <v>-177524900.61000001</v>
      </c>
      <c r="H254" s="187">
        <f t="shared" si="10"/>
        <v>-36117145.420000002</v>
      </c>
    </row>
    <row r="255" spans="1:9" ht="14.4" x14ac:dyDescent="0.3">
      <c r="A255" s="157" t="s">
        <v>241</v>
      </c>
      <c r="B255" s="158">
        <v>1995</v>
      </c>
      <c r="C255" s="186"/>
      <c r="D255" s="186"/>
      <c r="E255" s="186"/>
      <c r="F255" s="186">
        <f>$I255+$C255+D255</f>
        <v>0</v>
      </c>
      <c r="G255" s="186">
        <f>$I255+$C255+E255</f>
        <v>0</v>
      </c>
      <c r="H255" s="187">
        <f t="shared" si="10"/>
        <v>0</v>
      </c>
      <c r="I255" s="43">
        <f>VLOOKUP(A255,$L$3:$N$39,3,0)*1000</f>
        <v>0</v>
      </c>
    </row>
    <row r="256" spans="1:9" ht="14.4" x14ac:dyDescent="0.3">
      <c r="A256" s="157" t="s">
        <v>241</v>
      </c>
      <c r="B256" s="158">
        <v>1996</v>
      </c>
      <c r="C256" s="188"/>
      <c r="D256" s="188"/>
      <c r="E256" s="188"/>
      <c r="F256" s="188"/>
      <c r="G256" s="188"/>
      <c r="H256" s="187">
        <f t="shared" si="10"/>
        <v>0</v>
      </c>
    </row>
    <row r="257" spans="1:8" ht="14.4" x14ac:dyDescent="0.3">
      <c r="A257" s="157" t="s">
        <v>241</v>
      </c>
      <c r="B257" s="158">
        <v>1997</v>
      </c>
      <c r="C257" s="188">
        <v>0</v>
      </c>
      <c r="D257" s="188">
        <v>-276.45</v>
      </c>
      <c r="E257" s="188">
        <v>-276.45</v>
      </c>
      <c r="F257" s="188">
        <v>76375.25</v>
      </c>
      <c r="G257" s="188">
        <v>76375.25</v>
      </c>
      <c r="H257" s="187">
        <f t="shared" si="10"/>
        <v>76651.7</v>
      </c>
    </row>
    <row r="258" spans="1:8" ht="14.4" x14ac:dyDescent="0.3">
      <c r="A258" s="157" t="s">
        <v>241</v>
      </c>
      <c r="B258" s="158">
        <v>1998</v>
      </c>
      <c r="C258" s="188">
        <v>-13933</v>
      </c>
      <c r="D258" s="188">
        <v>-997.17000000000007</v>
      </c>
      <c r="E258" s="188">
        <v>-75777.87999999999</v>
      </c>
      <c r="F258" s="188">
        <v>-4018054.3099999996</v>
      </c>
      <c r="G258" s="188">
        <v>-4092835.0199999996</v>
      </c>
      <c r="H258" s="187">
        <f t="shared" si="10"/>
        <v>-4003124.1399999997</v>
      </c>
    </row>
    <row r="259" spans="1:8" ht="14.4" x14ac:dyDescent="0.3">
      <c r="A259" s="157" t="s">
        <v>241</v>
      </c>
      <c r="B259" s="158">
        <v>1999</v>
      </c>
      <c r="C259" s="188">
        <v>-2350</v>
      </c>
      <c r="D259" s="188">
        <v>-3399.7800000000007</v>
      </c>
      <c r="E259" s="188">
        <v>-5398.119999999999</v>
      </c>
      <c r="F259" s="188">
        <v>-1705677.31</v>
      </c>
      <c r="G259" s="188">
        <v>-1707675.6500000001</v>
      </c>
      <c r="H259" s="187">
        <f t="shared" si="10"/>
        <v>-1699927.53</v>
      </c>
    </row>
    <row r="260" spans="1:8" ht="14.4" x14ac:dyDescent="0.3">
      <c r="A260" s="157" t="s">
        <v>241</v>
      </c>
      <c r="B260" s="158">
        <v>2000</v>
      </c>
      <c r="C260" s="188">
        <v>-296172</v>
      </c>
      <c r="D260" s="188">
        <v>25216.5</v>
      </c>
      <c r="E260" s="188">
        <v>-27891.750000000004</v>
      </c>
      <c r="F260" s="188">
        <v>-4640534.79</v>
      </c>
      <c r="G260" s="188">
        <v>-4693643.04</v>
      </c>
      <c r="H260" s="187">
        <f t="shared" si="10"/>
        <v>-4369579.29</v>
      </c>
    </row>
    <row r="261" spans="1:8" ht="14.4" x14ac:dyDescent="0.3">
      <c r="A261" s="157" t="s">
        <v>241</v>
      </c>
      <c r="B261" s="158">
        <v>2001</v>
      </c>
      <c r="C261" s="188">
        <v>-602000</v>
      </c>
      <c r="D261" s="188">
        <v>-345029.85000000003</v>
      </c>
      <c r="E261" s="188">
        <v>462822.79</v>
      </c>
      <c r="F261" s="188">
        <v>-14269870.77</v>
      </c>
      <c r="G261" s="188">
        <v>-13462018.129999999</v>
      </c>
      <c r="H261" s="187">
        <f t="shared" si="10"/>
        <v>-13322840.92</v>
      </c>
    </row>
    <row r="262" spans="1:8" ht="14.4" x14ac:dyDescent="0.3">
      <c r="A262" s="157" t="s">
        <v>241</v>
      </c>
      <c r="B262" s="158">
        <v>2002</v>
      </c>
      <c r="C262" s="188">
        <v>-501637</v>
      </c>
      <c r="D262" s="188">
        <v>-261884.13999999996</v>
      </c>
      <c r="E262" s="188">
        <v>269698.13999999996</v>
      </c>
      <c r="F262" s="188">
        <v>-12671654.630000001</v>
      </c>
      <c r="G262" s="188">
        <v>-12140072.350000001</v>
      </c>
      <c r="H262" s="187">
        <f t="shared" si="10"/>
        <v>-11908133.49</v>
      </c>
    </row>
    <row r="263" spans="1:8" ht="14.4" x14ac:dyDescent="0.3">
      <c r="A263" s="157" t="s">
        <v>241</v>
      </c>
      <c r="B263" s="158">
        <v>2003</v>
      </c>
      <c r="C263" s="188">
        <v>-322753</v>
      </c>
      <c r="D263" s="188">
        <v>-70323.62000000001</v>
      </c>
      <c r="E263" s="188">
        <v>514290.73</v>
      </c>
      <c r="F263" s="188">
        <v>-22623360.599999998</v>
      </c>
      <c r="G263" s="188">
        <v>-22038746.25</v>
      </c>
      <c r="H263" s="187">
        <f t="shared" si="10"/>
        <v>-22230283.979999997</v>
      </c>
    </row>
    <row r="264" spans="1:8" ht="14.4" x14ac:dyDescent="0.3">
      <c r="A264" s="157" t="s">
        <v>241</v>
      </c>
      <c r="B264" s="158">
        <v>2004</v>
      </c>
      <c r="C264" s="188">
        <v>-260016</v>
      </c>
      <c r="D264" s="188">
        <v>-10331.07</v>
      </c>
      <c r="E264" s="188">
        <v>532447.19999999995</v>
      </c>
      <c r="F264" s="188">
        <v>-37840299.169999994</v>
      </c>
      <c r="G264" s="188">
        <v>-37297520.899999999</v>
      </c>
      <c r="H264" s="187">
        <f t="shared" si="10"/>
        <v>-37569952.099999994</v>
      </c>
    </row>
    <row r="265" spans="1:8" ht="14.4" x14ac:dyDescent="0.3">
      <c r="A265" s="157" t="s">
        <v>241</v>
      </c>
      <c r="B265" s="158">
        <v>2005</v>
      </c>
      <c r="C265" s="188">
        <v>-370765</v>
      </c>
      <c r="D265" s="188">
        <v>-1392850.57</v>
      </c>
      <c r="E265" s="188">
        <v>-2153474.4000000004</v>
      </c>
      <c r="F265" s="188">
        <v>-58447399.43</v>
      </c>
      <c r="G265" s="188">
        <v>-59208023.259999998</v>
      </c>
      <c r="H265" s="187">
        <f t="shared" si="10"/>
        <v>-56683783.859999999</v>
      </c>
    </row>
    <row r="266" spans="1:8" ht="14.4" x14ac:dyDescent="0.3">
      <c r="A266" s="157" t="s">
        <v>241</v>
      </c>
      <c r="B266" s="158">
        <v>2006</v>
      </c>
      <c r="C266" s="188">
        <v>-277449</v>
      </c>
      <c r="D266" s="188">
        <v>-108731.56000000006</v>
      </c>
      <c r="E266" s="188">
        <v>-104377.81999999999</v>
      </c>
      <c r="F266" s="188">
        <v>-65424887.719999999</v>
      </c>
      <c r="G266" s="188">
        <v>-65420533.980000004</v>
      </c>
      <c r="H266" s="187">
        <f t="shared" si="10"/>
        <v>-65038707.159999996</v>
      </c>
    </row>
    <row r="267" spans="1:8" ht="14.4" x14ac:dyDescent="0.3">
      <c r="A267" s="157" t="s">
        <v>241</v>
      </c>
      <c r="B267" s="158">
        <v>2007</v>
      </c>
      <c r="C267" s="188">
        <v>-685465</v>
      </c>
      <c r="D267" s="188">
        <v>-398184.89999999997</v>
      </c>
      <c r="E267" s="188">
        <v>994508.22</v>
      </c>
      <c r="F267" s="188">
        <v>-69753701.969999999</v>
      </c>
      <c r="G267" s="188">
        <v>-68361008.850000009</v>
      </c>
      <c r="H267" s="187">
        <f t="shared" si="10"/>
        <v>-68670052.069999993</v>
      </c>
    </row>
    <row r="268" spans="1:8" ht="14.4" x14ac:dyDescent="0.3">
      <c r="A268" s="157" t="s">
        <v>241</v>
      </c>
      <c r="B268" s="158">
        <v>2008</v>
      </c>
      <c r="C268" s="188">
        <v>-940853</v>
      </c>
      <c r="D268" s="188">
        <v>-563585.02</v>
      </c>
      <c r="E268" s="188">
        <v>-8102.7799999999697</v>
      </c>
      <c r="F268" s="188">
        <v>-50400651.649999999</v>
      </c>
      <c r="G268" s="188">
        <v>-49845169.409999996</v>
      </c>
      <c r="H268" s="187">
        <f t="shared" si="10"/>
        <v>-48896213.629999995</v>
      </c>
    </row>
    <row r="269" spans="1:8" ht="14.4" x14ac:dyDescent="0.3">
      <c r="A269" s="157" t="s">
        <v>241</v>
      </c>
      <c r="B269" s="158">
        <v>2009</v>
      </c>
      <c r="C269" s="188">
        <v>-1562895</v>
      </c>
      <c r="D269" s="188">
        <v>-918139.8600000001</v>
      </c>
      <c r="E269" s="188">
        <v>-205710.14000000013</v>
      </c>
      <c r="F269" s="188">
        <v>-47684035.600000001</v>
      </c>
      <c r="G269" s="188">
        <v>-46971605.880000003</v>
      </c>
      <c r="H269" s="187">
        <f t="shared" si="10"/>
        <v>-45203000.740000002</v>
      </c>
    </row>
    <row r="270" spans="1:8" ht="14.4" x14ac:dyDescent="0.3">
      <c r="A270" s="157" t="s">
        <v>241</v>
      </c>
      <c r="B270" s="158">
        <v>2010</v>
      </c>
      <c r="C270" s="188">
        <v>-2116711</v>
      </c>
      <c r="D270" s="188">
        <v>-1180055.7000000002</v>
      </c>
      <c r="E270" s="188">
        <v>-3743610.48</v>
      </c>
      <c r="F270" s="188">
        <v>-41117178.060000002</v>
      </c>
      <c r="G270" s="188">
        <v>-43680732.839999996</v>
      </c>
      <c r="H270" s="187">
        <f t="shared" si="10"/>
        <v>-37820411.359999999</v>
      </c>
    </row>
    <row r="271" spans="1:8" ht="14.4" x14ac:dyDescent="0.3">
      <c r="A271" s="157" t="s">
        <v>241</v>
      </c>
      <c r="B271" s="158">
        <v>2011</v>
      </c>
      <c r="C271" s="188">
        <v>-4374100</v>
      </c>
      <c r="D271" s="188">
        <v>5311166.2200000025</v>
      </c>
      <c r="E271" s="188">
        <v>-19083761.75</v>
      </c>
      <c r="F271" s="188">
        <v>-146722633.43000001</v>
      </c>
      <c r="G271" s="188">
        <v>-171117561.40000001</v>
      </c>
      <c r="H271" s="187">
        <f t="shared" si="10"/>
        <v>-147659699.65000001</v>
      </c>
    </row>
    <row r="272" spans="1:8" ht="14.4" x14ac:dyDescent="0.3">
      <c r="A272" s="157" t="s">
        <v>241</v>
      </c>
      <c r="B272" s="158">
        <v>2012</v>
      </c>
      <c r="C272" s="188">
        <v>-4341524</v>
      </c>
      <c r="D272" s="188">
        <v>-9464836.4499999993</v>
      </c>
      <c r="E272" s="188">
        <v>-10120530.539999999</v>
      </c>
      <c r="F272" s="188">
        <v>-40170921.450000003</v>
      </c>
      <c r="G272" s="188">
        <v>-40826615.539999999</v>
      </c>
      <c r="H272" s="187">
        <f t="shared" si="10"/>
        <v>-26364561.000000004</v>
      </c>
    </row>
    <row r="273" spans="1:9" ht="14.4" x14ac:dyDescent="0.3">
      <c r="A273" s="157" t="s">
        <v>241</v>
      </c>
      <c r="B273" s="158">
        <v>2013</v>
      </c>
      <c r="C273" s="188">
        <v>-9150009</v>
      </c>
      <c r="D273" s="188">
        <v>-20886650.810000002</v>
      </c>
      <c r="E273" s="188">
        <v>-14309029.080000002</v>
      </c>
      <c r="F273" s="188">
        <v>-56450787.030000001</v>
      </c>
      <c r="G273" s="188">
        <v>-49873165.299999997</v>
      </c>
      <c r="H273" s="187">
        <f t="shared" si="10"/>
        <v>-26414127.219999999</v>
      </c>
    </row>
    <row r="274" spans="1:9" ht="14.4" x14ac:dyDescent="0.3">
      <c r="A274" s="157" t="s">
        <v>241</v>
      </c>
      <c r="B274" s="158">
        <v>2014</v>
      </c>
      <c r="C274" s="188">
        <v>-10381306</v>
      </c>
      <c r="D274" s="188">
        <v>-37023306.990000002</v>
      </c>
      <c r="E274" s="188">
        <v>-38187439.829999998</v>
      </c>
      <c r="F274" s="188">
        <v>-61554157.660000004</v>
      </c>
      <c r="G274" s="188">
        <v>-62718290.500000007</v>
      </c>
      <c r="H274" s="187">
        <f t="shared" si="10"/>
        <v>-14149544.670000002</v>
      </c>
    </row>
    <row r="275" spans="1:9" ht="14.4" x14ac:dyDescent="0.3">
      <c r="A275" s="157" t="s">
        <v>241</v>
      </c>
      <c r="B275" s="158">
        <v>2015</v>
      </c>
      <c r="C275" s="188">
        <v>-6839954</v>
      </c>
      <c r="D275" s="188">
        <v>12758009.359999999</v>
      </c>
      <c r="E275" s="188">
        <v>12758009.359999999</v>
      </c>
      <c r="F275" s="188">
        <v>0</v>
      </c>
      <c r="G275" s="188">
        <v>0</v>
      </c>
      <c r="H275" s="187">
        <f t="shared" si="10"/>
        <v>-5918055.3599999994</v>
      </c>
    </row>
    <row r="276" spans="1:9" ht="14.4" x14ac:dyDescent="0.3">
      <c r="A276" s="157" t="s">
        <v>242</v>
      </c>
      <c r="B276" s="158">
        <v>1995</v>
      </c>
      <c r="C276" s="186"/>
      <c r="D276" s="186"/>
      <c r="E276" s="186"/>
      <c r="F276" s="186">
        <f>$I276+$C276+D276</f>
        <v>11588000</v>
      </c>
      <c r="G276" s="186">
        <f>$I276+$C276+E276</f>
        <v>11588000</v>
      </c>
      <c r="H276" s="187">
        <f t="shared" si="10"/>
        <v>11588000</v>
      </c>
      <c r="I276" s="43">
        <f>VLOOKUP(A276,$L$3:$N$39,3,0)*1000</f>
        <v>11588000</v>
      </c>
    </row>
    <row r="277" spans="1:9" ht="14.4" x14ac:dyDescent="0.3">
      <c r="A277" s="157" t="s">
        <v>242</v>
      </c>
      <c r="B277" s="158">
        <v>1996</v>
      </c>
      <c r="C277" s="188">
        <v>125057</v>
      </c>
      <c r="D277" s="188">
        <v>112140.81</v>
      </c>
      <c r="E277" s="188">
        <v>37140.810000000005</v>
      </c>
      <c r="F277" s="188">
        <v>714632.14</v>
      </c>
      <c r="G277" s="188">
        <v>639632.14</v>
      </c>
      <c r="H277" s="187">
        <f t="shared" ref="H277:H318" si="11">F277-D277-C277</f>
        <v>477434.33000000007</v>
      </c>
    </row>
    <row r="278" spans="1:9" ht="14.4" x14ac:dyDescent="0.3">
      <c r="A278" s="157" t="s">
        <v>242</v>
      </c>
      <c r="B278" s="158">
        <v>1997</v>
      </c>
      <c r="C278" s="188">
        <v>90411</v>
      </c>
      <c r="D278" s="188">
        <v>138477.09</v>
      </c>
      <c r="E278" s="188">
        <v>28477.09</v>
      </c>
      <c r="F278" s="188">
        <v>60657847.280000001</v>
      </c>
      <c r="G278" s="188">
        <v>60547847.280000001</v>
      </c>
      <c r="H278" s="187">
        <f t="shared" si="11"/>
        <v>60428959.189999998</v>
      </c>
    </row>
    <row r="279" spans="1:9" ht="14.4" x14ac:dyDescent="0.3">
      <c r="A279" s="157" t="s">
        <v>242</v>
      </c>
      <c r="B279" s="158">
        <v>1998</v>
      </c>
      <c r="C279" s="188">
        <v>227786</v>
      </c>
      <c r="D279" s="188">
        <v>176923.96000000002</v>
      </c>
      <c r="E279" s="188">
        <v>175923.96</v>
      </c>
      <c r="F279" s="188">
        <v>111675709.09</v>
      </c>
      <c r="G279" s="188">
        <v>111674709.09</v>
      </c>
      <c r="H279" s="187">
        <f t="shared" si="11"/>
        <v>111270999.13000001</v>
      </c>
    </row>
    <row r="280" spans="1:9" ht="14.4" x14ac:dyDescent="0.3">
      <c r="A280" s="157" t="s">
        <v>242</v>
      </c>
      <c r="B280" s="158">
        <v>1999</v>
      </c>
      <c r="C280" s="188">
        <v>1050369</v>
      </c>
      <c r="D280" s="188">
        <v>-3562.070000000007</v>
      </c>
      <c r="E280" s="188">
        <v>168437.93</v>
      </c>
      <c r="F280" s="188">
        <v>170131109.65000001</v>
      </c>
      <c r="G280" s="188">
        <v>170303109.65000001</v>
      </c>
      <c r="H280" s="187">
        <f t="shared" si="11"/>
        <v>169084302.72</v>
      </c>
    </row>
    <row r="281" spans="1:9" ht="14.4" x14ac:dyDescent="0.3">
      <c r="A281" s="157" t="s">
        <v>242</v>
      </c>
      <c r="B281" s="158">
        <v>2000</v>
      </c>
      <c r="C281" s="188">
        <v>851509</v>
      </c>
      <c r="D281" s="188">
        <v>81840.55</v>
      </c>
      <c r="E281" s="188">
        <v>80840.549999999988</v>
      </c>
      <c r="F281" s="188">
        <v>123760611.78999999</v>
      </c>
      <c r="G281" s="188">
        <v>123759611.78999999</v>
      </c>
      <c r="H281" s="187">
        <f t="shared" si="11"/>
        <v>122827262.23999999</v>
      </c>
    </row>
    <row r="282" spans="1:9" ht="14.4" x14ac:dyDescent="0.3">
      <c r="A282" s="157" t="s">
        <v>242</v>
      </c>
      <c r="B282" s="158">
        <v>2001</v>
      </c>
      <c r="C282" s="188">
        <v>255015</v>
      </c>
      <c r="D282" s="188">
        <v>-16212.390000000003</v>
      </c>
      <c r="E282" s="188">
        <v>149106.59</v>
      </c>
      <c r="F282" s="188">
        <v>97919709.87999998</v>
      </c>
      <c r="G282" s="188">
        <v>98085028.859999985</v>
      </c>
      <c r="H282" s="187">
        <f t="shared" si="11"/>
        <v>97680907.269999981</v>
      </c>
    </row>
    <row r="283" spans="1:9" ht="14.4" x14ac:dyDescent="0.3">
      <c r="A283" s="157" t="s">
        <v>242</v>
      </c>
      <c r="B283" s="158">
        <v>2002</v>
      </c>
      <c r="C283" s="188">
        <v>301083</v>
      </c>
      <c r="D283" s="188">
        <v>795.39999999999918</v>
      </c>
      <c r="E283" s="188">
        <v>6320.2199999999993</v>
      </c>
      <c r="F283" s="188">
        <v>69816776.069999993</v>
      </c>
      <c r="G283" s="188">
        <v>69822300.890000001</v>
      </c>
      <c r="H283" s="187">
        <f t="shared" si="11"/>
        <v>69514897.669999987</v>
      </c>
    </row>
    <row r="284" spans="1:9" ht="14.4" x14ac:dyDescent="0.3">
      <c r="A284" s="157" t="s">
        <v>242</v>
      </c>
      <c r="B284" s="158">
        <v>2003</v>
      </c>
      <c r="C284" s="188">
        <v>0</v>
      </c>
      <c r="D284" s="188">
        <v>32141.03</v>
      </c>
      <c r="E284" s="188">
        <v>49106.55</v>
      </c>
      <c r="F284" s="188">
        <v>46269310.280000001</v>
      </c>
      <c r="G284" s="188">
        <v>46286275.799999997</v>
      </c>
      <c r="H284" s="187">
        <f t="shared" si="11"/>
        <v>46237169.25</v>
      </c>
    </row>
    <row r="285" spans="1:9" ht="14.4" x14ac:dyDescent="0.3">
      <c r="A285" s="157" t="s">
        <v>242</v>
      </c>
      <c r="B285" s="158">
        <v>2004</v>
      </c>
      <c r="C285" s="188">
        <v>0</v>
      </c>
      <c r="D285" s="188">
        <v>9904.69</v>
      </c>
      <c r="E285" s="188">
        <v>1130.76</v>
      </c>
      <c r="F285" s="188">
        <v>38782248.510000005</v>
      </c>
      <c r="G285" s="188">
        <v>38773474.579999998</v>
      </c>
      <c r="H285" s="187">
        <f t="shared" si="11"/>
        <v>38772343.820000008</v>
      </c>
    </row>
    <row r="286" spans="1:9" ht="14.4" x14ac:dyDescent="0.3">
      <c r="A286" s="157" t="s">
        <v>242</v>
      </c>
      <c r="B286" s="158">
        <v>2005</v>
      </c>
      <c r="C286" s="188">
        <v>306375</v>
      </c>
      <c r="D286" s="188">
        <v>25584.370000000003</v>
      </c>
      <c r="E286" s="188">
        <v>6488.8</v>
      </c>
      <c r="F286" s="188">
        <v>55119529.890000001</v>
      </c>
      <c r="G286" s="188">
        <v>55100434.319999993</v>
      </c>
      <c r="H286" s="187">
        <f t="shared" si="11"/>
        <v>54787570.520000003</v>
      </c>
    </row>
    <row r="287" spans="1:9" ht="14.4" x14ac:dyDescent="0.3">
      <c r="A287" s="157" t="s">
        <v>242</v>
      </c>
      <c r="B287" s="158">
        <v>2006</v>
      </c>
      <c r="C287" s="188">
        <v>780000</v>
      </c>
      <c r="D287" s="188">
        <v>88351.66</v>
      </c>
      <c r="E287" s="188">
        <v>4399.42</v>
      </c>
      <c r="F287" s="188">
        <v>75495573.489999995</v>
      </c>
      <c r="G287" s="188">
        <v>75411621.25</v>
      </c>
      <c r="H287" s="187">
        <f t="shared" si="11"/>
        <v>74627221.829999998</v>
      </c>
    </row>
    <row r="288" spans="1:9" ht="14.4" x14ac:dyDescent="0.3">
      <c r="A288" s="157" t="s">
        <v>242</v>
      </c>
      <c r="B288" s="158">
        <v>2007</v>
      </c>
      <c r="C288" s="188">
        <v>2095273</v>
      </c>
      <c r="D288" s="188">
        <v>-774225.9</v>
      </c>
      <c r="E288" s="188">
        <v>-646256.62</v>
      </c>
      <c r="F288" s="188">
        <v>73063490.370000005</v>
      </c>
      <c r="G288" s="188">
        <v>73191459.650000006</v>
      </c>
      <c r="H288" s="187">
        <f t="shared" si="11"/>
        <v>71742443.270000011</v>
      </c>
    </row>
    <row r="289" spans="1:9" ht="14.4" x14ac:dyDescent="0.3">
      <c r="A289" s="157" t="s">
        <v>242</v>
      </c>
      <c r="B289" s="158">
        <v>2008</v>
      </c>
      <c r="C289" s="188">
        <v>1295001</v>
      </c>
      <c r="D289" s="188">
        <v>866086.59000000008</v>
      </c>
      <c r="E289" s="188">
        <v>1605222.9999999998</v>
      </c>
      <c r="F289" s="188">
        <v>118178487.84999998</v>
      </c>
      <c r="G289" s="188">
        <v>118917624.26000001</v>
      </c>
      <c r="H289" s="187">
        <f t="shared" si="11"/>
        <v>116017400.25999998</v>
      </c>
    </row>
    <row r="290" spans="1:9" ht="14.4" x14ac:dyDescent="0.3">
      <c r="A290" s="157" t="s">
        <v>242</v>
      </c>
      <c r="B290" s="158">
        <v>2009</v>
      </c>
      <c r="C290" s="188">
        <v>3479221</v>
      </c>
      <c r="D290" s="188">
        <v>2102010.48</v>
      </c>
      <c r="E290" s="188">
        <v>2435311.85</v>
      </c>
      <c r="F290" s="188">
        <v>118639566.20000002</v>
      </c>
      <c r="G290" s="188">
        <v>118972867.56999999</v>
      </c>
      <c r="H290" s="187">
        <f t="shared" si="11"/>
        <v>113058334.72000001</v>
      </c>
    </row>
    <row r="291" spans="1:9" ht="14.4" x14ac:dyDescent="0.3">
      <c r="A291" s="157" t="s">
        <v>242</v>
      </c>
      <c r="B291" s="158">
        <v>2010</v>
      </c>
      <c r="C291" s="188">
        <v>6719039</v>
      </c>
      <c r="D291" s="188">
        <v>4218139.8900000006</v>
      </c>
      <c r="E291" s="188">
        <v>4243056.82</v>
      </c>
      <c r="F291" s="188">
        <v>146023946.77999997</v>
      </c>
      <c r="G291" s="188">
        <v>146048863.70999995</v>
      </c>
      <c r="H291" s="187">
        <f t="shared" si="11"/>
        <v>135086767.88999999</v>
      </c>
    </row>
    <row r="292" spans="1:9" ht="14.4" x14ac:dyDescent="0.3">
      <c r="A292" s="157" t="s">
        <v>242</v>
      </c>
      <c r="B292" s="158">
        <v>2011</v>
      </c>
      <c r="C292" s="188">
        <v>18713327</v>
      </c>
      <c r="D292" s="188">
        <v>6185999.0999999996</v>
      </c>
      <c r="E292" s="188">
        <v>6330670.4799999995</v>
      </c>
      <c r="F292" s="188">
        <v>158861856.93000001</v>
      </c>
      <c r="G292" s="188">
        <v>159006528.31</v>
      </c>
      <c r="H292" s="187">
        <f t="shared" si="11"/>
        <v>133962530.83000001</v>
      </c>
    </row>
    <row r="293" spans="1:9" ht="14.4" x14ac:dyDescent="0.3">
      <c r="A293" s="157" t="s">
        <v>242</v>
      </c>
      <c r="B293" s="158">
        <v>2012</v>
      </c>
      <c r="C293" s="188">
        <v>34576657</v>
      </c>
      <c r="D293" s="188">
        <v>9386099.1600000001</v>
      </c>
      <c r="E293" s="188">
        <v>14723002.07</v>
      </c>
      <c r="F293" s="188">
        <v>171604857.47999999</v>
      </c>
      <c r="G293" s="188">
        <v>176941760.39000002</v>
      </c>
      <c r="H293" s="187">
        <f t="shared" si="11"/>
        <v>127642101.31999999</v>
      </c>
    </row>
    <row r="294" spans="1:9" ht="14.4" x14ac:dyDescent="0.3">
      <c r="A294" s="157" t="s">
        <v>242</v>
      </c>
      <c r="B294" s="158">
        <v>2013</v>
      </c>
      <c r="C294" s="188">
        <v>56667769</v>
      </c>
      <c r="D294" s="188">
        <v>38256806.469999991</v>
      </c>
      <c r="E294" s="188">
        <v>35060939.320000008</v>
      </c>
      <c r="F294" s="188">
        <v>231146583.43999997</v>
      </c>
      <c r="G294" s="188">
        <v>227950716.29000002</v>
      </c>
      <c r="H294" s="187">
        <f t="shared" si="11"/>
        <v>136222007.96999997</v>
      </c>
    </row>
    <row r="295" spans="1:9" ht="14.4" x14ac:dyDescent="0.3">
      <c r="A295" s="157" t="s">
        <v>242</v>
      </c>
      <c r="B295" s="158">
        <v>2014</v>
      </c>
      <c r="C295" s="188">
        <v>85577445</v>
      </c>
      <c r="D295" s="188">
        <v>56801900.970000006</v>
      </c>
      <c r="E295" s="188">
        <v>45987529.379999995</v>
      </c>
      <c r="F295" s="188">
        <v>254574045.83000001</v>
      </c>
      <c r="G295" s="188">
        <v>243759674.23999998</v>
      </c>
      <c r="H295" s="187">
        <f t="shared" si="11"/>
        <v>112194699.86000001</v>
      </c>
    </row>
    <row r="296" spans="1:9" ht="14.4" x14ac:dyDescent="0.3">
      <c r="A296" s="157" t="s">
        <v>242</v>
      </c>
      <c r="B296" s="158">
        <v>2015</v>
      </c>
      <c r="C296" s="188">
        <v>28592880</v>
      </c>
      <c r="D296" s="188">
        <v>163939327.51999992</v>
      </c>
      <c r="E296" s="188">
        <v>170111964.44999999</v>
      </c>
      <c r="F296" s="188">
        <v>225315419.51999995</v>
      </c>
      <c r="G296" s="188">
        <v>231488056.44999996</v>
      </c>
      <c r="H296" s="187">
        <f t="shared" si="11"/>
        <v>32783212.00000003</v>
      </c>
    </row>
    <row r="297" spans="1:9" ht="14.4" x14ac:dyDescent="0.3">
      <c r="A297" s="157" t="s">
        <v>243</v>
      </c>
      <c r="B297" s="158">
        <v>1995</v>
      </c>
      <c r="C297" s="186">
        <v>-3624</v>
      </c>
      <c r="D297" s="186">
        <v>387978.93000000005</v>
      </c>
      <c r="E297" s="186">
        <v>376978.93000000005</v>
      </c>
      <c r="F297" s="186">
        <f>$I297+$C297+D297</f>
        <v>443784354.93000001</v>
      </c>
      <c r="G297" s="186">
        <f>$I297+$C297+E297</f>
        <v>443773354.93000001</v>
      </c>
      <c r="H297" s="187">
        <f t="shared" si="11"/>
        <v>443400000</v>
      </c>
      <c r="I297" s="43">
        <f>VLOOKUP(A297,$L$3:$N$39,3,0)*1000</f>
        <v>443400000</v>
      </c>
    </row>
    <row r="298" spans="1:9" ht="14.4" x14ac:dyDescent="0.3">
      <c r="A298" s="157" t="s">
        <v>243</v>
      </c>
      <c r="B298" s="158">
        <v>1996</v>
      </c>
      <c r="C298" s="186">
        <v>429218</v>
      </c>
      <c r="D298" s="186">
        <v>73337.099999999991</v>
      </c>
      <c r="E298" s="186">
        <v>140337.09999999998</v>
      </c>
      <c r="F298" s="186">
        <v>39521414.240000002</v>
      </c>
      <c r="G298" s="186">
        <v>39588414.240000002</v>
      </c>
      <c r="H298" s="187">
        <f t="shared" si="11"/>
        <v>39018859.140000001</v>
      </c>
    </row>
    <row r="299" spans="1:9" ht="14.4" x14ac:dyDescent="0.3">
      <c r="A299" s="157" t="s">
        <v>243</v>
      </c>
      <c r="B299" s="158">
        <v>1997</v>
      </c>
      <c r="C299" s="186">
        <v>64069.999999999993</v>
      </c>
      <c r="D299" s="186">
        <v>36301.25</v>
      </c>
      <c r="E299" s="186">
        <v>26301.25</v>
      </c>
      <c r="F299" s="186">
        <v>17648701.600000001</v>
      </c>
      <c r="G299" s="186">
        <v>17638701.600000001</v>
      </c>
      <c r="H299" s="187">
        <f t="shared" si="11"/>
        <v>17548330.350000001</v>
      </c>
    </row>
    <row r="300" spans="1:9" ht="14.4" x14ac:dyDescent="0.3">
      <c r="A300" s="157" t="s">
        <v>243</v>
      </c>
      <c r="B300" s="158">
        <v>1998</v>
      </c>
      <c r="C300" s="186">
        <v>759067</v>
      </c>
      <c r="D300" s="186">
        <v>352979.73</v>
      </c>
      <c r="E300" s="186">
        <v>346979.73</v>
      </c>
      <c r="F300" s="186">
        <v>279176144.44</v>
      </c>
      <c r="G300" s="186">
        <v>279170144.44</v>
      </c>
      <c r="H300" s="187">
        <f t="shared" si="11"/>
        <v>278064097.70999998</v>
      </c>
    </row>
    <row r="301" spans="1:9" ht="14.4" x14ac:dyDescent="0.3">
      <c r="A301" s="157" t="s">
        <v>243</v>
      </c>
      <c r="B301" s="158">
        <v>1999</v>
      </c>
      <c r="C301" s="188">
        <v>0</v>
      </c>
      <c r="D301" s="188">
        <v>247230.96</v>
      </c>
      <c r="E301" s="188">
        <v>240230.96</v>
      </c>
      <c r="F301" s="188">
        <v>115570522.75</v>
      </c>
      <c r="G301" s="188">
        <v>115563522.75</v>
      </c>
      <c r="H301" s="187">
        <f t="shared" si="11"/>
        <v>115323291.79000001</v>
      </c>
    </row>
    <row r="302" spans="1:9" ht="14.4" x14ac:dyDescent="0.3">
      <c r="A302" s="157" t="s">
        <v>243</v>
      </c>
      <c r="B302" s="158">
        <v>2000</v>
      </c>
      <c r="C302" s="188">
        <v>63537</v>
      </c>
      <c r="D302" s="188">
        <v>107608.04000000001</v>
      </c>
      <c r="E302" s="188">
        <v>97608.040000000008</v>
      </c>
      <c r="F302" s="188">
        <v>18908972.84</v>
      </c>
      <c r="G302" s="188">
        <v>18898972.84</v>
      </c>
      <c r="H302" s="187">
        <f t="shared" si="11"/>
        <v>18737827.800000001</v>
      </c>
    </row>
    <row r="303" spans="1:9" ht="14.4" x14ac:dyDescent="0.3">
      <c r="A303" s="157" t="s">
        <v>243</v>
      </c>
      <c r="B303" s="158">
        <v>2001</v>
      </c>
      <c r="C303" s="188">
        <v>56843</v>
      </c>
      <c r="D303" s="188">
        <v>74793.010000000009</v>
      </c>
      <c r="E303" s="188">
        <v>90793.010000000009</v>
      </c>
      <c r="F303" s="188">
        <v>38416267.359999999</v>
      </c>
      <c r="G303" s="188">
        <v>38432267.359999999</v>
      </c>
      <c r="H303" s="187">
        <f t="shared" si="11"/>
        <v>38284631.350000001</v>
      </c>
    </row>
    <row r="304" spans="1:9" ht="14.4" x14ac:dyDescent="0.3">
      <c r="A304" s="157" t="s">
        <v>243</v>
      </c>
      <c r="B304" s="158">
        <v>2002</v>
      </c>
      <c r="C304" s="188">
        <v>756055</v>
      </c>
      <c r="D304" s="188">
        <v>-146500.05999999994</v>
      </c>
      <c r="E304" s="188">
        <v>-67500.060000000012</v>
      </c>
      <c r="F304" s="188">
        <v>48819426.899999999</v>
      </c>
      <c r="G304" s="188">
        <v>48898426.899999999</v>
      </c>
      <c r="H304" s="187">
        <f t="shared" si="11"/>
        <v>48209871.960000001</v>
      </c>
    </row>
    <row r="305" spans="1:9" ht="14.4" x14ac:dyDescent="0.3">
      <c r="A305" s="157" t="s">
        <v>243</v>
      </c>
      <c r="B305" s="158">
        <v>2003</v>
      </c>
      <c r="C305" s="188">
        <v>162453.72</v>
      </c>
      <c r="D305" s="188">
        <v>346067.6</v>
      </c>
      <c r="E305" s="188">
        <v>192067.60000000003</v>
      </c>
      <c r="F305" s="188">
        <v>64521236.899999999</v>
      </c>
      <c r="G305" s="188">
        <v>64367236.899999999</v>
      </c>
      <c r="H305" s="187">
        <f t="shared" si="11"/>
        <v>64012715.579999998</v>
      </c>
    </row>
    <row r="306" spans="1:9" ht="14.4" x14ac:dyDescent="0.3">
      <c r="A306" s="157" t="s">
        <v>243</v>
      </c>
      <c r="B306" s="158">
        <v>2004</v>
      </c>
      <c r="C306" s="188">
        <v>738138.75</v>
      </c>
      <c r="D306" s="188">
        <v>-6393.3499999999767</v>
      </c>
      <c r="E306" s="188">
        <v>311606.64999999997</v>
      </c>
      <c r="F306" s="188">
        <v>74883562.069999993</v>
      </c>
      <c r="G306" s="188">
        <v>75201562.069999993</v>
      </c>
      <c r="H306" s="187">
        <f t="shared" si="11"/>
        <v>74151816.669999987</v>
      </c>
    </row>
    <row r="307" spans="1:9" ht="14.4" x14ac:dyDescent="0.3">
      <c r="A307" s="157" t="s">
        <v>243</v>
      </c>
      <c r="B307" s="158">
        <v>2005</v>
      </c>
      <c r="C307" s="188">
        <v>1038566.3</v>
      </c>
      <c r="D307" s="188">
        <v>1650151.86</v>
      </c>
      <c r="E307" s="188">
        <v>1624151.86</v>
      </c>
      <c r="F307" s="188">
        <v>120510593.82999998</v>
      </c>
      <c r="G307" s="188">
        <v>120484593.82999998</v>
      </c>
      <c r="H307" s="187">
        <f t="shared" si="11"/>
        <v>117821875.66999999</v>
      </c>
    </row>
    <row r="308" spans="1:9" ht="14.4" x14ac:dyDescent="0.3">
      <c r="A308" s="157" t="s">
        <v>243</v>
      </c>
      <c r="B308" s="158">
        <v>2006</v>
      </c>
      <c r="C308" s="188">
        <v>1670848.5</v>
      </c>
      <c r="D308" s="188">
        <v>311764.37999999995</v>
      </c>
      <c r="E308" s="188">
        <v>427543.88999999978</v>
      </c>
      <c r="F308" s="188">
        <v>112831540.14</v>
      </c>
      <c r="G308" s="188">
        <v>112947319.65000001</v>
      </c>
      <c r="H308" s="187">
        <f t="shared" si="11"/>
        <v>110848927.26000001</v>
      </c>
    </row>
    <row r="309" spans="1:9" ht="14.4" x14ac:dyDescent="0.3">
      <c r="A309" s="157" t="s">
        <v>243</v>
      </c>
      <c r="B309" s="158">
        <v>2007</v>
      </c>
      <c r="C309" s="188">
        <v>1909521</v>
      </c>
      <c r="D309" s="188">
        <v>746721.33</v>
      </c>
      <c r="E309" s="188">
        <v>849379.6</v>
      </c>
      <c r="F309" s="188">
        <v>159893005.18000001</v>
      </c>
      <c r="G309" s="188">
        <v>159995663.45000002</v>
      </c>
      <c r="H309" s="187">
        <f t="shared" si="11"/>
        <v>157236762.84999999</v>
      </c>
    </row>
    <row r="310" spans="1:9" ht="14.4" x14ac:dyDescent="0.3">
      <c r="A310" s="157" t="s">
        <v>243</v>
      </c>
      <c r="B310" s="158">
        <v>2008</v>
      </c>
      <c r="C310" s="188">
        <v>6324258.4300000006</v>
      </c>
      <c r="D310" s="188">
        <v>1508036.2299999997</v>
      </c>
      <c r="E310" s="188">
        <v>1732919.2899999998</v>
      </c>
      <c r="F310" s="188">
        <v>147833456.92000002</v>
      </c>
      <c r="G310" s="188">
        <v>148058339.98000002</v>
      </c>
      <c r="H310" s="187">
        <f t="shared" si="11"/>
        <v>140001162.26000002</v>
      </c>
    </row>
    <row r="311" spans="1:9" ht="14.4" x14ac:dyDescent="0.3">
      <c r="A311" s="157" t="s">
        <v>243</v>
      </c>
      <c r="B311" s="158">
        <v>2009</v>
      </c>
      <c r="C311" s="188">
        <v>10402606</v>
      </c>
      <c r="D311" s="188">
        <v>4125002.8000000003</v>
      </c>
      <c r="E311" s="188">
        <v>4807447.49</v>
      </c>
      <c r="F311" s="188">
        <v>157507386.94999999</v>
      </c>
      <c r="G311" s="188">
        <v>158189831.63999999</v>
      </c>
      <c r="H311" s="187">
        <f t="shared" si="11"/>
        <v>142979778.14999998</v>
      </c>
    </row>
    <row r="312" spans="1:9" ht="14.4" x14ac:dyDescent="0.3">
      <c r="A312" s="157" t="s">
        <v>243</v>
      </c>
      <c r="B312" s="158">
        <v>2010</v>
      </c>
      <c r="C312" s="188">
        <v>11050418</v>
      </c>
      <c r="D312" s="188">
        <v>8521487.9600000009</v>
      </c>
      <c r="E312" s="188">
        <v>8893165.0299999993</v>
      </c>
      <c r="F312" s="188">
        <v>175940275.63999999</v>
      </c>
      <c r="G312" s="188">
        <v>176311952.71000001</v>
      </c>
      <c r="H312" s="187">
        <f t="shared" si="11"/>
        <v>156368369.67999998</v>
      </c>
    </row>
    <row r="313" spans="1:9" ht="14.4" x14ac:dyDescent="0.3">
      <c r="A313" s="157" t="s">
        <v>243</v>
      </c>
      <c r="B313" s="158">
        <v>2011</v>
      </c>
      <c r="C313" s="188">
        <v>20623630</v>
      </c>
      <c r="D313" s="188">
        <v>14805654.25</v>
      </c>
      <c r="E313" s="188">
        <v>15329043.720000001</v>
      </c>
      <c r="F313" s="188">
        <v>183616763.74000004</v>
      </c>
      <c r="G313" s="188">
        <v>184140153.21000001</v>
      </c>
      <c r="H313" s="187">
        <f t="shared" si="11"/>
        <v>148187479.49000004</v>
      </c>
    </row>
    <row r="314" spans="1:9" ht="14.4" x14ac:dyDescent="0.3">
      <c r="A314" s="157" t="s">
        <v>243</v>
      </c>
      <c r="B314" s="158">
        <v>2012</v>
      </c>
      <c r="C314" s="188">
        <v>44515212</v>
      </c>
      <c r="D314" s="188">
        <v>25442343.920000002</v>
      </c>
      <c r="E314" s="188">
        <v>24583390.750000004</v>
      </c>
      <c r="F314" s="188">
        <v>189135522.41</v>
      </c>
      <c r="G314" s="188">
        <v>188276569.24000001</v>
      </c>
      <c r="H314" s="187">
        <f t="shared" si="11"/>
        <v>119177966.49000001</v>
      </c>
    </row>
    <row r="315" spans="1:9" ht="14.4" x14ac:dyDescent="0.3">
      <c r="A315" s="157" t="s">
        <v>243</v>
      </c>
      <c r="B315" s="158">
        <v>2013</v>
      </c>
      <c r="C315" s="188">
        <v>35354906.5</v>
      </c>
      <c r="D315" s="188">
        <v>57694795.359999999</v>
      </c>
      <c r="E315" s="188">
        <v>58090232.50999999</v>
      </c>
      <c r="F315" s="188">
        <v>184023745.19</v>
      </c>
      <c r="G315" s="188">
        <v>184419182.34</v>
      </c>
      <c r="H315" s="187">
        <f t="shared" si="11"/>
        <v>90974043.329999998</v>
      </c>
    </row>
    <row r="316" spans="1:9" ht="14.4" x14ac:dyDescent="0.3">
      <c r="A316" s="157" t="s">
        <v>243</v>
      </c>
      <c r="B316" s="158">
        <v>2014</v>
      </c>
      <c r="C316" s="188">
        <v>29943875</v>
      </c>
      <c r="D316" s="188">
        <v>95201678.859999999</v>
      </c>
      <c r="E316" s="188">
        <v>96561709.719999984</v>
      </c>
      <c r="F316" s="188">
        <v>174492622.47</v>
      </c>
      <c r="G316" s="188">
        <v>175852653.33000001</v>
      </c>
      <c r="H316" s="187">
        <f t="shared" si="11"/>
        <v>49347068.609999999</v>
      </c>
    </row>
    <row r="317" spans="1:9" ht="14.4" x14ac:dyDescent="0.3">
      <c r="A317" s="157" t="s">
        <v>243</v>
      </c>
      <c r="B317" s="158">
        <v>2015</v>
      </c>
      <c r="C317" s="188">
        <v>9779971</v>
      </c>
      <c r="D317" s="188">
        <v>138996129.71999997</v>
      </c>
      <c r="E317" s="188">
        <v>142046535.67999998</v>
      </c>
      <c r="F317" s="188">
        <v>163389229.77000001</v>
      </c>
      <c r="G317" s="188">
        <v>166439635.72999993</v>
      </c>
      <c r="H317" s="187">
        <f t="shared" si="11"/>
        <v>14613129.050000042</v>
      </c>
    </row>
    <row r="318" spans="1:9" ht="14.4" x14ac:dyDescent="0.3">
      <c r="A318" s="157" t="s">
        <v>244</v>
      </c>
      <c r="B318" s="158">
        <v>1995</v>
      </c>
      <c r="C318" s="186"/>
      <c r="D318" s="186"/>
      <c r="E318" s="186"/>
      <c r="F318" s="186">
        <f>$I318+$C318+D318</f>
        <v>3470000</v>
      </c>
      <c r="G318" s="186">
        <f>$I318+$C318+E318</f>
        <v>3470000</v>
      </c>
      <c r="H318" s="187">
        <f t="shared" si="11"/>
        <v>3470000</v>
      </c>
      <c r="I318" s="43">
        <f>VLOOKUP(A318,$L$3:$N$39,3,0)*1000</f>
        <v>3470000</v>
      </c>
    </row>
    <row r="319" spans="1:9" ht="14.4" x14ac:dyDescent="0.3">
      <c r="A319" s="157" t="s">
        <v>244</v>
      </c>
      <c r="B319" s="158">
        <v>1996</v>
      </c>
      <c r="C319" s="186">
        <v>0</v>
      </c>
      <c r="D319" s="186">
        <v>-2.5986157670132603E-12</v>
      </c>
      <c r="E319" s="186">
        <v>0</v>
      </c>
      <c r="F319" s="186">
        <v>-2.5986157670132603E-12</v>
      </c>
      <c r="G319" s="186">
        <v>0</v>
      </c>
      <c r="H319" s="187">
        <f t="shared" ref="H319:H360" si="12">F319-D319-C319</f>
        <v>0</v>
      </c>
    </row>
    <row r="320" spans="1:9" ht="14.4" x14ac:dyDescent="0.3">
      <c r="A320" s="157" t="s">
        <v>244</v>
      </c>
      <c r="B320" s="158">
        <v>1997</v>
      </c>
      <c r="C320" s="186"/>
      <c r="D320" s="186"/>
      <c r="E320" s="186"/>
      <c r="F320" s="186"/>
      <c r="G320" s="186"/>
      <c r="H320" s="187">
        <f t="shared" si="12"/>
        <v>0</v>
      </c>
    </row>
    <row r="321" spans="1:8" ht="14.4" x14ac:dyDescent="0.3">
      <c r="A321" s="157" t="s">
        <v>244</v>
      </c>
      <c r="B321" s="158">
        <v>1998</v>
      </c>
      <c r="C321" s="188"/>
      <c r="D321" s="188"/>
      <c r="E321" s="188"/>
      <c r="F321" s="188"/>
      <c r="G321" s="188"/>
      <c r="H321" s="187">
        <f t="shared" si="12"/>
        <v>0</v>
      </c>
    </row>
    <row r="322" spans="1:8" ht="14.4" x14ac:dyDescent="0.3">
      <c r="A322" s="157" t="s">
        <v>244</v>
      </c>
      <c r="B322" s="158">
        <v>1999</v>
      </c>
      <c r="C322" s="188"/>
      <c r="D322" s="188"/>
      <c r="E322" s="188"/>
      <c r="F322" s="188"/>
      <c r="G322" s="188"/>
      <c r="H322" s="187">
        <f t="shared" si="12"/>
        <v>0</v>
      </c>
    </row>
    <row r="323" spans="1:8" ht="14.4" x14ac:dyDescent="0.3">
      <c r="A323" s="157" t="s">
        <v>244</v>
      </c>
      <c r="B323" s="158">
        <v>2000</v>
      </c>
      <c r="C323" s="188"/>
      <c r="D323" s="188"/>
      <c r="E323" s="188"/>
      <c r="F323" s="188"/>
      <c r="G323" s="188"/>
      <c r="H323" s="187">
        <f t="shared" si="12"/>
        <v>0</v>
      </c>
    </row>
    <row r="324" spans="1:8" ht="14.4" x14ac:dyDescent="0.3">
      <c r="A324" s="157" t="s">
        <v>244</v>
      </c>
      <c r="B324" s="158">
        <v>2001</v>
      </c>
      <c r="C324" s="188"/>
      <c r="D324" s="188"/>
      <c r="E324" s="188"/>
      <c r="F324" s="188"/>
      <c r="G324" s="188"/>
      <c r="H324" s="187">
        <f t="shared" si="12"/>
        <v>0</v>
      </c>
    </row>
    <row r="325" spans="1:8" ht="14.4" x14ac:dyDescent="0.3">
      <c r="A325" s="157" t="s">
        <v>244</v>
      </c>
      <c r="B325" s="158">
        <v>2002</v>
      </c>
      <c r="C325" s="188">
        <v>0</v>
      </c>
      <c r="D325" s="188">
        <v>51060.53</v>
      </c>
      <c r="E325" s="188">
        <v>51060.53</v>
      </c>
      <c r="F325" s="188">
        <v>3074073.08</v>
      </c>
      <c r="G325" s="188">
        <v>3074073.08</v>
      </c>
      <c r="H325" s="187">
        <f t="shared" si="12"/>
        <v>3023012.5500000003</v>
      </c>
    </row>
    <row r="326" spans="1:8" ht="14.4" x14ac:dyDescent="0.3">
      <c r="A326" s="157" t="s">
        <v>244</v>
      </c>
      <c r="B326" s="158">
        <v>2003</v>
      </c>
      <c r="C326" s="188">
        <v>0</v>
      </c>
      <c r="D326" s="188">
        <v>452000</v>
      </c>
      <c r="E326" s="188">
        <v>282000</v>
      </c>
      <c r="F326" s="188">
        <v>14875821.390000001</v>
      </c>
      <c r="G326" s="188">
        <v>14705821.390000001</v>
      </c>
      <c r="H326" s="187">
        <f t="shared" si="12"/>
        <v>14423821.390000001</v>
      </c>
    </row>
    <row r="327" spans="1:8" ht="14.4" x14ac:dyDescent="0.3">
      <c r="A327" s="157" t="s">
        <v>244</v>
      </c>
      <c r="B327" s="158">
        <v>2004</v>
      </c>
      <c r="C327" s="188">
        <v>1794481</v>
      </c>
      <c r="D327" s="188">
        <v>-345832.68</v>
      </c>
      <c r="E327" s="188">
        <v>49167.32</v>
      </c>
      <c r="F327" s="188">
        <v>11856756.33</v>
      </c>
      <c r="G327" s="188">
        <v>12251756.33</v>
      </c>
      <c r="H327" s="187">
        <f t="shared" si="12"/>
        <v>10408108.01</v>
      </c>
    </row>
    <row r="328" spans="1:8" ht="14.4" x14ac:dyDescent="0.3">
      <c r="A328" s="157" t="s">
        <v>244</v>
      </c>
      <c r="B328" s="158">
        <v>2005</v>
      </c>
      <c r="C328" s="188">
        <v>0</v>
      </c>
      <c r="D328" s="188">
        <v>69653.459999999992</v>
      </c>
      <c r="E328" s="188">
        <v>69653.460000000021</v>
      </c>
      <c r="F328" s="188">
        <v>16268424.279999999</v>
      </c>
      <c r="G328" s="188">
        <v>16268424.279999999</v>
      </c>
      <c r="H328" s="187">
        <f t="shared" si="12"/>
        <v>16198770.819999998</v>
      </c>
    </row>
    <row r="329" spans="1:8" ht="14.4" x14ac:dyDescent="0.3">
      <c r="A329" s="157" t="s">
        <v>244</v>
      </c>
      <c r="B329" s="158">
        <v>2006</v>
      </c>
      <c r="C329" s="188">
        <v>51001</v>
      </c>
      <c r="D329" s="188">
        <v>248891.71</v>
      </c>
      <c r="E329" s="188">
        <v>338891.71</v>
      </c>
      <c r="F329" s="188">
        <v>27932527.139999997</v>
      </c>
      <c r="G329" s="188">
        <v>28022527.139999997</v>
      </c>
      <c r="H329" s="187">
        <f t="shared" si="12"/>
        <v>27632634.429999996</v>
      </c>
    </row>
    <row r="330" spans="1:8" ht="14.4" x14ac:dyDescent="0.3">
      <c r="A330" s="157" t="s">
        <v>244</v>
      </c>
      <c r="B330" s="158">
        <v>2007</v>
      </c>
      <c r="C330" s="188">
        <v>0</v>
      </c>
      <c r="D330" s="188">
        <v>527655.14</v>
      </c>
      <c r="E330" s="188">
        <v>657812.67999999993</v>
      </c>
      <c r="F330" s="188">
        <v>33275697.5</v>
      </c>
      <c r="G330" s="188">
        <v>33405855.039999999</v>
      </c>
      <c r="H330" s="187">
        <f t="shared" si="12"/>
        <v>32748042.359999999</v>
      </c>
    </row>
    <row r="331" spans="1:8" ht="14.4" x14ac:dyDescent="0.3">
      <c r="A331" s="157" t="s">
        <v>244</v>
      </c>
      <c r="B331" s="158">
        <v>2008</v>
      </c>
      <c r="C331" s="188">
        <v>131000</v>
      </c>
      <c r="D331" s="188">
        <v>478569.70999999996</v>
      </c>
      <c r="E331" s="188">
        <v>478569.70999999996</v>
      </c>
      <c r="F331" s="188">
        <v>33409556.669999998</v>
      </c>
      <c r="G331" s="188">
        <v>33409556.669999998</v>
      </c>
      <c r="H331" s="187">
        <f t="shared" si="12"/>
        <v>32799986.959999997</v>
      </c>
    </row>
    <row r="332" spans="1:8" ht="14.4" x14ac:dyDescent="0.3">
      <c r="A332" s="157" t="s">
        <v>244</v>
      </c>
      <c r="B332" s="158">
        <v>2009</v>
      </c>
      <c r="C332" s="188">
        <v>2404750</v>
      </c>
      <c r="D332" s="188">
        <v>510737.69999999995</v>
      </c>
      <c r="E332" s="188">
        <v>510737.68999999994</v>
      </c>
      <c r="F332" s="188">
        <v>44585579.150000006</v>
      </c>
      <c r="G332" s="188">
        <v>44585579.140000001</v>
      </c>
      <c r="H332" s="187">
        <f t="shared" si="12"/>
        <v>41670091.450000003</v>
      </c>
    </row>
    <row r="333" spans="1:8" ht="14.4" x14ac:dyDescent="0.3">
      <c r="A333" s="157" t="s">
        <v>244</v>
      </c>
      <c r="B333" s="158">
        <v>2010</v>
      </c>
      <c r="C333" s="188">
        <v>3472501</v>
      </c>
      <c r="D333" s="188">
        <v>1883273.8800000001</v>
      </c>
      <c r="E333" s="188">
        <v>2006273.8800000001</v>
      </c>
      <c r="F333" s="188">
        <v>51876381.530000001</v>
      </c>
      <c r="G333" s="188">
        <v>51999381.530000001</v>
      </c>
      <c r="H333" s="187">
        <f t="shared" si="12"/>
        <v>46520606.649999999</v>
      </c>
    </row>
    <row r="334" spans="1:8" ht="14.4" x14ac:dyDescent="0.3">
      <c r="A334" s="157" t="s">
        <v>244</v>
      </c>
      <c r="B334" s="158">
        <v>2011</v>
      </c>
      <c r="C334" s="188">
        <v>5876343</v>
      </c>
      <c r="D334" s="188">
        <v>3444497.8</v>
      </c>
      <c r="E334" s="188">
        <v>3896497.8</v>
      </c>
      <c r="F334" s="188">
        <v>66263224.81000001</v>
      </c>
      <c r="G334" s="188">
        <v>66715224.81000001</v>
      </c>
      <c r="H334" s="187">
        <f t="shared" si="12"/>
        <v>56942384.010000013</v>
      </c>
    </row>
    <row r="335" spans="1:8" ht="14.4" x14ac:dyDescent="0.3">
      <c r="A335" s="157" t="s">
        <v>244</v>
      </c>
      <c r="B335" s="158">
        <v>2012</v>
      </c>
      <c r="C335" s="188">
        <v>8987565</v>
      </c>
      <c r="D335" s="188">
        <v>8014602.2000000002</v>
      </c>
      <c r="E335" s="188">
        <v>8437602.2000000011</v>
      </c>
      <c r="F335" s="188">
        <v>66843292.889999993</v>
      </c>
      <c r="G335" s="188">
        <v>67266292.890000001</v>
      </c>
      <c r="H335" s="187">
        <f t="shared" si="12"/>
        <v>49841125.68999999</v>
      </c>
    </row>
    <row r="336" spans="1:8" ht="14.4" x14ac:dyDescent="0.3">
      <c r="A336" s="157" t="s">
        <v>244</v>
      </c>
      <c r="B336" s="158">
        <v>2013</v>
      </c>
      <c r="C336" s="188">
        <v>20764077</v>
      </c>
      <c r="D336" s="188">
        <v>5620591.21</v>
      </c>
      <c r="E336" s="188">
        <v>9505591.2100000009</v>
      </c>
      <c r="F336" s="188">
        <v>64638636.560000002</v>
      </c>
      <c r="G336" s="188">
        <v>68523636.560000002</v>
      </c>
      <c r="H336" s="187">
        <f t="shared" si="12"/>
        <v>38253968.350000001</v>
      </c>
    </row>
    <row r="337" spans="1:9" ht="14.4" x14ac:dyDescent="0.3">
      <c r="A337" s="157" t="s">
        <v>244</v>
      </c>
      <c r="B337" s="158">
        <v>2014</v>
      </c>
      <c r="C337" s="188">
        <v>36702248</v>
      </c>
      <c r="D337" s="188">
        <v>9460128.0999999996</v>
      </c>
      <c r="E337" s="188">
        <v>11382128.1</v>
      </c>
      <c r="F337" s="188">
        <v>64497247.329999998</v>
      </c>
      <c r="G337" s="188">
        <v>66419247.329999998</v>
      </c>
      <c r="H337" s="187">
        <f t="shared" si="12"/>
        <v>18334871.229999997</v>
      </c>
    </row>
    <row r="338" spans="1:9" ht="14.4" x14ac:dyDescent="0.3">
      <c r="A338" s="157" t="s">
        <v>244</v>
      </c>
      <c r="B338" s="158">
        <v>2015</v>
      </c>
      <c r="C338" s="188">
        <v>18769329</v>
      </c>
      <c r="D338" s="188">
        <v>31898601.440000001</v>
      </c>
      <c r="E338" s="188">
        <v>31898601.440000001</v>
      </c>
      <c r="F338" s="188">
        <v>52628216.18</v>
      </c>
      <c r="G338" s="188">
        <v>52628216.18</v>
      </c>
      <c r="H338" s="187">
        <f t="shared" si="12"/>
        <v>1960285.7399999984</v>
      </c>
    </row>
    <row r="339" spans="1:9" ht="14.4" x14ac:dyDescent="0.3">
      <c r="A339" s="157" t="s">
        <v>245</v>
      </c>
      <c r="B339" s="158">
        <v>1995</v>
      </c>
      <c r="C339" s="186">
        <v>0</v>
      </c>
      <c r="D339" s="186">
        <v>0</v>
      </c>
      <c r="E339" s="186">
        <v>53.23</v>
      </c>
      <c r="F339" s="186">
        <f>$I339+$C339+D339</f>
        <v>9881000</v>
      </c>
      <c r="G339" s="186">
        <f>$I339+$C339+E339</f>
        <v>9881053.2300000004</v>
      </c>
      <c r="H339" s="187">
        <f t="shared" si="12"/>
        <v>9881000</v>
      </c>
      <c r="I339" s="43">
        <f>VLOOKUP(A339,$L$3:$N$39,3,0)*1000</f>
        <v>9881000</v>
      </c>
    </row>
    <row r="340" spans="1:9" ht="14.4" x14ac:dyDescent="0.3">
      <c r="A340" s="157" t="s">
        <v>245</v>
      </c>
      <c r="B340" s="158">
        <v>1996</v>
      </c>
      <c r="C340" s="188">
        <v>32909</v>
      </c>
      <c r="D340" s="188">
        <v>0</v>
      </c>
      <c r="E340" s="188">
        <v>97.94</v>
      </c>
      <c r="F340" s="188">
        <v>19188884.93</v>
      </c>
      <c r="G340" s="188">
        <v>19188982.870000001</v>
      </c>
      <c r="H340" s="187">
        <f t="shared" si="12"/>
        <v>19155975.93</v>
      </c>
    </row>
    <row r="341" spans="1:9" ht="14.4" x14ac:dyDescent="0.3">
      <c r="A341" s="157" t="s">
        <v>245</v>
      </c>
      <c r="B341" s="158">
        <v>1997</v>
      </c>
      <c r="C341" s="188">
        <v>0</v>
      </c>
      <c r="D341" s="188">
        <v>0</v>
      </c>
      <c r="E341" s="188">
        <v>45.78</v>
      </c>
      <c r="F341" s="188">
        <v>28779876.68</v>
      </c>
      <c r="G341" s="188">
        <v>28779922.460000001</v>
      </c>
      <c r="H341" s="187">
        <f t="shared" si="12"/>
        <v>28779876.68</v>
      </c>
    </row>
    <row r="342" spans="1:9" ht="14.4" x14ac:dyDescent="0.3">
      <c r="A342" s="157" t="s">
        <v>245</v>
      </c>
      <c r="B342" s="158">
        <v>1998</v>
      </c>
      <c r="C342" s="188">
        <v>2</v>
      </c>
      <c r="D342" s="188">
        <v>0</v>
      </c>
      <c r="E342" s="188">
        <v>60.68</v>
      </c>
      <c r="F342" s="188">
        <v>21588863.98</v>
      </c>
      <c r="G342" s="188">
        <v>21588924.66</v>
      </c>
      <c r="H342" s="187">
        <f t="shared" si="12"/>
        <v>21588861.98</v>
      </c>
    </row>
    <row r="343" spans="1:9" ht="14.4" x14ac:dyDescent="0.3">
      <c r="A343" s="157" t="s">
        <v>245</v>
      </c>
      <c r="B343" s="158">
        <v>1999</v>
      </c>
      <c r="C343" s="188">
        <v>0</v>
      </c>
      <c r="D343" s="188">
        <v>155000</v>
      </c>
      <c r="E343" s="188">
        <v>155177.78999999998</v>
      </c>
      <c r="F343" s="188">
        <v>29617750.520000003</v>
      </c>
      <c r="G343" s="188">
        <v>29617928.309999999</v>
      </c>
      <c r="H343" s="187">
        <f t="shared" si="12"/>
        <v>29462750.520000003</v>
      </c>
    </row>
    <row r="344" spans="1:9" ht="14.4" x14ac:dyDescent="0.3">
      <c r="A344" s="157" t="s">
        <v>245</v>
      </c>
      <c r="B344" s="158">
        <v>2000</v>
      </c>
      <c r="C344" s="188">
        <v>0</v>
      </c>
      <c r="D344" s="188">
        <v>429000</v>
      </c>
      <c r="E344" s="188">
        <v>429008.51999999996</v>
      </c>
      <c r="F344" s="188">
        <v>23586152.98</v>
      </c>
      <c r="G344" s="188">
        <v>23586161.5</v>
      </c>
      <c r="H344" s="187">
        <f t="shared" si="12"/>
        <v>23157152.98</v>
      </c>
    </row>
    <row r="345" spans="1:9" ht="14.4" x14ac:dyDescent="0.3">
      <c r="A345" s="157" t="s">
        <v>245</v>
      </c>
      <c r="B345" s="158">
        <v>2001</v>
      </c>
      <c r="C345" s="188">
        <v>0</v>
      </c>
      <c r="D345" s="188">
        <v>1</v>
      </c>
      <c r="E345" s="188">
        <v>88001</v>
      </c>
      <c r="F345" s="188">
        <v>34176351.260000005</v>
      </c>
      <c r="G345" s="188">
        <v>34264351.260000005</v>
      </c>
      <c r="H345" s="187">
        <f t="shared" si="12"/>
        <v>34176350.260000005</v>
      </c>
    </row>
    <row r="346" spans="1:9" ht="14.4" x14ac:dyDescent="0.3">
      <c r="A346" s="157" t="s">
        <v>245</v>
      </c>
      <c r="B346" s="158">
        <v>2002</v>
      </c>
      <c r="C346" s="188">
        <v>1</v>
      </c>
      <c r="D346" s="188">
        <v>26221.66</v>
      </c>
      <c r="E346" s="188">
        <v>872193.74</v>
      </c>
      <c r="F346" s="188">
        <v>16829233.5</v>
      </c>
      <c r="G346" s="188">
        <v>17675205.580000002</v>
      </c>
      <c r="H346" s="187">
        <f t="shared" si="12"/>
        <v>16803010.84</v>
      </c>
    </row>
    <row r="347" spans="1:9" ht="14.4" x14ac:dyDescent="0.3">
      <c r="A347" s="157" t="s">
        <v>245</v>
      </c>
      <c r="B347" s="158">
        <v>2003</v>
      </c>
      <c r="C347" s="188">
        <v>0</v>
      </c>
      <c r="D347" s="188">
        <v>3777980.67</v>
      </c>
      <c r="E347" s="188">
        <v>4748339.08</v>
      </c>
      <c r="F347" s="188">
        <v>16922658.490000002</v>
      </c>
      <c r="G347" s="188">
        <v>17893016.899999999</v>
      </c>
      <c r="H347" s="187">
        <f t="shared" si="12"/>
        <v>13144677.820000002</v>
      </c>
    </row>
    <row r="348" spans="1:9" ht="14.4" x14ac:dyDescent="0.3">
      <c r="A348" s="157" t="s">
        <v>245</v>
      </c>
      <c r="B348" s="158">
        <v>2004</v>
      </c>
      <c r="C348" s="188">
        <v>7250000</v>
      </c>
      <c r="D348" s="188">
        <v>4730260.4588888893</v>
      </c>
      <c r="E348" s="188">
        <v>7684300.54</v>
      </c>
      <c r="F348" s="188">
        <v>25348187.038888887</v>
      </c>
      <c r="G348" s="188">
        <v>28302227.120000001</v>
      </c>
      <c r="H348" s="187">
        <f t="shared" si="12"/>
        <v>13367926.579999998</v>
      </c>
    </row>
    <row r="349" spans="1:9" ht="14.4" x14ac:dyDescent="0.3">
      <c r="A349" s="157" t="s">
        <v>245</v>
      </c>
      <c r="B349" s="158">
        <v>2005</v>
      </c>
      <c r="C349" s="188">
        <v>2</v>
      </c>
      <c r="D349" s="188">
        <v>7682135.8700000001</v>
      </c>
      <c r="E349" s="188">
        <v>8255723.71</v>
      </c>
      <c r="F349" s="188">
        <v>28602391.119999997</v>
      </c>
      <c r="G349" s="188">
        <v>29175978.960000001</v>
      </c>
      <c r="H349" s="187">
        <f t="shared" si="12"/>
        <v>20920253.249999996</v>
      </c>
    </row>
    <row r="350" spans="1:9" ht="14.4" x14ac:dyDescent="0.3">
      <c r="A350" s="157" t="s">
        <v>245</v>
      </c>
      <c r="B350" s="158">
        <v>2006</v>
      </c>
      <c r="C350" s="188">
        <v>2</v>
      </c>
      <c r="D350" s="188">
        <v>8845719.9699999988</v>
      </c>
      <c r="E350" s="188">
        <v>10178719.970000001</v>
      </c>
      <c r="F350" s="188">
        <v>24530031.660000004</v>
      </c>
      <c r="G350" s="188">
        <v>25863031.660000004</v>
      </c>
      <c r="H350" s="187">
        <f t="shared" si="12"/>
        <v>15684309.690000005</v>
      </c>
    </row>
    <row r="351" spans="1:9" ht="14.4" x14ac:dyDescent="0.3">
      <c r="A351" s="157" t="s">
        <v>245</v>
      </c>
      <c r="B351" s="158">
        <v>2007</v>
      </c>
      <c r="C351" s="188">
        <v>3</v>
      </c>
      <c r="D351" s="188">
        <v>12057780.26</v>
      </c>
      <c r="E351" s="188">
        <v>13211780.26</v>
      </c>
      <c r="F351" s="188">
        <v>31745513.010000002</v>
      </c>
      <c r="G351" s="188">
        <v>32899513.010000002</v>
      </c>
      <c r="H351" s="187">
        <f t="shared" si="12"/>
        <v>19687729.75</v>
      </c>
    </row>
    <row r="352" spans="1:9" ht="14.4" x14ac:dyDescent="0.3">
      <c r="A352" s="157" t="s">
        <v>245</v>
      </c>
      <c r="B352" s="158">
        <v>2008</v>
      </c>
      <c r="C352" s="188">
        <v>251003</v>
      </c>
      <c r="D352" s="188">
        <v>17544388.240000002</v>
      </c>
      <c r="E352" s="188">
        <v>21780388.239999998</v>
      </c>
      <c r="F352" s="188">
        <v>46505853.909999996</v>
      </c>
      <c r="G352" s="188">
        <v>50741853.909999996</v>
      </c>
      <c r="H352" s="187">
        <f t="shared" si="12"/>
        <v>28710462.669999994</v>
      </c>
    </row>
    <row r="353" spans="1:9" ht="14.4" x14ac:dyDescent="0.3">
      <c r="A353" s="157" t="s">
        <v>245</v>
      </c>
      <c r="B353" s="158">
        <v>2009</v>
      </c>
      <c r="C353" s="188">
        <v>2252285</v>
      </c>
      <c r="D353" s="188">
        <v>24336547.890000001</v>
      </c>
      <c r="E353" s="188">
        <v>29974547.890000001</v>
      </c>
      <c r="F353" s="188">
        <v>42736481.890000001</v>
      </c>
      <c r="G353" s="188">
        <v>48374481.890000001</v>
      </c>
      <c r="H353" s="187">
        <f t="shared" si="12"/>
        <v>16147649</v>
      </c>
    </row>
    <row r="354" spans="1:9" ht="14.4" x14ac:dyDescent="0.3">
      <c r="A354" s="157" t="s">
        <v>245</v>
      </c>
      <c r="B354" s="158">
        <v>2010</v>
      </c>
      <c r="C354" s="188">
        <v>3199315</v>
      </c>
      <c r="D354" s="188">
        <v>20221572.860000003</v>
      </c>
      <c r="E354" s="188">
        <v>28797572.860000003</v>
      </c>
      <c r="F354" s="188">
        <v>50067644.769999996</v>
      </c>
      <c r="G354" s="188">
        <v>58643644.769999996</v>
      </c>
      <c r="H354" s="187">
        <f t="shared" si="12"/>
        <v>26646756.909999993</v>
      </c>
    </row>
    <row r="355" spans="1:9" ht="14.4" x14ac:dyDescent="0.3">
      <c r="A355" s="157" t="s">
        <v>245</v>
      </c>
      <c r="B355" s="158">
        <v>2011</v>
      </c>
      <c r="C355" s="188">
        <v>4650019</v>
      </c>
      <c r="D355" s="188">
        <v>26584587.27</v>
      </c>
      <c r="E355" s="188">
        <v>17050590.640000001</v>
      </c>
      <c r="F355" s="188">
        <v>77658629.460000008</v>
      </c>
      <c r="G355" s="188">
        <v>68124632.830000013</v>
      </c>
      <c r="H355" s="187">
        <f t="shared" si="12"/>
        <v>46424023.190000013</v>
      </c>
    </row>
    <row r="356" spans="1:9" ht="14.4" x14ac:dyDescent="0.3">
      <c r="A356" s="157" t="s">
        <v>245</v>
      </c>
      <c r="B356" s="158">
        <v>2012</v>
      </c>
      <c r="C356" s="188">
        <v>38659504</v>
      </c>
      <c r="D356" s="188">
        <v>509518.92000000039</v>
      </c>
      <c r="E356" s="188">
        <v>2930729.2</v>
      </c>
      <c r="F356" s="188">
        <v>106693392.51000001</v>
      </c>
      <c r="G356" s="188">
        <v>109114602.79000001</v>
      </c>
      <c r="H356" s="187">
        <f t="shared" si="12"/>
        <v>67524369.590000004</v>
      </c>
    </row>
    <row r="357" spans="1:9" ht="14.4" x14ac:dyDescent="0.3">
      <c r="A357" s="157" t="s">
        <v>245</v>
      </c>
      <c r="B357" s="158">
        <v>2013</v>
      </c>
      <c r="C357" s="188">
        <v>25743402</v>
      </c>
      <c r="D357" s="188">
        <v>17360983.949999999</v>
      </c>
      <c r="E357" s="188">
        <v>12536074.08</v>
      </c>
      <c r="F357" s="188">
        <v>84631318.069999993</v>
      </c>
      <c r="G357" s="188">
        <v>79806408.200000003</v>
      </c>
      <c r="H357" s="187">
        <f t="shared" si="12"/>
        <v>41526932.11999999</v>
      </c>
    </row>
    <row r="358" spans="1:9" ht="14.4" x14ac:dyDescent="0.3">
      <c r="A358" s="157" t="s">
        <v>245</v>
      </c>
      <c r="B358" s="158">
        <v>2014</v>
      </c>
      <c r="C358" s="188">
        <v>14936895</v>
      </c>
      <c r="D358" s="188">
        <v>40328444.149999999</v>
      </c>
      <c r="E358" s="188">
        <v>43782798.450000003</v>
      </c>
      <c r="F358" s="188">
        <v>61135634.049999997</v>
      </c>
      <c r="G358" s="188">
        <v>64589988.349999994</v>
      </c>
      <c r="H358" s="187">
        <f t="shared" si="12"/>
        <v>5870294.8999999985</v>
      </c>
    </row>
    <row r="359" spans="1:9" ht="14.4" x14ac:dyDescent="0.3">
      <c r="A359" s="157" t="s">
        <v>245</v>
      </c>
      <c r="B359" s="158">
        <v>2015</v>
      </c>
      <c r="C359" s="188">
        <v>877304</v>
      </c>
      <c r="D359" s="188">
        <v>50017330.630000003</v>
      </c>
      <c r="E359" s="188">
        <v>53003330.240000002</v>
      </c>
      <c r="F359" s="188">
        <v>50894694.629999995</v>
      </c>
      <c r="G359" s="188">
        <v>53880694.240000002</v>
      </c>
      <c r="H359" s="187">
        <f t="shared" si="12"/>
        <v>59.999999992549419</v>
      </c>
    </row>
    <row r="360" spans="1:9" ht="14.4" x14ac:dyDescent="0.3">
      <c r="A360" s="157" t="s">
        <v>246</v>
      </c>
      <c r="B360" s="158">
        <v>1995</v>
      </c>
      <c r="C360" s="186"/>
      <c r="D360" s="186"/>
      <c r="E360" s="186"/>
      <c r="F360" s="186">
        <f>$I360+$C360+D360</f>
        <v>434000</v>
      </c>
      <c r="G360" s="186">
        <f>$I360+$C360+E360</f>
        <v>434000</v>
      </c>
      <c r="H360" s="187">
        <f t="shared" si="12"/>
        <v>434000</v>
      </c>
      <c r="I360" s="43">
        <f>VLOOKUP(A360,$L$3:$N$39,3,0)*1000</f>
        <v>434000</v>
      </c>
    </row>
    <row r="361" spans="1:9" ht="14.4" x14ac:dyDescent="0.3">
      <c r="A361" s="157" t="s">
        <v>246</v>
      </c>
      <c r="B361" s="158">
        <v>1996</v>
      </c>
      <c r="C361" s="186"/>
      <c r="D361" s="186"/>
      <c r="E361" s="186"/>
      <c r="F361" s="186"/>
      <c r="G361" s="186"/>
      <c r="H361" s="187">
        <f>F361-D361-C361</f>
        <v>0</v>
      </c>
    </row>
    <row r="362" spans="1:9" ht="14.4" x14ac:dyDescent="0.3">
      <c r="A362" s="157" t="s">
        <v>246</v>
      </c>
      <c r="B362" s="158">
        <v>1997</v>
      </c>
      <c r="C362" s="186"/>
      <c r="D362" s="186"/>
      <c r="E362" s="186"/>
      <c r="F362" s="186"/>
      <c r="G362" s="186"/>
      <c r="H362" s="187">
        <f>F362-D362-C362</f>
        <v>0</v>
      </c>
    </row>
    <row r="363" spans="1:9" ht="14.4" x14ac:dyDescent="0.3">
      <c r="A363" s="157" t="s">
        <v>246</v>
      </c>
      <c r="B363" s="158">
        <v>1998</v>
      </c>
      <c r="C363" s="188"/>
      <c r="D363" s="188"/>
      <c r="E363" s="188"/>
      <c r="F363" s="188"/>
      <c r="G363" s="188"/>
      <c r="H363" s="187">
        <f t="shared" ref="H363:H426" si="13">F363-D363-C363</f>
        <v>0</v>
      </c>
    </row>
    <row r="364" spans="1:9" ht="14.4" x14ac:dyDescent="0.3">
      <c r="A364" s="157" t="s">
        <v>246</v>
      </c>
      <c r="B364" s="158">
        <v>1999</v>
      </c>
      <c r="C364" s="188"/>
      <c r="D364" s="188"/>
      <c r="E364" s="188"/>
      <c r="F364" s="188"/>
      <c r="G364" s="188"/>
      <c r="H364" s="187">
        <f t="shared" si="13"/>
        <v>0</v>
      </c>
    </row>
    <row r="365" spans="1:9" ht="14.4" x14ac:dyDescent="0.3">
      <c r="A365" s="157" t="s">
        <v>246</v>
      </c>
      <c r="B365" s="158">
        <v>2000</v>
      </c>
      <c r="C365" s="186">
        <v>4095262</v>
      </c>
      <c r="D365" s="186">
        <v>-836670.9</v>
      </c>
      <c r="E365" s="186">
        <v>-895670.9</v>
      </c>
      <c r="F365" s="186">
        <v>26413141.509999998</v>
      </c>
      <c r="G365" s="186">
        <v>26354141.509999998</v>
      </c>
      <c r="H365" s="187">
        <f t="shared" si="13"/>
        <v>23154550.409999996</v>
      </c>
    </row>
    <row r="366" spans="1:9" ht="14.4" x14ac:dyDescent="0.3">
      <c r="A366" s="157" t="s">
        <v>246</v>
      </c>
      <c r="B366" s="158">
        <v>2001</v>
      </c>
      <c r="C366" s="188">
        <v>4553814</v>
      </c>
      <c r="D366" s="188">
        <v>-669315.29</v>
      </c>
      <c r="E366" s="188">
        <v>-849315.29</v>
      </c>
      <c r="F366" s="188">
        <v>6408040.6400000006</v>
      </c>
      <c r="G366" s="188">
        <v>6228040.6400000006</v>
      </c>
      <c r="H366" s="187">
        <f t="shared" si="13"/>
        <v>2523541.9300000006</v>
      </c>
    </row>
    <row r="367" spans="1:9" ht="14.4" x14ac:dyDescent="0.3">
      <c r="A367" s="157" t="s">
        <v>246</v>
      </c>
      <c r="B367" s="158">
        <v>2002</v>
      </c>
      <c r="C367" s="186">
        <v>0</v>
      </c>
      <c r="D367" s="186">
        <v>0</v>
      </c>
      <c r="E367" s="186">
        <v>50000</v>
      </c>
      <c r="F367" s="186">
        <v>3293033.34</v>
      </c>
      <c r="G367" s="186">
        <v>3343033.34</v>
      </c>
      <c r="H367" s="187">
        <f t="shared" si="13"/>
        <v>3293033.34</v>
      </c>
    </row>
    <row r="368" spans="1:9" ht="14.4" x14ac:dyDescent="0.3">
      <c r="A368" s="157" t="s">
        <v>246</v>
      </c>
      <c r="B368" s="158">
        <v>2003</v>
      </c>
      <c r="C368" s="186">
        <v>0</v>
      </c>
      <c r="D368" s="186">
        <v>401624.84</v>
      </c>
      <c r="E368" s="186">
        <v>421624.84</v>
      </c>
      <c r="F368" s="186">
        <v>29525660.619999997</v>
      </c>
      <c r="G368" s="186">
        <v>29545660.619999997</v>
      </c>
      <c r="H368" s="187">
        <f t="shared" si="13"/>
        <v>29124035.779999997</v>
      </c>
    </row>
    <row r="369" spans="1:9" ht="14.4" x14ac:dyDescent="0.3">
      <c r="A369" s="157" t="s">
        <v>246</v>
      </c>
      <c r="B369" s="158">
        <v>2004</v>
      </c>
      <c r="C369" s="188">
        <v>0</v>
      </c>
      <c r="D369" s="188">
        <v>0</v>
      </c>
      <c r="E369" s="188">
        <v>276000</v>
      </c>
      <c r="F369" s="188">
        <v>12273733.200000001</v>
      </c>
      <c r="G369" s="188">
        <v>12549733.200000001</v>
      </c>
      <c r="H369" s="187">
        <f t="shared" si="13"/>
        <v>12273733.200000001</v>
      </c>
    </row>
    <row r="370" spans="1:9" ht="14.4" x14ac:dyDescent="0.3">
      <c r="A370" s="157" t="s">
        <v>246</v>
      </c>
      <c r="B370" s="158">
        <v>2005</v>
      </c>
      <c r="C370" s="188">
        <v>0</v>
      </c>
      <c r="D370" s="188">
        <v>0</v>
      </c>
      <c r="E370" s="188">
        <v>171000</v>
      </c>
      <c r="F370" s="188">
        <v>24135429.030000001</v>
      </c>
      <c r="G370" s="188">
        <v>24306429.030000001</v>
      </c>
      <c r="H370" s="187">
        <f t="shared" si="13"/>
        <v>24135429.030000001</v>
      </c>
    </row>
    <row r="371" spans="1:9" ht="14.4" x14ac:dyDescent="0.3">
      <c r="A371" s="157" t="s">
        <v>246</v>
      </c>
      <c r="B371" s="158">
        <v>2006</v>
      </c>
      <c r="C371" s="188">
        <v>600001</v>
      </c>
      <c r="D371" s="188">
        <v>771737.3</v>
      </c>
      <c r="E371" s="188">
        <v>782737.3</v>
      </c>
      <c r="F371" s="188">
        <v>19017699.420000002</v>
      </c>
      <c r="G371" s="188">
        <v>19028699.420000002</v>
      </c>
      <c r="H371" s="187">
        <f t="shared" si="13"/>
        <v>17645961.120000001</v>
      </c>
    </row>
    <row r="372" spans="1:9" ht="14.4" x14ac:dyDescent="0.3">
      <c r="A372" s="157" t="s">
        <v>246</v>
      </c>
      <c r="B372" s="158">
        <v>2007</v>
      </c>
      <c r="C372" s="188">
        <v>11530882</v>
      </c>
      <c r="D372" s="188">
        <v>5648573.2599999998</v>
      </c>
      <c r="E372" s="188">
        <v>5693573.2599999998</v>
      </c>
      <c r="F372" s="188">
        <v>96472674.410000011</v>
      </c>
      <c r="G372" s="188">
        <v>96517674.410000011</v>
      </c>
      <c r="H372" s="187">
        <f t="shared" si="13"/>
        <v>79293219.150000006</v>
      </c>
    </row>
    <row r="373" spans="1:9" ht="14.4" x14ac:dyDescent="0.3">
      <c r="A373" s="157" t="s">
        <v>246</v>
      </c>
      <c r="B373" s="158">
        <v>2008</v>
      </c>
      <c r="C373" s="188">
        <v>5742750</v>
      </c>
      <c r="D373" s="188">
        <v>5691793.7800000003</v>
      </c>
      <c r="E373" s="188">
        <v>6479793.7800000003</v>
      </c>
      <c r="F373" s="188">
        <v>125091072.81</v>
      </c>
      <c r="G373" s="188">
        <v>125879072.81</v>
      </c>
      <c r="H373" s="187">
        <f t="shared" si="13"/>
        <v>113656529.03</v>
      </c>
    </row>
    <row r="374" spans="1:9" ht="14.4" x14ac:dyDescent="0.3">
      <c r="A374" s="157" t="s">
        <v>246</v>
      </c>
      <c r="B374" s="158">
        <v>2009</v>
      </c>
      <c r="C374" s="188">
        <v>17895649</v>
      </c>
      <c r="D374" s="188">
        <v>8216598.7199999997</v>
      </c>
      <c r="E374" s="188">
        <v>10571598.720000001</v>
      </c>
      <c r="F374" s="188">
        <v>114213035.84</v>
      </c>
      <c r="G374" s="188">
        <v>116568035.84</v>
      </c>
      <c r="H374" s="187">
        <f t="shared" si="13"/>
        <v>88100788.120000005</v>
      </c>
    </row>
    <row r="375" spans="1:9" ht="14.4" x14ac:dyDescent="0.3">
      <c r="A375" s="157" t="s">
        <v>246</v>
      </c>
      <c r="B375" s="158">
        <v>2010</v>
      </c>
      <c r="C375" s="188">
        <v>276657</v>
      </c>
      <c r="D375" s="188">
        <v>12990146.720000001</v>
      </c>
      <c r="E375" s="188">
        <v>16617146.720000001</v>
      </c>
      <c r="F375" s="188">
        <v>47436857.329999998</v>
      </c>
      <c r="G375" s="188">
        <v>51063857.329999998</v>
      </c>
      <c r="H375" s="187">
        <f t="shared" si="13"/>
        <v>34170053.609999999</v>
      </c>
    </row>
    <row r="376" spans="1:9" ht="14.4" x14ac:dyDescent="0.3">
      <c r="A376" s="157" t="s">
        <v>246</v>
      </c>
      <c r="B376" s="158">
        <v>2011</v>
      </c>
      <c r="C376" s="188">
        <v>19966012</v>
      </c>
      <c r="D376" s="188">
        <v>8278018.7199999997</v>
      </c>
      <c r="E376" s="188">
        <v>10231018.720000001</v>
      </c>
      <c r="F376" s="188">
        <v>57573754.769999996</v>
      </c>
      <c r="G376" s="188">
        <v>59526754.769999996</v>
      </c>
      <c r="H376" s="187">
        <f t="shared" si="13"/>
        <v>29329724.049999997</v>
      </c>
    </row>
    <row r="377" spans="1:9" ht="14.4" x14ac:dyDescent="0.3">
      <c r="A377" s="157" t="s">
        <v>246</v>
      </c>
      <c r="B377" s="158">
        <v>2012</v>
      </c>
      <c r="C377" s="188">
        <v>6185081</v>
      </c>
      <c r="D377" s="188">
        <v>22535835.989999998</v>
      </c>
      <c r="E377" s="188">
        <v>25168835.989999998</v>
      </c>
      <c r="F377" s="188">
        <v>64925239.780000001</v>
      </c>
      <c r="G377" s="188">
        <v>67558239.780000001</v>
      </c>
      <c r="H377" s="187">
        <f t="shared" si="13"/>
        <v>36204322.790000007</v>
      </c>
    </row>
    <row r="378" spans="1:9" ht="14.4" x14ac:dyDescent="0.3">
      <c r="A378" s="157" t="s">
        <v>246</v>
      </c>
      <c r="B378" s="158">
        <v>2013</v>
      </c>
      <c r="C378" s="188">
        <v>23071128</v>
      </c>
      <c r="D378" s="188">
        <v>19841316.379999999</v>
      </c>
      <c r="E378" s="188">
        <v>30496316.379999999</v>
      </c>
      <c r="F378" s="188">
        <v>46617502</v>
      </c>
      <c r="G378" s="188">
        <v>57272502</v>
      </c>
      <c r="H378" s="187">
        <f t="shared" si="13"/>
        <v>3705057.620000001</v>
      </c>
    </row>
    <row r="379" spans="1:9" ht="14.4" x14ac:dyDescent="0.3">
      <c r="A379" s="157" t="s">
        <v>246</v>
      </c>
      <c r="B379" s="158">
        <v>2014</v>
      </c>
      <c r="C379" s="188">
        <v>5324683</v>
      </c>
      <c r="D379" s="188">
        <v>32837881.820000004</v>
      </c>
      <c r="E379" s="188">
        <v>37270881.82</v>
      </c>
      <c r="F379" s="188">
        <v>51756422.409999996</v>
      </c>
      <c r="G379" s="188">
        <v>56189422.409999996</v>
      </c>
      <c r="H379" s="187">
        <f t="shared" si="13"/>
        <v>13593857.589999992</v>
      </c>
    </row>
    <row r="380" spans="1:9" ht="14.4" x14ac:dyDescent="0.3">
      <c r="A380" s="157" t="s">
        <v>246</v>
      </c>
      <c r="B380" s="158">
        <v>2015</v>
      </c>
      <c r="C380" s="188">
        <v>2066976</v>
      </c>
      <c r="D380" s="188">
        <v>38289098.600000001</v>
      </c>
      <c r="E380" s="188">
        <v>41727319.260000005</v>
      </c>
      <c r="F380" s="188">
        <v>40712099.350000001</v>
      </c>
      <c r="G380" s="188">
        <v>44150320.009999998</v>
      </c>
      <c r="H380" s="187">
        <f t="shared" si="13"/>
        <v>356024.75</v>
      </c>
    </row>
    <row r="381" spans="1:9" ht="14.4" x14ac:dyDescent="0.3">
      <c r="A381" s="157" t="s">
        <v>247</v>
      </c>
      <c r="B381" s="158">
        <v>1995</v>
      </c>
      <c r="C381" s="186">
        <v>1</v>
      </c>
      <c r="D381" s="186">
        <v>14268.93</v>
      </c>
      <c r="E381" s="186">
        <v>60524.099999999991</v>
      </c>
      <c r="F381" s="186">
        <f>$I381+$C381+D381</f>
        <v>113980269.93000001</v>
      </c>
      <c r="G381" s="186">
        <f>$I381+$C381+E381</f>
        <v>114026525.09999999</v>
      </c>
      <c r="H381" s="187">
        <f t="shared" si="13"/>
        <v>113966000</v>
      </c>
      <c r="I381" s="43">
        <f>VLOOKUP(A381,$L$3:$N$39,3,0)*1000</f>
        <v>113966000</v>
      </c>
    </row>
    <row r="382" spans="1:9" ht="14.4" x14ac:dyDescent="0.3">
      <c r="A382" s="157" t="s">
        <v>247</v>
      </c>
      <c r="B382" s="158">
        <v>1996</v>
      </c>
      <c r="C382" s="186">
        <v>7225.96</v>
      </c>
      <c r="D382" s="186">
        <v>44199.78</v>
      </c>
      <c r="E382" s="186">
        <v>39788.300000000003</v>
      </c>
      <c r="F382" s="186">
        <v>11589225.83</v>
      </c>
      <c r="G382" s="186">
        <v>11584814.35</v>
      </c>
      <c r="H382" s="187">
        <f t="shared" si="13"/>
        <v>11537800.09</v>
      </c>
    </row>
    <row r="383" spans="1:9" ht="14.4" x14ac:dyDescent="0.3">
      <c r="A383" s="157" t="s">
        <v>247</v>
      </c>
      <c r="B383" s="158">
        <v>1997</v>
      </c>
      <c r="C383" s="188">
        <v>72259.56</v>
      </c>
      <c r="D383" s="188">
        <v>36728.520000000004</v>
      </c>
      <c r="E383" s="188">
        <v>18973.29</v>
      </c>
      <c r="F383" s="188">
        <v>137258243.41</v>
      </c>
      <c r="G383" s="188">
        <v>137240488.18000001</v>
      </c>
      <c r="H383" s="187">
        <f t="shared" si="13"/>
        <v>137149255.32999998</v>
      </c>
    </row>
    <row r="384" spans="1:9" ht="14.4" x14ac:dyDescent="0.3">
      <c r="A384" s="157" t="s">
        <v>247</v>
      </c>
      <c r="B384" s="158">
        <v>1998</v>
      </c>
      <c r="C384" s="188">
        <v>196711.47</v>
      </c>
      <c r="D384" s="188">
        <v>53134.459999999992</v>
      </c>
      <c r="E384" s="188">
        <v>32827.79</v>
      </c>
      <c r="F384" s="188">
        <v>137542594.56000003</v>
      </c>
      <c r="G384" s="188">
        <v>137522287.89000002</v>
      </c>
      <c r="H384" s="187">
        <f t="shared" si="13"/>
        <v>137292748.63000003</v>
      </c>
    </row>
    <row r="385" spans="1:8" ht="14.4" x14ac:dyDescent="0.3">
      <c r="A385" s="157" t="s">
        <v>247</v>
      </c>
      <c r="B385" s="158">
        <v>1999</v>
      </c>
      <c r="C385" s="188">
        <v>230074.43</v>
      </c>
      <c r="D385" s="188">
        <v>46563.59</v>
      </c>
      <c r="E385" s="188">
        <v>-36113.54</v>
      </c>
      <c r="F385" s="188">
        <v>172952646.41000003</v>
      </c>
      <c r="G385" s="188">
        <v>172869969.28</v>
      </c>
      <c r="H385" s="187">
        <f t="shared" si="13"/>
        <v>172676008.39000002</v>
      </c>
    </row>
    <row r="386" spans="1:8" ht="14.4" x14ac:dyDescent="0.3">
      <c r="A386" s="157" t="s">
        <v>247</v>
      </c>
      <c r="B386" s="158">
        <v>2000</v>
      </c>
      <c r="C386" s="188">
        <v>101163.38</v>
      </c>
      <c r="D386" s="188">
        <v>181665.78</v>
      </c>
      <c r="E386" s="188">
        <v>105150.28</v>
      </c>
      <c r="F386" s="188">
        <v>238937413.72999999</v>
      </c>
      <c r="G386" s="188">
        <v>238860898.22999999</v>
      </c>
      <c r="H386" s="187">
        <f t="shared" si="13"/>
        <v>238654584.56999999</v>
      </c>
    </row>
    <row r="387" spans="1:8" ht="14.4" x14ac:dyDescent="0.3">
      <c r="A387" s="157" t="s">
        <v>247</v>
      </c>
      <c r="B387" s="158">
        <v>2001</v>
      </c>
      <c r="C387" s="188">
        <v>1820387.56</v>
      </c>
      <c r="D387" s="188">
        <v>1589721.18</v>
      </c>
      <c r="E387" s="188">
        <v>17968.740000000002</v>
      </c>
      <c r="F387" s="188">
        <v>208094561.25</v>
      </c>
      <c r="G387" s="188">
        <v>206522808.81</v>
      </c>
      <c r="H387" s="187">
        <f t="shared" si="13"/>
        <v>204684452.50999999</v>
      </c>
    </row>
    <row r="388" spans="1:8" ht="14.4" x14ac:dyDescent="0.3">
      <c r="A388" s="157" t="s">
        <v>247</v>
      </c>
      <c r="B388" s="158">
        <v>2002</v>
      </c>
      <c r="C388" s="188">
        <v>1341788.6399999999</v>
      </c>
      <c r="D388" s="188">
        <v>-4912657.51</v>
      </c>
      <c r="E388" s="188">
        <v>78370.720000000001</v>
      </c>
      <c r="F388" s="188">
        <v>256185795.41</v>
      </c>
      <c r="G388" s="188">
        <v>261176823.63999999</v>
      </c>
      <c r="H388" s="187">
        <f t="shared" si="13"/>
        <v>259756664.28</v>
      </c>
    </row>
    <row r="389" spans="1:8" ht="14.4" x14ac:dyDescent="0.3">
      <c r="A389" s="157" t="s">
        <v>247</v>
      </c>
      <c r="B389" s="158">
        <v>2003</v>
      </c>
      <c r="C389" s="188">
        <v>1230004</v>
      </c>
      <c r="D389" s="188">
        <v>352298.56</v>
      </c>
      <c r="E389" s="188">
        <v>8722.6</v>
      </c>
      <c r="F389" s="188">
        <v>252447221.65000001</v>
      </c>
      <c r="G389" s="188">
        <v>252103645.69</v>
      </c>
      <c r="H389" s="187">
        <f t="shared" si="13"/>
        <v>250864919.09</v>
      </c>
    </row>
    <row r="390" spans="1:8" ht="14.4" x14ac:dyDescent="0.3">
      <c r="A390" s="157" t="s">
        <v>247</v>
      </c>
      <c r="B390" s="158">
        <v>2004</v>
      </c>
      <c r="C390" s="188">
        <v>7012113.9800000004</v>
      </c>
      <c r="D390" s="188">
        <v>111076.95000000001</v>
      </c>
      <c r="E390" s="188">
        <v>413232.68000000005</v>
      </c>
      <c r="F390" s="188">
        <v>215037049.91</v>
      </c>
      <c r="G390" s="188">
        <v>215339205.63999999</v>
      </c>
      <c r="H390" s="187">
        <f t="shared" si="13"/>
        <v>207913858.98000002</v>
      </c>
    </row>
    <row r="391" spans="1:8" ht="14.4" x14ac:dyDescent="0.3">
      <c r="A391" s="157" t="s">
        <v>247</v>
      </c>
      <c r="B391" s="158">
        <v>2005</v>
      </c>
      <c r="C391" s="188">
        <v>1267543</v>
      </c>
      <c r="D391" s="188">
        <v>2417095.39</v>
      </c>
      <c r="E391" s="188">
        <v>193065.89</v>
      </c>
      <c r="F391" s="188">
        <v>214659445.92000005</v>
      </c>
      <c r="G391" s="188">
        <v>212435416.42000002</v>
      </c>
      <c r="H391" s="187">
        <f t="shared" si="13"/>
        <v>210974807.53000006</v>
      </c>
    </row>
    <row r="392" spans="1:8" ht="14.4" x14ac:dyDescent="0.3">
      <c r="A392" s="157" t="s">
        <v>247</v>
      </c>
      <c r="B392" s="158">
        <v>2006</v>
      </c>
      <c r="C392" s="188">
        <v>3796430</v>
      </c>
      <c r="D392" s="188">
        <v>2957295.34</v>
      </c>
      <c r="E392" s="188">
        <v>2646844.6399999997</v>
      </c>
      <c r="F392" s="188">
        <v>197901927.55000001</v>
      </c>
      <c r="G392" s="188">
        <v>197591476.85000002</v>
      </c>
      <c r="H392" s="187">
        <f t="shared" si="13"/>
        <v>191148202.21000001</v>
      </c>
    </row>
    <row r="393" spans="1:8" ht="14.4" x14ac:dyDescent="0.3">
      <c r="A393" s="157" t="s">
        <v>247</v>
      </c>
      <c r="B393" s="158">
        <v>2007</v>
      </c>
      <c r="C393" s="188">
        <v>5745257</v>
      </c>
      <c r="D393" s="188">
        <v>4858502.6899999995</v>
      </c>
      <c r="E393" s="188">
        <v>5273101.71</v>
      </c>
      <c r="F393" s="188">
        <v>187757237</v>
      </c>
      <c r="G393" s="188">
        <v>188171836.01999998</v>
      </c>
      <c r="H393" s="187">
        <f t="shared" si="13"/>
        <v>177153477.31</v>
      </c>
    </row>
    <row r="394" spans="1:8" ht="14.4" x14ac:dyDescent="0.3">
      <c r="A394" s="157" t="s">
        <v>247</v>
      </c>
      <c r="B394" s="158">
        <v>2008</v>
      </c>
      <c r="C394" s="188">
        <v>9953508</v>
      </c>
      <c r="D394" s="188">
        <v>9791523.0299999993</v>
      </c>
      <c r="E394" s="188">
        <v>10809070.759999998</v>
      </c>
      <c r="F394" s="188">
        <v>183560615.31</v>
      </c>
      <c r="G394" s="188">
        <v>184578163.03999996</v>
      </c>
      <c r="H394" s="187">
        <f t="shared" si="13"/>
        <v>163815584.28</v>
      </c>
    </row>
    <row r="395" spans="1:8" ht="14.4" x14ac:dyDescent="0.3">
      <c r="A395" s="157" t="s">
        <v>247</v>
      </c>
      <c r="B395" s="158">
        <v>2009</v>
      </c>
      <c r="C395" s="188">
        <v>10283547</v>
      </c>
      <c r="D395" s="188">
        <v>6483810.9500000002</v>
      </c>
      <c r="E395" s="188">
        <v>8024006.6499999994</v>
      </c>
      <c r="F395" s="188">
        <v>133470701.58000001</v>
      </c>
      <c r="G395" s="188">
        <v>135010897.28</v>
      </c>
      <c r="H395" s="187">
        <f t="shared" si="13"/>
        <v>116703343.63000001</v>
      </c>
    </row>
    <row r="396" spans="1:8" ht="14.4" x14ac:dyDescent="0.3">
      <c r="A396" s="157" t="s">
        <v>247</v>
      </c>
      <c r="B396" s="158">
        <v>2010</v>
      </c>
      <c r="C396" s="188">
        <v>10062433</v>
      </c>
      <c r="D396" s="188">
        <v>11430181.07</v>
      </c>
      <c r="E396" s="188">
        <v>12527462.52</v>
      </c>
      <c r="F396" s="188">
        <v>131570249.93000001</v>
      </c>
      <c r="G396" s="188">
        <v>132667531.38</v>
      </c>
      <c r="H396" s="187">
        <f t="shared" si="13"/>
        <v>110077635.86000001</v>
      </c>
    </row>
    <row r="397" spans="1:8" ht="14.4" x14ac:dyDescent="0.3">
      <c r="A397" s="157" t="s">
        <v>247</v>
      </c>
      <c r="B397" s="158">
        <v>2011</v>
      </c>
      <c r="C397" s="188">
        <v>15846923</v>
      </c>
      <c r="D397" s="188">
        <v>21253377.250000004</v>
      </c>
      <c r="E397" s="188">
        <v>22673166.650000002</v>
      </c>
      <c r="F397" s="188">
        <v>127364066.5</v>
      </c>
      <c r="G397" s="188">
        <v>128783855.90000001</v>
      </c>
      <c r="H397" s="187">
        <f t="shared" si="13"/>
        <v>90263766.25</v>
      </c>
    </row>
    <row r="398" spans="1:8" ht="14.4" x14ac:dyDescent="0.3">
      <c r="A398" s="157" t="s">
        <v>247</v>
      </c>
      <c r="B398" s="158">
        <v>2012</v>
      </c>
      <c r="C398" s="188">
        <v>24432257</v>
      </c>
      <c r="D398" s="188">
        <v>20179086.199999999</v>
      </c>
      <c r="E398" s="188">
        <v>20970507.960000001</v>
      </c>
      <c r="F398" s="188">
        <v>110226004.29000001</v>
      </c>
      <c r="G398" s="188">
        <v>111017426.04999998</v>
      </c>
      <c r="H398" s="187">
        <f t="shared" si="13"/>
        <v>65614661.090000004</v>
      </c>
    </row>
    <row r="399" spans="1:8" ht="14.4" x14ac:dyDescent="0.3">
      <c r="A399" s="157" t="s">
        <v>247</v>
      </c>
      <c r="B399" s="158">
        <v>2013</v>
      </c>
      <c r="C399" s="188">
        <v>37245958</v>
      </c>
      <c r="D399" s="188">
        <v>34672088.189999998</v>
      </c>
      <c r="E399" s="188">
        <v>34979190.450000003</v>
      </c>
      <c r="F399" s="188">
        <v>118812310.03</v>
      </c>
      <c r="G399" s="188">
        <v>119119412.29000001</v>
      </c>
      <c r="H399" s="187">
        <f t="shared" si="13"/>
        <v>46894263.840000004</v>
      </c>
    </row>
    <row r="400" spans="1:8" ht="14.4" x14ac:dyDescent="0.3">
      <c r="A400" s="157" t="s">
        <v>247</v>
      </c>
      <c r="B400" s="158">
        <v>2014</v>
      </c>
      <c r="C400" s="188">
        <v>44657998</v>
      </c>
      <c r="D400" s="188">
        <v>38514280.079999998</v>
      </c>
      <c r="E400" s="188">
        <v>39599159.210000001</v>
      </c>
      <c r="F400" s="188">
        <v>112655271.16999999</v>
      </c>
      <c r="G400" s="188">
        <v>113740150.30000001</v>
      </c>
      <c r="H400" s="187">
        <f t="shared" si="13"/>
        <v>29482993.089999989</v>
      </c>
    </row>
    <row r="401" spans="1:9" ht="14.4" x14ac:dyDescent="0.3">
      <c r="A401" s="157" t="s">
        <v>247</v>
      </c>
      <c r="B401" s="158">
        <v>2015</v>
      </c>
      <c r="C401" s="188">
        <v>13742058</v>
      </c>
      <c r="D401" s="188">
        <v>92178564.00999999</v>
      </c>
      <c r="E401" s="188">
        <v>93624115.860000014</v>
      </c>
      <c r="F401" s="188">
        <v>113688637.23999999</v>
      </c>
      <c r="G401" s="188">
        <v>115134189.09</v>
      </c>
      <c r="H401" s="187">
        <f t="shared" si="13"/>
        <v>7768015.2300000042</v>
      </c>
    </row>
    <row r="402" spans="1:9" ht="14.4" x14ac:dyDescent="0.3">
      <c r="A402" s="157" t="s">
        <v>248</v>
      </c>
      <c r="B402" s="158">
        <v>1995</v>
      </c>
      <c r="C402" s="186">
        <v>0</v>
      </c>
      <c r="D402" s="186">
        <v>1233.3400000000001</v>
      </c>
      <c r="E402" s="186">
        <v>233.34</v>
      </c>
      <c r="F402" s="186">
        <f>$I402+$C402+D402</f>
        <v>127920233.34</v>
      </c>
      <c r="G402" s="186">
        <f>$I402+$C402+E402</f>
        <v>127919233.34</v>
      </c>
      <c r="H402" s="187">
        <f t="shared" si="13"/>
        <v>127919000</v>
      </c>
      <c r="I402" s="43">
        <f>VLOOKUP(A402,$L$3:$N$39,3,0)*1000</f>
        <v>127919000</v>
      </c>
    </row>
    <row r="403" spans="1:9" ht="14.4" x14ac:dyDescent="0.3">
      <c r="A403" s="157" t="s">
        <v>248</v>
      </c>
      <c r="B403" s="158">
        <v>1996</v>
      </c>
      <c r="C403" s="186">
        <v>0</v>
      </c>
      <c r="D403" s="186">
        <v>94000</v>
      </c>
      <c r="E403" s="186">
        <v>0</v>
      </c>
      <c r="F403" s="186">
        <v>112839158.01000001</v>
      </c>
      <c r="G403" s="186">
        <v>112745158.01000001</v>
      </c>
      <c r="H403" s="187">
        <f t="shared" si="13"/>
        <v>112745158.01000001</v>
      </c>
    </row>
    <row r="404" spans="1:9" ht="14.4" x14ac:dyDescent="0.3">
      <c r="A404" s="157" t="s">
        <v>248</v>
      </c>
      <c r="B404" s="158">
        <v>1997</v>
      </c>
      <c r="C404" s="186">
        <v>0</v>
      </c>
      <c r="D404" s="186">
        <v>-13000</v>
      </c>
      <c r="E404" s="186">
        <v>6000</v>
      </c>
      <c r="F404" s="186">
        <v>97514869.030000001</v>
      </c>
      <c r="G404" s="186">
        <v>97533869.030000001</v>
      </c>
      <c r="H404" s="187">
        <f t="shared" si="13"/>
        <v>97527869.030000001</v>
      </c>
    </row>
    <row r="405" spans="1:9" ht="14.4" x14ac:dyDescent="0.3">
      <c r="A405" s="157" t="s">
        <v>248</v>
      </c>
      <c r="B405" s="158">
        <v>1998</v>
      </c>
      <c r="C405" s="186">
        <v>0</v>
      </c>
      <c r="D405" s="186">
        <v>53000</v>
      </c>
      <c r="E405" s="186">
        <v>8000</v>
      </c>
      <c r="F405" s="186">
        <v>88820387.929999992</v>
      </c>
      <c r="G405" s="186">
        <v>88775387.929999992</v>
      </c>
      <c r="H405" s="187">
        <f t="shared" si="13"/>
        <v>88767387.929999992</v>
      </c>
    </row>
    <row r="406" spans="1:9" ht="14.4" x14ac:dyDescent="0.3">
      <c r="A406" s="157" t="s">
        <v>248</v>
      </c>
      <c r="B406" s="158">
        <v>1999</v>
      </c>
      <c r="C406" s="186">
        <v>5000</v>
      </c>
      <c r="D406" s="186">
        <v>-622870.16</v>
      </c>
      <c r="E406" s="186">
        <v>-2870.16</v>
      </c>
      <c r="F406" s="186">
        <v>77461291.159999996</v>
      </c>
      <c r="G406" s="186">
        <v>78081291.159999996</v>
      </c>
      <c r="H406" s="187">
        <f t="shared" si="13"/>
        <v>78079161.319999993</v>
      </c>
    </row>
    <row r="407" spans="1:9" ht="14.4" x14ac:dyDescent="0.3">
      <c r="A407" s="157" t="s">
        <v>248</v>
      </c>
      <c r="B407" s="158">
        <v>2000</v>
      </c>
      <c r="C407" s="186">
        <v>0</v>
      </c>
      <c r="D407" s="186">
        <v>65000</v>
      </c>
      <c r="E407" s="186">
        <v>0</v>
      </c>
      <c r="F407" s="186">
        <v>51138493.799999997</v>
      </c>
      <c r="G407" s="186">
        <v>51073493.799999997</v>
      </c>
      <c r="H407" s="187">
        <f t="shared" si="13"/>
        <v>51073493.799999997</v>
      </c>
    </row>
    <row r="408" spans="1:9" ht="14.4" x14ac:dyDescent="0.3">
      <c r="A408" s="157" t="s">
        <v>248</v>
      </c>
      <c r="B408" s="158">
        <v>2001</v>
      </c>
      <c r="C408" s="186">
        <v>0</v>
      </c>
      <c r="D408" s="186">
        <v>420000</v>
      </c>
      <c r="E408" s="186">
        <v>3000</v>
      </c>
      <c r="F408" s="186">
        <v>38071328.119999997</v>
      </c>
      <c r="G408" s="186">
        <v>37654328.119999997</v>
      </c>
      <c r="H408" s="187">
        <f t="shared" si="13"/>
        <v>37651328.119999997</v>
      </c>
    </row>
    <row r="409" spans="1:9" ht="14.4" x14ac:dyDescent="0.3">
      <c r="A409" s="157" t="s">
        <v>248</v>
      </c>
      <c r="B409" s="158">
        <v>2002</v>
      </c>
      <c r="C409" s="188">
        <v>5000</v>
      </c>
      <c r="D409" s="188">
        <v>-9272.23</v>
      </c>
      <c r="E409" s="188">
        <v>456727.77</v>
      </c>
      <c r="F409" s="188">
        <v>84956569.760000005</v>
      </c>
      <c r="G409" s="188">
        <v>85422569.760000005</v>
      </c>
      <c r="H409" s="187">
        <f t="shared" si="13"/>
        <v>84960841.99000001</v>
      </c>
    </row>
    <row r="410" spans="1:9" ht="14.4" x14ac:dyDescent="0.3">
      <c r="A410" s="157" t="s">
        <v>248</v>
      </c>
      <c r="B410" s="158">
        <v>2003</v>
      </c>
      <c r="C410" s="188">
        <v>176001</v>
      </c>
      <c r="D410" s="188">
        <v>53897.86</v>
      </c>
      <c r="E410" s="188">
        <v>1043676.51</v>
      </c>
      <c r="F410" s="188">
        <v>98756459.539999992</v>
      </c>
      <c r="G410" s="188">
        <v>99746238.189999998</v>
      </c>
      <c r="H410" s="187">
        <f t="shared" si="13"/>
        <v>98526560.679999992</v>
      </c>
    </row>
    <row r="411" spans="1:9" ht="14.4" x14ac:dyDescent="0.3">
      <c r="A411" s="157" t="s">
        <v>248</v>
      </c>
      <c r="B411" s="158">
        <v>2004</v>
      </c>
      <c r="C411" s="188">
        <v>1893504</v>
      </c>
      <c r="D411" s="188">
        <v>2593166.0099999998</v>
      </c>
      <c r="E411" s="188">
        <v>1060612.7</v>
      </c>
      <c r="F411" s="188">
        <v>110710441.72</v>
      </c>
      <c r="G411" s="188">
        <v>109177888.41</v>
      </c>
      <c r="H411" s="187">
        <f t="shared" si="13"/>
        <v>106223771.70999999</v>
      </c>
    </row>
    <row r="412" spans="1:9" ht="14.4" x14ac:dyDescent="0.3">
      <c r="A412" s="157" t="s">
        <v>248</v>
      </c>
      <c r="B412" s="158">
        <v>2005</v>
      </c>
      <c r="C412" s="188">
        <v>541610</v>
      </c>
      <c r="D412" s="188">
        <v>456411.92</v>
      </c>
      <c r="E412" s="188">
        <v>9404719.9900000002</v>
      </c>
      <c r="F412" s="188">
        <v>122308111.52000001</v>
      </c>
      <c r="G412" s="188">
        <v>131256419.59</v>
      </c>
      <c r="H412" s="187">
        <f t="shared" si="13"/>
        <v>121310089.60000001</v>
      </c>
    </row>
    <row r="413" spans="1:9" ht="14.4" x14ac:dyDescent="0.3">
      <c r="A413" s="157" t="s">
        <v>248</v>
      </c>
      <c r="B413" s="158">
        <v>2006</v>
      </c>
      <c r="C413" s="188">
        <v>999000</v>
      </c>
      <c r="D413" s="188">
        <v>-460675.32</v>
      </c>
      <c r="E413" s="188">
        <v>435622.86</v>
      </c>
      <c r="F413" s="188">
        <v>113780373.44</v>
      </c>
      <c r="G413" s="188">
        <v>114676671.61999999</v>
      </c>
      <c r="H413" s="187">
        <f t="shared" si="13"/>
        <v>113242048.75999999</v>
      </c>
    </row>
    <row r="414" spans="1:9" ht="14.4" x14ac:dyDescent="0.3">
      <c r="A414" s="157" t="s">
        <v>248</v>
      </c>
      <c r="B414" s="158">
        <v>2007</v>
      </c>
      <c r="C414" s="188">
        <v>1586001</v>
      </c>
      <c r="D414" s="188">
        <v>2914287.7600000002</v>
      </c>
      <c r="E414" s="188">
        <v>3421411.15</v>
      </c>
      <c r="F414" s="188">
        <v>119656278.39999999</v>
      </c>
      <c r="G414" s="188">
        <v>120163401.79000001</v>
      </c>
      <c r="H414" s="187">
        <f t="shared" si="13"/>
        <v>115155989.63999999</v>
      </c>
    </row>
    <row r="415" spans="1:9" ht="14.4" x14ac:dyDescent="0.3">
      <c r="A415" s="157" t="s">
        <v>248</v>
      </c>
      <c r="B415" s="158">
        <v>2008</v>
      </c>
      <c r="C415" s="188">
        <v>2109512</v>
      </c>
      <c r="D415" s="188">
        <v>2311604.5300000003</v>
      </c>
      <c r="E415" s="188">
        <v>6954544.0800000001</v>
      </c>
      <c r="F415" s="188">
        <v>133061091.11000001</v>
      </c>
      <c r="G415" s="188">
        <v>137704030.66</v>
      </c>
      <c r="H415" s="187">
        <f t="shared" si="13"/>
        <v>128639974.58000001</v>
      </c>
    </row>
    <row r="416" spans="1:9" ht="14.4" x14ac:dyDescent="0.3">
      <c r="A416" s="157" t="s">
        <v>248</v>
      </c>
      <c r="B416" s="158">
        <v>2009</v>
      </c>
      <c r="C416" s="188">
        <v>5675136</v>
      </c>
      <c r="D416" s="188">
        <v>4441920.0600000005</v>
      </c>
      <c r="E416" s="188">
        <v>5841368.1200000001</v>
      </c>
      <c r="F416" s="188">
        <v>172787388.16999999</v>
      </c>
      <c r="G416" s="188">
        <v>174186836.22999999</v>
      </c>
      <c r="H416" s="187">
        <f t="shared" si="13"/>
        <v>162670332.10999998</v>
      </c>
    </row>
    <row r="417" spans="1:9" ht="14.4" x14ac:dyDescent="0.3">
      <c r="A417" s="157" t="s">
        <v>248</v>
      </c>
      <c r="B417" s="158">
        <v>2010</v>
      </c>
      <c r="C417" s="188">
        <v>9559165</v>
      </c>
      <c r="D417" s="188">
        <v>11627083.02</v>
      </c>
      <c r="E417" s="188">
        <v>14870571.369999999</v>
      </c>
      <c r="F417" s="188">
        <v>176685288.54000002</v>
      </c>
      <c r="G417" s="188">
        <v>179928776.89000002</v>
      </c>
      <c r="H417" s="187">
        <f t="shared" si="13"/>
        <v>155499040.52000001</v>
      </c>
    </row>
    <row r="418" spans="1:9" ht="14.4" x14ac:dyDescent="0.3">
      <c r="A418" s="157" t="s">
        <v>248</v>
      </c>
      <c r="B418" s="158">
        <v>2011</v>
      </c>
      <c r="C418" s="188">
        <v>14153553</v>
      </c>
      <c r="D418" s="188">
        <v>12552481.120000001</v>
      </c>
      <c r="E418" s="188">
        <v>15411011.67</v>
      </c>
      <c r="F418" s="188">
        <v>170754280.37</v>
      </c>
      <c r="G418" s="188">
        <v>173612810.91999999</v>
      </c>
      <c r="H418" s="187">
        <f t="shared" si="13"/>
        <v>144048246.25</v>
      </c>
    </row>
    <row r="419" spans="1:9" ht="14.4" x14ac:dyDescent="0.3">
      <c r="A419" s="157" t="s">
        <v>248</v>
      </c>
      <c r="B419" s="158">
        <v>2012</v>
      </c>
      <c r="C419" s="188">
        <v>20375578</v>
      </c>
      <c r="D419" s="188">
        <v>17411700.199999999</v>
      </c>
      <c r="E419" s="188">
        <v>18170117.170000002</v>
      </c>
      <c r="F419" s="188">
        <v>184176803.48999998</v>
      </c>
      <c r="G419" s="188">
        <v>184935220.46000001</v>
      </c>
      <c r="H419" s="187">
        <f t="shared" si="13"/>
        <v>146389525.28999999</v>
      </c>
    </row>
    <row r="420" spans="1:9" ht="14.4" x14ac:dyDescent="0.3">
      <c r="A420" s="157" t="s">
        <v>248</v>
      </c>
      <c r="B420" s="158">
        <v>2013</v>
      </c>
      <c r="C420" s="188">
        <v>31376005</v>
      </c>
      <c r="D420" s="188">
        <v>41335145.74000001</v>
      </c>
      <c r="E420" s="188">
        <v>41787244.300000004</v>
      </c>
      <c r="F420" s="188">
        <v>169302025.56</v>
      </c>
      <c r="G420" s="188">
        <v>169754124.11999997</v>
      </c>
      <c r="H420" s="187">
        <f t="shared" si="13"/>
        <v>96590874.819999993</v>
      </c>
    </row>
    <row r="421" spans="1:9" ht="14.4" x14ac:dyDescent="0.3">
      <c r="A421" s="157" t="s">
        <v>248</v>
      </c>
      <c r="B421" s="158">
        <v>2014</v>
      </c>
      <c r="C421" s="188">
        <v>57873525</v>
      </c>
      <c r="D421" s="188">
        <v>58253589.93</v>
      </c>
      <c r="E421" s="188">
        <v>58476099.339999996</v>
      </c>
      <c r="F421" s="188">
        <v>179476085.83000001</v>
      </c>
      <c r="G421" s="188">
        <v>179698595.24000001</v>
      </c>
      <c r="H421" s="187">
        <f t="shared" si="13"/>
        <v>63348970.900000006</v>
      </c>
    </row>
    <row r="422" spans="1:9" ht="14.4" x14ac:dyDescent="0.3">
      <c r="A422" s="157" t="s">
        <v>248</v>
      </c>
      <c r="B422" s="158">
        <v>2015</v>
      </c>
      <c r="C422" s="188">
        <v>19100804</v>
      </c>
      <c r="D422" s="188">
        <v>135619810.68000004</v>
      </c>
      <c r="E422" s="188">
        <v>141109413.94</v>
      </c>
      <c r="F422" s="188">
        <v>171413810</v>
      </c>
      <c r="G422" s="188">
        <v>176903413.26000002</v>
      </c>
      <c r="H422" s="187">
        <f t="shared" si="13"/>
        <v>16693195.319999963</v>
      </c>
    </row>
    <row r="423" spans="1:9" ht="14.4" x14ac:dyDescent="0.3">
      <c r="A423" s="157" t="s">
        <v>249</v>
      </c>
      <c r="B423" s="158">
        <v>1995</v>
      </c>
      <c r="C423" s="186"/>
      <c r="D423" s="186"/>
      <c r="E423" s="186"/>
      <c r="F423" s="186">
        <f>$I423+$C423+D423</f>
        <v>0</v>
      </c>
      <c r="G423" s="186">
        <f>$I423+$C423+E423</f>
        <v>0</v>
      </c>
      <c r="H423" s="187">
        <f t="shared" si="13"/>
        <v>0</v>
      </c>
      <c r="I423" s="43">
        <f>VLOOKUP(A423,$L$3:$N$39,3,0)*1000</f>
        <v>0</v>
      </c>
    </row>
    <row r="424" spans="1:9" ht="14.4" x14ac:dyDescent="0.3">
      <c r="A424" s="157" t="s">
        <v>249</v>
      </c>
      <c r="B424" s="158">
        <v>1996</v>
      </c>
      <c r="C424" s="188"/>
      <c r="D424" s="188"/>
      <c r="E424" s="188"/>
      <c r="F424" s="188"/>
      <c r="G424" s="188"/>
      <c r="H424" s="187">
        <f t="shared" si="13"/>
        <v>0</v>
      </c>
    </row>
    <row r="425" spans="1:9" ht="14.4" x14ac:dyDescent="0.3">
      <c r="A425" s="157" t="s">
        <v>249</v>
      </c>
      <c r="B425" s="158">
        <v>1997</v>
      </c>
      <c r="C425" s="188"/>
      <c r="D425" s="188"/>
      <c r="E425" s="188"/>
      <c r="F425" s="188"/>
      <c r="G425" s="188"/>
      <c r="H425" s="187">
        <f t="shared" si="13"/>
        <v>0</v>
      </c>
    </row>
    <row r="426" spans="1:9" ht="14.4" x14ac:dyDescent="0.3">
      <c r="A426" s="157" t="s">
        <v>249</v>
      </c>
      <c r="B426" s="158">
        <v>1998</v>
      </c>
      <c r="C426" s="188"/>
      <c r="D426" s="188"/>
      <c r="E426" s="188"/>
      <c r="F426" s="188"/>
      <c r="G426" s="188"/>
      <c r="H426" s="187">
        <f t="shared" si="13"/>
        <v>0</v>
      </c>
    </row>
    <row r="427" spans="1:9" ht="14.4" x14ac:dyDescent="0.3">
      <c r="A427" s="157" t="s">
        <v>249</v>
      </c>
      <c r="B427" s="158">
        <v>1999</v>
      </c>
      <c r="C427" s="188">
        <v>2837455</v>
      </c>
      <c r="D427" s="188">
        <v>-1857999.18</v>
      </c>
      <c r="E427" s="188">
        <v>0</v>
      </c>
      <c r="F427" s="188">
        <v>28293538.52</v>
      </c>
      <c r="G427" s="188">
        <v>30151537.699999999</v>
      </c>
      <c r="H427" s="187">
        <f t="shared" ref="H427:H486" si="14">F427-D427-C427</f>
        <v>27314082.699999999</v>
      </c>
    </row>
    <row r="428" spans="1:9" ht="14.4" x14ac:dyDescent="0.3">
      <c r="A428" s="157" t="s">
        <v>249</v>
      </c>
      <c r="B428" s="158">
        <v>2000</v>
      </c>
      <c r="C428" s="188">
        <v>506875</v>
      </c>
      <c r="D428" s="188">
        <v>2776000</v>
      </c>
      <c r="E428" s="188">
        <v>0</v>
      </c>
      <c r="F428" s="188">
        <v>51622119.149999999</v>
      </c>
      <c r="G428" s="188">
        <v>48846119.149999999</v>
      </c>
      <c r="H428" s="187">
        <f t="shared" si="14"/>
        <v>48339244.149999999</v>
      </c>
    </row>
    <row r="429" spans="1:9" ht="14.4" x14ac:dyDescent="0.3">
      <c r="A429" s="157" t="s">
        <v>249</v>
      </c>
      <c r="B429" s="158">
        <v>2001</v>
      </c>
      <c r="C429" s="188">
        <v>495348</v>
      </c>
      <c r="D429" s="188">
        <v>-171999.37</v>
      </c>
      <c r="E429" s="188">
        <v>106000</v>
      </c>
      <c r="F429" s="188">
        <v>57727469.409999996</v>
      </c>
      <c r="G429" s="188">
        <v>58005468.780000001</v>
      </c>
      <c r="H429" s="187">
        <f t="shared" si="14"/>
        <v>57404120.779999994</v>
      </c>
    </row>
    <row r="430" spans="1:9" ht="14.4" x14ac:dyDescent="0.3">
      <c r="A430" s="157" t="s">
        <v>249</v>
      </c>
      <c r="B430" s="158">
        <v>2002</v>
      </c>
      <c r="C430" s="188">
        <v>1223451</v>
      </c>
      <c r="D430" s="188">
        <v>-392998.43</v>
      </c>
      <c r="E430" s="188">
        <v>266000</v>
      </c>
      <c r="F430" s="188">
        <v>66485498.590000004</v>
      </c>
      <c r="G430" s="188">
        <v>67144497.019999996</v>
      </c>
      <c r="H430" s="187">
        <f t="shared" si="14"/>
        <v>65655046.020000003</v>
      </c>
    </row>
    <row r="431" spans="1:9" ht="14.4" x14ac:dyDescent="0.3">
      <c r="A431" s="157" t="s">
        <v>249</v>
      </c>
      <c r="B431" s="158">
        <v>2003</v>
      </c>
      <c r="C431" s="188">
        <v>20709</v>
      </c>
      <c r="D431" s="188">
        <v>40001.399999999994</v>
      </c>
      <c r="E431" s="188">
        <v>939038.3</v>
      </c>
      <c r="F431" s="188">
        <v>55302089.490000002</v>
      </c>
      <c r="G431" s="188">
        <v>56201126.390000001</v>
      </c>
      <c r="H431" s="187">
        <f t="shared" si="14"/>
        <v>55241379.090000004</v>
      </c>
    </row>
    <row r="432" spans="1:9" ht="14.4" x14ac:dyDescent="0.3">
      <c r="A432" s="157" t="s">
        <v>249</v>
      </c>
      <c r="B432" s="158">
        <v>2004</v>
      </c>
      <c r="C432" s="188">
        <v>428563</v>
      </c>
      <c r="D432" s="188">
        <v>1089578.8700000001</v>
      </c>
      <c r="E432" s="188">
        <v>1896018.46</v>
      </c>
      <c r="F432" s="188">
        <v>39407552.340000004</v>
      </c>
      <c r="G432" s="188">
        <v>40213991.93</v>
      </c>
      <c r="H432" s="187">
        <f t="shared" si="14"/>
        <v>37889410.470000006</v>
      </c>
    </row>
    <row r="433" spans="1:9" ht="14.4" x14ac:dyDescent="0.3">
      <c r="A433" s="157" t="s">
        <v>249</v>
      </c>
      <c r="B433" s="158">
        <v>2005</v>
      </c>
      <c r="C433" s="188">
        <v>972613</v>
      </c>
      <c r="D433" s="188">
        <v>1572473.47</v>
      </c>
      <c r="E433" s="188">
        <v>305000</v>
      </c>
      <c r="F433" s="188">
        <v>56427779.690000005</v>
      </c>
      <c r="G433" s="188">
        <v>55160306.219999999</v>
      </c>
      <c r="H433" s="187">
        <f t="shared" si="14"/>
        <v>53882693.220000006</v>
      </c>
    </row>
    <row r="434" spans="1:9" ht="14.4" x14ac:dyDescent="0.3">
      <c r="A434" s="157" t="s">
        <v>249</v>
      </c>
      <c r="B434" s="158">
        <v>2006</v>
      </c>
      <c r="C434" s="188">
        <v>1251775</v>
      </c>
      <c r="D434" s="188">
        <v>1399650.95</v>
      </c>
      <c r="E434" s="188">
        <v>1591650.95</v>
      </c>
      <c r="F434" s="188">
        <v>52677365.640000001</v>
      </c>
      <c r="G434" s="188">
        <v>52869365.640000001</v>
      </c>
      <c r="H434" s="187">
        <f t="shared" si="14"/>
        <v>50025939.689999998</v>
      </c>
    </row>
    <row r="435" spans="1:9" ht="14.4" x14ac:dyDescent="0.3">
      <c r="A435" s="157" t="s">
        <v>249</v>
      </c>
      <c r="B435" s="158">
        <v>2007</v>
      </c>
      <c r="C435" s="188">
        <v>2831040</v>
      </c>
      <c r="D435" s="188">
        <v>2216581.62</v>
      </c>
      <c r="E435" s="188">
        <v>2457581.62</v>
      </c>
      <c r="F435" s="188">
        <v>61946317.710000001</v>
      </c>
      <c r="G435" s="188">
        <v>62187317.710000001</v>
      </c>
      <c r="H435" s="187">
        <f t="shared" si="14"/>
        <v>56898696.090000004</v>
      </c>
    </row>
    <row r="436" spans="1:9" ht="14.4" x14ac:dyDescent="0.3">
      <c r="A436" s="157" t="s">
        <v>249</v>
      </c>
      <c r="B436" s="158">
        <v>2008</v>
      </c>
      <c r="C436" s="188">
        <v>10528919</v>
      </c>
      <c r="D436" s="188">
        <v>5114888.7</v>
      </c>
      <c r="E436" s="188">
        <v>5264888.7</v>
      </c>
      <c r="F436" s="188">
        <v>79496066.540000007</v>
      </c>
      <c r="G436" s="188">
        <v>79646066.540000007</v>
      </c>
      <c r="H436" s="187">
        <f t="shared" si="14"/>
        <v>63852258.840000004</v>
      </c>
    </row>
    <row r="437" spans="1:9" ht="14.4" x14ac:dyDescent="0.3">
      <c r="A437" s="157" t="s">
        <v>249</v>
      </c>
      <c r="B437" s="158">
        <v>2009</v>
      </c>
      <c r="C437" s="188">
        <v>25929986</v>
      </c>
      <c r="D437" s="188">
        <v>6559112.5899999999</v>
      </c>
      <c r="E437" s="188">
        <v>7270112.5899999999</v>
      </c>
      <c r="F437" s="188">
        <v>127105101.44</v>
      </c>
      <c r="G437" s="188">
        <v>127816101.44</v>
      </c>
      <c r="H437" s="187">
        <f t="shared" si="14"/>
        <v>94616002.849999994</v>
      </c>
    </row>
    <row r="438" spans="1:9" ht="14.4" x14ac:dyDescent="0.3">
      <c r="A438" s="157" t="s">
        <v>249</v>
      </c>
      <c r="B438" s="158">
        <v>2010</v>
      </c>
      <c r="C438" s="188">
        <v>21201995</v>
      </c>
      <c r="D438" s="188">
        <v>11071534.189999999</v>
      </c>
      <c r="E438" s="188">
        <v>12016534.189999999</v>
      </c>
      <c r="F438" s="188">
        <v>78624489.790000007</v>
      </c>
      <c r="G438" s="188">
        <v>79569489.790000007</v>
      </c>
      <c r="H438" s="187">
        <f t="shared" si="14"/>
        <v>46350960.600000009</v>
      </c>
    </row>
    <row r="439" spans="1:9" ht="14.4" x14ac:dyDescent="0.3">
      <c r="A439" s="157" t="s">
        <v>249</v>
      </c>
      <c r="B439" s="158">
        <v>2011</v>
      </c>
      <c r="C439" s="188">
        <v>12315005</v>
      </c>
      <c r="D439" s="188">
        <v>36479994.969999999</v>
      </c>
      <c r="E439" s="188">
        <v>37360994.969999999</v>
      </c>
      <c r="F439" s="188">
        <v>83406224.590000004</v>
      </c>
      <c r="G439" s="188">
        <v>84287224.590000004</v>
      </c>
      <c r="H439" s="187">
        <f t="shared" si="14"/>
        <v>34611224.620000005</v>
      </c>
    </row>
    <row r="440" spans="1:9" ht="14.4" x14ac:dyDescent="0.3">
      <c r="A440" s="157" t="s">
        <v>249</v>
      </c>
      <c r="B440" s="158">
        <v>2012</v>
      </c>
      <c r="C440" s="188">
        <v>6895218</v>
      </c>
      <c r="D440" s="188">
        <v>37312011.140000001</v>
      </c>
      <c r="E440" s="188">
        <v>38367011.140000001</v>
      </c>
      <c r="F440" s="188">
        <v>58769852.759999998</v>
      </c>
      <c r="G440" s="188">
        <v>59824852.759999998</v>
      </c>
      <c r="H440" s="187">
        <f t="shared" si="14"/>
        <v>14562623.619999997</v>
      </c>
    </row>
    <row r="441" spans="1:9" ht="14.4" x14ac:dyDescent="0.3">
      <c r="A441" s="157" t="s">
        <v>249</v>
      </c>
      <c r="B441" s="158">
        <v>2013</v>
      </c>
      <c r="C441" s="188">
        <v>7722444</v>
      </c>
      <c r="D441" s="188">
        <v>27135777.23</v>
      </c>
      <c r="E441" s="188">
        <v>29947777.23</v>
      </c>
      <c r="F441" s="188">
        <v>61303109.060000002</v>
      </c>
      <c r="G441" s="188">
        <v>64115109.060000002</v>
      </c>
      <c r="H441" s="187">
        <f t="shared" si="14"/>
        <v>26444887.829999998</v>
      </c>
    </row>
    <row r="442" spans="1:9" ht="14.4" x14ac:dyDescent="0.3">
      <c r="A442" s="157" t="s">
        <v>249</v>
      </c>
      <c r="B442" s="158">
        <v>2014</v>
      </c>
      <c r="C442" s="188">
        <v>4846025</v>
      </c>
      <c r="D442" s="188">
        <v>27222755.369999997</v>
      </c>
      <c r="E442" s="188">
        <v>29628755.369999997</v>
      </c>
      <c r="F442" s="188">
        <v>45358609.170000002</v>
      </c>
      <c r="G442" s="188">
        <v>47764609.170000002</v>
      </c>
      <c r="H442" s="187">
        <f t="shared" si="14"/>
        <v>13289828.800000004</v>
      </c>
    </row>
    <row r="443" spans="1:9" ht="14.4" x14ac:dyDescent="0.3">
      <c r="A443" s="157" t="s">
        <v>249</v>
      </c>
      <c r="B443" s="158">
        <v>2015</v>
      </c>
      <c r="C443" s="188">
        <v>305438</v>
      </c>
      <c r="D443" s="188">
        <v>37636237.269999996</v>
      </c>
      <c r="E443" s="188">
        <v>39681020.539999999</v>
      </c>
      <c r="F443" s="188">
        <v>38289528.799999997</v>
      </c>
      <c r="G443" s="188">
        <v>40334312.07</v>
      </c>
      <c r="H443" s="187">
        <f t="shared" si="14"/>
        <v>347853.53000000119</v>
      </c>
    </row>
    <row r="444" spans="1:9" ht="14.4" x14ac:dyDescent="0.3">
      <c r="A444" s="157" t="s">
        <v>250</v>
      </c>
      <c r="B444" s="158">
        <v>1995</v>
      </c>
      <c r="C444" s="186">
        <v>0</v>
      </c>
      <c r="D444" s="186">
        <v>6000</v>
      </c>
      <c r="E444" s="186">
        <v>32000</v>
      </c>
      <c r="F444" s="186">
        <f>$I444+$C444+D444</f>
        <v>70270000</v>
      </c>
      <c r="G444" s="186">
        <f>$I444+$C444+E444</f>
        <v>70296000</v>
      </c>
      <c r="H444" s="187">
        <f t="shared" si="14"/>
        <v>70264000</v>
      </c>
      <c r="I444" s="43">
        <f>VLOOKUP(A444,$L$3:$N$39,3,0)*1000</f>
        <v>70264000</v>
      </c>
    </row>
    <row r="445" spans="1:9" ht="14.4" x14ac:dyDescent="0.3">
      <c r="A445" s="157" t="s">
        <v>250</v>
      </c>
      <c r="B445" s="158">
        <v>1996</v>
      </c>
      <c r="C445" s="186"/>
      <c r="D445" s="186"/>
      <c r="E445" s="186"/>
      <c r="F445" s="186"/>
      <c r="G445" s="186"/>
      <c r="H445" s="187">
        <f t="shared" si="14"/>
        <v>0</v>
      </c>
    </row>
    <row r="446" spans="1:9" ht="14.4" x14ac:dyDescent="0.3">
      <c r="A446" s="157" t="s">
        <v>250</v>
      </c>
      <c r="B446" s="158">
        <v>1997</v>
      </c>
      <c r="C446" s="188">
        <v>0</v>
      </c>
      <c r="D446" s="188">
        <v>3</v>
      </c>
      <c r="E446" s="188">
        <v>3</v>
      </c>
      <c r="F446" s="188">
        <v>7495144.5099999998</v>
      </c>
      <c r="G446" s="188">
        <v>7495144.5099999998</v>
      </c>
      <c r="H446" s="187">
        <f t="shared" si="14"/>
        <v>7495141.5099999998</v>
      </c>
    </row>
    <row r="447" spans="1:9" ht="14.4" x14ac:dyDescent="0.3">
      <c r="A447" s="157" t="s">
        <v>250</v>
      </c>
      <c r="B447" s="158">
        <v>1998</v>
      </c>
      <c r="C447" s="188">
        <v>258010</v>
      </c>
      <c r="D447" s="188">
        <v>861836.68</v>
      </c>
      <c r="E447" s="188">
        <v>518836.68</v>
      </c>
      <c r="F447" s="188">
        <v>376468.6</v>
      </c>
      <c r="G447" s="188">
        <v>33468.6</v>
      </c>
      <c r="H447" s="187">
        <f t="shared" si="14"/>
        <v>-743378.08000000007</v>
      </c>
    </row>
    <row r="448" spans="1:9" ht="14.4" x14ac:dyDescent="0.3">
      <c r="A448" s="157" t="s">
        <v>250</v>
      </c>
      <c r="B448" s="158">
        <v>1999</v>
      </c>
      <c r="C448" s="188">
        <v>20000</v>
      </c>
      <c r="D448" s="188">
        <v>167001.78</v>
      </c>
      <c r="E448" s="188">
        <v>70001.78</v>
      </c>
      <c r="F448" s="188">
        <v>60475397.280000001</v>
      </c>
      <c r="G448" s="188">
        <v>60378397.280000001</v>
      </c>
      <c r="H448" s="187">
        <f t="shared" si="14"/>
        <v>60288395.5</v>
      </c>
    </row>
    <row r="449" spans="1:8" ht="14.4" x14ac:dyDescent="0.3">
      <c r="A449" s="157" t="s">
        <v>250</v>
      </c>
      <c r="B449" s="158">
        <v>2000</v>
      </c>
      <c r="C449" s="188">
        <v>0</v>
      </c>
      <c r="D449" s="188">
        <v>-6961.88</v>
      </c>
      <c r="E449" s="188">
        <v>43038.12</v>
      </c>
      <c r="F449" s="188">
        <v>73998171.170000002</v>
      </c>
      <c r="G449" s="188">
        <v>74048171.170000002</v>
      </c>
      <c r="H449" s="187">
        <f t="shared" si="14"/>
        <v>74005133.049999997</v>
      </c>
    </row>
    <row r="450" spans="1:8" ht="14.4" x14ac:dyDescent="0.3">
      <c r="A450" s="157" t="s">
        <v>250</v>
      </c>
      <c r="B450" s="158">
        <v>2001</v>
      </c>
      <c r="C450" s="188">
        <v>0</v>
      </c>
      <c r="D450" s="188">
        <v>82482.47</v>
      </c>
      <c r="E450" s="188">
        <v>124482.47</v>
      </c>
      <c r="F450" s="188">
        <v>74513327.829999998</v>
      </c>
      <c r="G450" s="188">
        <v>74555327.829999998</v>
      </c>
      <c r="H450" s="187">
        <f t="shared" si="14"/>
        <v>74430845.359999999</v>
      </c>
    </row>
    <row r="451" spans="1:8" ht="14.4" x14ac:dyDescent="0.3">
      <c r="A451" s="157" t="s">
        <v>250</v>
      </c>
      <c r="B451" s="158">
        <v>2002</v>
      </c>
      <c r="C451" s="188">
        <v>20000</v>
      </c>
      <c r="D451" s="188">
        <v>294.47000000000003</v>
      </c>
      <c r="E451" s="188">
        <v>97294.47</v>
      </c>
      <c r="F451" s="188">
        <v>79132229.849999994</v>
      </c>
      <c r="G451" s="188">
        <v>79229229.849999994</v>
      </c>
      <c r="H451" s="187">
        <f t="shared" si="14"/>
        <v>79111935.379999995</v>
      </c>
    </row>
    <row r="452" spans="1:8" ht="14.4" x14ac:dyDescent="0.3">
      <c r="A452" s="157" t="s">
        <v>250</v>
      </c>
      <c r="B452" s="158">
        <v>2003</v>
      </c>
      <c r="C452" s="188">
        <v>992</v>
      </c>
      <c r="D452" s="188">
        <v>-600097.56999999995</v>
      </c>
      <c r="E452" s="188">
        <v>-296097.57</v>
      </c>
      <c r="F452" s="188">
        <v>131461897.70000002</v>
      </c>
      <c r="G452" s="188">
        <v>131765897.70000002</v>
      </c>
      <c r="H452" s="187">
        <f t="shared" si="14"/>
        <v>132061003.27000001</v>
      </c>
    </row>
    <row r="453" spans="1:8" ht="14.4" x14ac:dyDescent="0.3">
      <c r="A453" s="157" t="s">
        <v>250</v>
      </c>
      <c r="B453" s="158">
        <v>2004</v>
      </c>
      <c r="C453" s="188">
        <v>137641</v>
      </c>
      <c r="D453" s="188">
        <v>-1671489.96</v>
      </c>
      <c r="E453" s="188">
        <v>1319510.0399999998</v>
      </c>
      <c r="F453" s="188">
        <v>103330638.43000001</v>
      </c>
      <c r="G453" s="188">
        <v>106321638.43000001</v>
      </c>
      <c r="H453" s="187">
        <f t="shared" si="14"/>
        <v>104864487.39</v>
      </c>
    </row>
    <row r="454" spans="1:8" ht="14.4" x14ac:dyDescent="0.3">
      <c r="A454" s="157" t="s">
        <v>250</v>
      </c>
      <c r="B454" s="158">
        <v>2005</v>
      </c>
      <c r="C454" s="188">
        <v>350661</v>
      </c>
      <c r="D454" s="188">
        <v>-1184782.33</v>
      </c>
      <c r="E454" s="188">
        <v>729217.67</v>
      </c>
      <c r="F454" s="188">
        <v>99272594.819999993</v>
      </c>
      <c r="G454" s="188">
        <v>101186594.81999999</v>
      </c>
      <c r="H454" s="187">
        <f t="shared" si="14"/>
        <v>100106716.14999999</v>
      </c>
    </row>
    <row r="455" spans="1:8" ht="14.4" x14ac:dyDescent="0.3">
      <c r="A455" s="157" t="s">
        <v>250</v>
      </c>
      <c r="B455" s="158">
        <v>2006</v>
      </c>
      <c r="C455" s="188">
        <v>707495</v>
      </c>
      <c r="D455" s="188">
        <v>2283792.27</v>
      </c>
      <c r="E455" s="188">
        <v>460792.26999999996</v>
      </c>
      <c r="F455" s="188">
        <v>106541807.5</v>
      </c>
      <c r="G455" s="188">
        <v>104718807.5</v>
      </c>
      <c r="H455" s="187">
        <f t="shared" si="14"/>
        <v>103550520.23</v>
      </c>
    </row>
    <row r="456" spans="1:8" ht="14.4" x14ac:dyDescent="0.3">
      <c r="A456" s="157" t="s">
        <v>250</v>
      </c>
      <c r="B456" s="158">
        <v>2007</v>
      </c>
      <c r="C456" s="188">
        <v>1576770</v>
      </c>
      <c r="D456" s="188">
        <v>316959.05000000005</v>
      </c>
      <c r="E456" s="188">
        <v>563267.21</v>
      </c>
      <c r="F456" s="188">
        <v>97106143.530000001</v>
      </c>
      <c r="G456" s="188">
        <v>97352451.689999998</v>
      </c>
      <c r="H456" s="187">
        <f t="shared" si="14"/>
        <v>95212414.480000004</v>
      </c>
    </row>
    <row r="457" spans="1:8" ht="14.4" x14ac:dyDescent="0.3">
      <c r="A457" s="157" t="s">
        <v>250</v>
      </c>
      <c r="B457" s="158">
        <v>2008</v>
      </c>
      <c r="C457" s="188">
        <v>6409738</v>
      </c>
      <c r="D457" s="188">
        <v>178510.86</v>
      </c>
      <c r="E457" s="188">
        <v>1786634.1400000001</v>
      </c>
      <c r="F457" s="188">
        <v>100881017.72000001</v>
      </c>
      <c r="G457" s="188">
        <v>102489141.00000001</v>
      </c>
      <c r="H457" s="187">
        <f t="shared" si="14"/>
        <v>94292768.860000014</v>
      </c>
    </row>
    <row r="458" spans="1:8" ht="14.4" x14ac:dyDescent="0.3">
      <c r="A458" s="157" t="s">
        <v>250</v>
      </c>
      <c r="B458" s="158">
        <v>2009</v>
      </c>
      <c r="C458" s="188">
        <v>21044623</v>
      </c>
      <c r="D458" s="188">
        <v>2851459.82</v>
      </c>
      <c r="E458" s="188">
        <v>2462485.06</v>
      </c>
      <c r="F458" s="188">
        <v>175953317.13000003</v>
      </c>
      <c r="G458" s="188">
        <v>175564342.37</v>
      </c>
      <c r="H458" s="187">
        <f t="shared" si="14"/>
        <v>152057234.31000003</v>
      </c>
    </row>
    <row r="459" spans="1:8" ht="14.4" x14ac:dyDescent="0.3">
      <c r="A459" s="157" t="s">
        <v>250</v>
      </c>
      <c r="B459" s="158">
        <v>2010</v>
      </c>
      <c r="C459" s="188">
        <v>8218070</v>
      </c>
      <c r="D459" s="188">
        <v>6013442.25</v>
      </c>
      <c r="E459" s="188">
        <v>5334189.79</v>
      </c>
      <c r="F459" s="188">
        <v>123345457.28999999</v>
      </c>
      <c r="G459" s="188">
        <v>122666204.83</v>
      </c>
      <c r="H459" s="187">
        <f t="shared" si="14"/>
        <v>109113945.03999999</v>
      </c>
    </row>
    <row r="460" spans="1:8" ht="14.4" x14ac:dyDescent="0.3">
      <c r="A460" s="157" t="s">
        <v>250</v>
      </c>
      <c r="B460" s="158">
        <v>2011</v>
      </c>
      <c r="C460" s="188">
        <v>7616713</v>
      </c>
      <c r="D460" s="188">
        <v>12679456.640000001</v>
      </c>
      <c r="E460" s="188">
        <v>5268699.91</v>
      </c>
      <c r="F460" s="188">
        <v>138071344.77000001</v>
      </c>
      <c r="G460" s="188">
        <v>130660588.04000001</v>
      </c>
      <c r="H460" s="187">
        <f t="shared" si="14"/>
        <v>117775175.13000001</v>
      </c>
    </row>
    <row r="461" spans="1:8" ht="14.4" x14ac:dyDescent="0.3">
      <c r="A461" s="157" t="s">
        <v>250</v>
      </c>
      <c r="B461" s="158">
        <v>2012</v>
      </c>
      <c r="C461" s="188">
        <v>17941293</v>
      </c>
      <c r="D461" s="188">
        <v>22080443.169999998</v>
      </c>
      <c r="E461" s="188">
        <v>17219443.169999998</v>
      </c>
      <c r="F461" s="188">
        <v>135527490.56</v>
      </c>
      <c r="G461" s="188">
        <v>130666490.56</v>
      </c>
      <c r="H461" s="187">
        <f t="shared" si="14"/>
        <v>95505754.390000001</v>
      </c>
    </row>
    <row r="462" spans="1:8" ht="14.4" x14ac:dyDescent="0.3">
      <c r="A462" s="157" t="s">
        <v>250</v>
      </c>
      <c r="B462" s="158">
        <v>2013</v>
      </c>
      <c r="C462" s="188">
        <v>27073935</v>
      </c>
      <c r="D462" s="188">
        <v>38943548.829999998</v>
      </c>
      <c r="E462" s="188">
        <v>40400548.829999998</v>
      </c>
      <c r="F462" s="188">
        <v>129967848.89</v>
      </c>
      <c r="G462" s="188">
        <v>131424848.89</v>
      </c>
      <c r="H462" s="187">
        <f t="shared" si="14"/>
        <v>63950365.060000002</v>
      </c>
    </row>
    <row r="463" spans="1:8" ht="14.4" x14ac:dyDescent="0.3">
      <c r="A463" s="157" t="s">
        <v>250</v>
      </c>
      <c r="B463" s="158">
        <v>2014</v>
      </c>
      <c r="C463" s="188">
        <v>33009036</v>
      </c>
      <c r="D463" s="188">
        <v>69069823.390000001</v>
      </c>
      <c r="E463" s="188">
        <v>71287823.390000001</v>
      </c>
      <c r="F463" s="188">
        <v>140660804.56</v>
      </c>
      <c r="G463" s="188">
        <v>142878804.56</v>
      </c>
      <c r="H463" s="187">
        <f t="shared" si="14"/>
        <v>38581945.170000002</v>
      </c>
    </row>
    <row r="464" spans="1:8" ht="14.4" x14ac:dyDescent="0.3">
      <c r="A464" s="157" t="s">
        <v>250</v>
      </c>
      <c r="B464" s="158">
        <v>2015</v>
      </c>
      <c r="C464" s="188">
        <v>7762787</v>
      </c>
      <c r="D464" s="188">
        <v>124498266.49000001</v>
      </c>
      <c r="E464" s="188">
        <v>127331620.92000002</v>
      </c>
      <c r="F464" s="188">
        <v>143385883.52000001</v>
      </c>
      <c r="G464" s="188">
        <v>146219237.95000002</v>
      </c>
      <c r="H464" s="187">
        <f t="shared" si="14"/>
        <v>11124830.030000001</v>
      </c>
    </row>
    <row r="465" spans="1:9" ht="14.4" x14ac:dyDescent="0.3">
      <c r="A465" s="157" t="s">
        <v>251</v>
      </c>
      <c r="B465" s="158">
        <v>1995</v>
      </c>
      <c r="C465" s="186"/>
      <c r="D465" s="186"/>
      <c r="E465" s="186"/>
      <c r="F465" s="186">
        <f>$I465+$C465+D465</f>
        <v>1902000</v>
      </c>
      <c r="G465" s="186">
        <f>$I465+$C465+E465</f>
        <v>1902000</v>
      </c>
      <c r="H465" s="187">
        <f t="shared" si="14"/>
        <v>1902000</v>
      </c>
      <c r="I465" s="43">
        <f>VLOOKUP(A465,$L$3:$N$39,3,0)*1000</f>
        <v>1902000</v>
      </c>
    </row>
    <row r="466" spans="1:9" ht="14.4" x14ac:dyDescent="0.3">
      <c r="A466" s="157" t="s">
        <v>251</v>
      </c>
      <c r="B466" s="158">
        <v>1996</v>
      </c>
      <c r="C466" s="186"/>
      <c r="D466" s="186"/>
      <c r="E466" s="186"/>
      <c r="F466" s="186"/>
      <c r="G466" s="186"/>
      <c r="H466" s="187">
        <f t="shared" si="14"/>
        <v>0</v>
      </c>
    </row>
    <row r="467" spans="1:9" ht="14.4" x14ac:dyDescent="0.3">
      <c r="A467" s="157" t="s">
        <v>251</v>
      </c>
      <c r="B467" s="158">
        <v>1997</v>
      </c>
      <c r="C467" s="186">
        <v>0</v>
      </c>
      <c r="D467" s="186">
        <v>2000</v>
      </c>
      <c r="E467" s="186">
        <v>2000</v>
      </c>
      <c r="F467" s="186">
        <v>13183271.549999999</v>
      </c>
      <c r="G467" s="186">
        <v>13183271.549999999</v>
      </c>
      <c r="H467" s="187">
        <f t="shared" si="14"/>
        <v>13181271.549999999</v>
      </c>
    </row>
    <row r="468" spans="1:9" ht="14.4" x14ac:dyDescent="0.3">
      <c r="A468" s="157" t="s">
        <v>251</v>
      </c>
      <c r="B468" s="158">
        <v>1998</v>
      </c>
      <c r="C468" s="186">
        <v>2448</v>
      </c>
      <c r="D468" s="186">
        <v>249001</v>
      </c>
      <c r="E468" s="186">
        <v>84001</v>
      </c>
      <c r="F468" s="186">
        <v>41060033.689999998</v>
      </c>
      <c r="G468" s="186">
        <v>40895033.689999998</v>
      </c>
      <c r="H468" s="187">
        <f t="shared" si="14"/>
        <v>40808584.689999998</v>
      </c>
    </row>
    <row r="469" spans="1:9" ht="14.4" x14ac:dyDescent="0.3">
      <c r="A469" s="157" t="s">
        <v>251</v>
      </c>
      <c r="B469" s="158">
        <v>1999</v>
      </c>
      <c r="C469" s="186">
        <v>0</v>
      </c>
      <c r="D469" s="186">
        <v>87000</v>
      </c>
      <c r="E469" s="186">
        <v>62000</v>
      </c>
      <c r="F469" s="186">
        <v>28177580.989999998</v>
      </c>
      <c r="G469" s="186">
        <v>28152580.989999998</v>
      </c>
      <c r="H469" s="187">
        <f t="shared" si="14"/>
        <v>28090580.989999998</v>
      </c>
    </row>
    <row r="470" spans="1:9" ht="14.4" x14ac:dyDescent="0.3">
      <c r="A470" s="157" t="s">
        <v>251</v>
      </c>
      <c r="B470" s="158">
        <v>2000</v>
      </c>
      <c r="C470" s="186">
        <v>0</v>
      </c>
      <c r="D470" s="186">
        <v>44000</v>
      </c>
      <c r="E470" s="186">
        <v>0</v>
      </c>
      <c r="F470" s="186">
        <v>11569140.620000001</v>
      </c>
      <c r="G470" s="186">
        <v>11525140.620000001</v>
      </c>
      <c r="H470" s="187">
        <f t="shared" si="14"/>
        <v>11525140.620000001</v>
      </c>
    </row>
    <row r="471" spans="1:9" ht="14.4" x14ac:dyDescent="0.3">
      <c r="A471" s="157" t="s">
        <v>251</v>
      </c>
      <c r="B471" s="158">
        <v>2001</v>
      </c>
      <c r="C471" s="188">
        <v>0</v>
      </c>
      <c r="D471" s="188">
        <v>31000</v>
      </c>
      <c r="E471" s="188">
        <v>0</v>
      </c>
      <c r="F471" s="188">
        <v>12991728.82</v>
      </c>
      <c r="G471" s="188">
        <v>12960728.82</v>
      </c>
      <c r="H471" s="187">
        <f t="shared" si="14"/>
        <v>12960728.82</v>
      </c>
    </row>
    <row r="472" spans="1:9" ht="14.4" x14ac:dyDescent="0.3">
      <c r="A472" s="157" t="s">
        <v>251</v>
      </c>
      <c r="B472" s="158">
        <v>2002</v>
      </c>
      <c r="C472" s="188">
        <v>7250000</v>
      </c>
      <c r="D472" s="188">
        <v>2602000</v>
      </c>
      <c r="E472" s="188">
        <v>1750000</v>
      </c>
      <c r="F472" s="188">
        <v>24712075.07</v>
      </c>
      <c r="G472" s="188">
        <v>23860075.07</v>
      </c>
      <c r="H472" s="187">
        <f t="shared" si="14"/>
        <v>14860075.07</v>
      </c>
    </row>
    <row r="473" spans="1:9" ht="14.4" x14ac:dyDescent="0.3">
      <c r="A473" s="157" t="s">
        <v>251</v>
      </c>
      <c r="B473" s="158">
        <v>2003</v>
      </c>
      <c r="C473" s="188">
        <v>2258011</v>
      </c>
      <c r="D473" s="188">
        <v>20999.58</v>
      </c>
      <c r="E473" s="188">
        <v>20999.58</v>
      </c>
      <c r="F473" s="188">
        <v>29116548.370000001</v>
      </c>
      <c r="G473" s="188">
        <v>29116548.370000001</v>
      </c>
      <c r="H473" s="187">
        <f t="shared" si="14"/>
        <v>26837537.790000003</v>
      </c>
    </row>
    <row r="474" spans="1:9" ht="14.4" x14ac:dyDescent="0.3">
      <c r="A474" s="157" t="s">
        <v>251</v>
      </c>
      <c r="B474" s="158">
        <v>2004</v>
      </c>
      <c r="C474" s="188">
        <v>37654</v>
      </c>
      <c r="D474" s="188">
        <v>1250891.04</v>
      </c>
      <c r="E474" s="188">
        <v>786891.04</v>
      </c>
      <c r="F474" s="188">
        <v>34671981.280000001</v>
      </c>
      <c r="G474" s="188">
        <v>34207981.280000001</v>
      </c>
      <c r="H474" s="187">
        <f t="shared" si="14"/>
        <v>33383436.240000002</v>
      </c>
    </row>
    <row r="475" spans="1:9" ht="14.4" x14ac:dyDescent="0.3">
      <c r="A475" s="157" t="s">
        <v>251</v>
      </c>
      <c r="B475" s="158">
        <v>2005</v>
      </c>
      <c r="C475" s="188">
        <v>702310</v>
      </c>
      <c r="D475" s="188">
        <v>3346562.24</v>
      </c>
      <c r="E475" s="188">
        <v>3668562.24</v>
      </c>
      <c r="F475" s="188">
        <v>21678133.580000002</v>
      </c>
      <c r="G475" s="188">
        <v>22000133.580000002</v>
      </c>
      <c r="H475" s="187">
        <f t="shared" si="14"/>
        <v>17629261.340000004</v>
      </c>
    </row>
    <row r="476" spans="1:9" ht="14.4" x14ac:dyDescent="0.3">
      <c r="A476" s="157" t="s">
        <v>251</v>
      </c>
      <c r="B476" s="158">
        <v>2006</v>
      </c>
      <c r="C476" s="188">
        <v>2</v>
      </c>
      <c r="D476" s="188">
        <v>3799156.12</v>
      </c>
      <c r="E476" s="188">
        <v>3852156.12</v>
      </c>
      <c r="F476" s="188">
        <v>25958968.91</v>
      </c>
      <c r="G476" s="188">
        <v>26011968.91</v>
      </c>
      <c r="H476" s="187">
        <f t="shared" si="14"/>
        <v>22159810.789999999</v>
      </c>
    </row>
    <row r="477" spans="1:9" ht="14.4" x14ac:dyDescent="0.3">
      <c r="A477" s="157" t="s">
        <v>251</v>
      </c>
      <c r="B477" s="158">
        <v>2007</v>
      </c>
      <c r="C477" s="188">
        <v>100005</v>
      </c>
      <c r="D477" s="188">
        <v>1676819.5</v>
      </c>
      <c r="E477" s="188">
        <v>926819.5</v>
      </c>
      <c r="F477" s="188">
        <v>38827758.509999998</v>
      </c>
      <c r="G477" s="188">
        <v>38077758.509999998</v>
      </c>
      <c r="H477" s="187">
        <f t="shared" si="14"/>
        <v>37050934.009999998</v>
      </c>
    </row>
    <row r="478" spans="1:9" ht="14.4" x14ac:dyDescent="0.3">
      <c r="A478" s="157" t="s">
        <v>251</v>
      </c>
      <c r="B478" s="158">
        <v>2008</v>
      </c>
      <c r="C478" s="188">
        <v>15050008</v>
      </c>
      <c r="D478" s="188">
        <v>4048407.6</v>
      </c>
      <c r="E478" s="188">
        <v>4387407.5999999996</v>
      </c>
      <c r="F478" s="188">
        <v>42024210.260000005</v>
      </c>
      <c r="G478" s="188">
        <v>42363210.260000005</v>
      </c>
      <c r="H478" s="187">
        <f t="shared" si="14"/>
        <v>22925794.660000004</v>
      </c>
    </row>
    <row r="479" spans="1:9" ht="14.4" x14ac:dyDescent="0.3">
      <c r="A479" s="157" t="s">
        <v>251</v>
      </c>
      <c r="B479" s="158">
        <v>2009</v>
      </c>
      <c r="C479" s="188">
        <v>10000007</v>
      </c>
      <c r="D479" s="188">
        <v>5408468.2699999996</v>
      </c>
      <c r="E479" s="188">
        <v>5713468.2699999996</v>
      </c>
      <c r="F479" s="188">
        <v>39836911.829999998</v>
      </c>
      <c r="G479" s="188">
        <v>40141911.829999998</v>
      </c>
      <c r="H479" s="187">
        <f t="shared" si="14"/>
        <v>24428436.560000002</v>
      </c>
    </row>
    <row r="480" spans="1:9" ht="14.4" x14ac:dyDescent="0.3">
      <c r="A480" s="157" t="s">
        <v>251</v>
      </c>
      <c r="B480" s="158">
        <v>2010</v>
      </c>
      <c r="C480" s="188">
        <v>375018</v>
      </c>
      <c r="D480" s="188">
        <v>9933996.7300000004</v>
      </c>
      <c r="E480" s="188">
        <v>9590996.7300000004</v>
      </c>
      <c r="F480" s="188">
        <v>52235532.310000002</v>
      </c>
      <c r="G480" s="188">
        <v>51892532.310000002</v>
      </c>
      <c r="H480" s="187">
        <f t="shared" si="14"/>
        <v>41926517.579999998</v>
      </c>
    </row>
    <row r="481" spans="1:9" ht="14.4" x14ac:dyDescent="0.3">
      <c r="A481" s="157" t="s">
        <v>251</v>
      </c>
      <c r="B481" s="158">
        <v>2011</v>
      </c>
      <c r="C481" s="188">
        <v>16973662</v>
      </c>
      <c r="D481" s="188">
        <v>9353313.2000000011</v>
      </c>
      <c r="E481" s="188">
        <v>8012313.2000000011</v>
      </c>
      <c r="F481" s="188">
        <v>97093771.760000005</v>
      </c>
      <c r="G481" s="188">
        <v>95752771.760000005</v>
      </c>
      <c r="H481" s="187">
        <f t="shared" si="14"/>
        <v>70766796.560000002</v>
      </c>
    </row>
    <row r="482" spans="1:9" ht="14.4" x14ac:dyDescent="0.3">
      <c r="A482" s="157" t="s">
        <v>251</v>
      </c>
      <c r="B482" s="158">
        <v>2012</v>
      </c>
      <c r="C482" s="188">
        <v>6163839</v>
      </c>
      <c r="D482" s="188">
        <v>21580012.469999999</v>
      </c>
      <c r="E482" s="188">
        <v>24917988.5</v>
      </c>
      <c r="F482" s="188">
        <v>93839780.439999998</v>
      </c>
      <c r="G482" s="188">
        <v>97177756.469999999</v>
      </c>
      <c r="H482" s="187">
        <f t="shared" si="14"/>
        <v>66095928.969999999</v>
      </c>
    </row>
    <row r="483" spans="1:9" ht="14.4" x14ac:dyDescent="0.3">
      <c r="A483" s="157" t="s">
        <v>251</v>
      </c>
      <c r="B483" s="158">
        <v>2013</v>
      </c>
      <c r="C483" s="188">
        <v>13095037</v>
      </c>
      <c r="D483" s="188">
        <v>26762372.440000001</v>
      </c>
      <c r="E483" s="188">
        <v>34197959.609999999</v>
      </c>
      <c r="F483" s="188">
        <v>72658861.560000017</v>
      </c>
      <c r="G483" s="188">
        <v>80094448.730000004</v>
      </c>
      <c r="H483" s="187">
        <f t="shared" si="14"/>
        <v>32801452.12000002</v>
      </c>
    </row>
    <row r="484" spans="1:9" ht="14.4" x14ac:dyDescent="0.3">
      <c r="A484" s="157" t="s">
        <v>251</v>
      </c>
      <c r="B484" s="158">
        <v>2014</v>
      </c>
      <c r="C484" s="188">
        <v>7123155</v>
      </c>
      <c r="D484" s="188">
        <v>46604060.949999996</v>
      </c>
      <c r="E484" s="188">
        <v>48376942.390000008</v>
      </c>
      <c r="F484" s="188">
        <v>67988156.460000008</v>
      </c>
      <c r="G484" s="188">
        <v>69761037.900000006</v>
      </c>
      <c r="H484" s="187">
        <f t="shared" si="14"/>
        <v>14260940.510000013</v>
      </c>
    </row>
    <row r="485" spans="1:9" ht="14.4" x14ac:dyDescent="0.3">
      <c r="A485" s="157" t="s">
        <v>251</v>
      </c>
      <c r="B485" s="158">
        <v>2015</v>
      </c>
      <c r="C485" s="188">
        <v>6008845</v>
      </c>
      <c r="D485" s="188">
        <v>67873682.980000004</v>
      </c>
      <c r="E485" s="188">
        <v>71271387.319999993</v>
      </c>
      <c r="F485" s="188">
        <v>84852453.980000004</v>
      </c>
      <c r="G485" s="188">
        <v>88250158.320000008</v>
      </c>
      <c r="H485" s="187">
        <f t="shared" si="14"/>
        <v>10969926</v>
      </c>
    </row>
    <row r="486" spans="1:9" ht="14.4" x14ac:dyDescent="0.3">
      <c r="A486" s="157" t="s">
        <v>252</v>
      </c>
      <c r="B486" s="158">
        <v>1995</v>
      </c>
      <c r="C486" s="186">
        <v>2500</v>
      </c>
      <c r="D486" s="186">
        <v>1117.9252263374485</v>
      </c>
      <c r="E486" s="186">
        <v>1007</v>
      </c>
      <c r="F486" s="186">
        <f>$I486+$C486+D486</f>
        <v>34512617.925226338</v>
      </c>
      <c r="G486" s="186">
        <f>$I486+$C486+E486</f>
        <v>34512507</v>
      </c>
      <c r="H486" s="187">
        <f t="shared" si="14"/>
        <v>34509000</v>
      </c>
      <c r="I486" s="43">
        <f>VLOOKUP(A486,$L$3:$N$39,3,0)*1000</f>
        <v>34509000</v>
      </c>
    </row>
    <row r="487" spans="1:9" ht="14.4" x14ac:dyDescent="0.3">
      <c r="A487" s="157" t="s">
        <v>252</v>
      </c>
      <c r="B487" s="158">
        <v>1996</v>
      </c>
      <c r="C487" s="188">
        <v>2</v>
      </c>
      <c r="D487" s="188">
        <v>2071000</v>
      </c>
      <c r="E487" s="188">
        <v>1686000</v>
      </c>
      <c r="F487" s="188">
        <v>12847080</v>
      </c>
      <c r="G487" s="188">
        <v>12462080</v>
      </c>
      <c r="H487" s="187">
        <f t="shared" ref="H487:H507" si="15">F487-D487-C487</f>
        <v>10776078</v>
      </c>
    </row>
    <row r="488" spans="1:9" ht="14.4" x14ac:dyDescent="0.3">
      <c r="A488" s="157" t="s">
        <v>252</v>
      </c>
      <c r="B488" s="158">
        <v>1997</v>
      </c>
      <c r="C488" s="188">
        <v>0</v>
      </c>
      <c r="D488" s="188">
        <v>1937.22</v>
      </c>
      <c r="E488" s="188">
        <v>1937.22</v>
      </c>
      <c r="F488" s="188">
        <v>4068862.3899999997</v>
      </c>
      <c r="G488" s="188">
        <v>4068862.3899999997</v>
      </c>
      <c r="H488" s="187">
        <f t="shared" si="15"/>
        <v>4066925.1699999995</v>
      </c>
    </row>
    <row r="489" spans="1:9" ht="14.4" x14ac:dyDescent="0.3">
      <c r="A489" s="157" t="s">
        <v>252</v>
      </c>
      <c r="B489" s="158">
        <v>1998</v>
      </c>
      <c r="C489" s="188">
        <v>231884</v>
      </c>
      <c r="D489" s="188">
        <v>400000.33</v>
      </c>
      <c r="E489" s="188">
        <v>779000.33</v>
      </c>
      <c r="F489" s="188">
        <v>13059675</v>
      </c>
      <c r="G489" s="188">
        <v>13438675</v>
      </c>
      <c r="H489" s="187">
        <f t="shared" si="15"/>
        <v>12427790.67</v>
      </c>
    </row>
    <row r="490" spans="1:9" ht="14.4" x14ac:dyDescent="0.3">
      <c r="A490" s="157" t="s">
        <v>252</v>
      </c>
      <c r="B490" s="158">
        <v>1999</v>
      </c>
      <c r="C490" s="188">
        <v>0</v>
      </c>
      <c r="D490" s="188">
        <v>0</v>
      </c>
      <c r="E490" s="188">
        <v>25000</v>
      </c>
      <c r="F490" s="188">
        <v>13397133.57</v>
      </c>
      <c r="G490" s="188">
        <v>13422133.57</v>
      </c>
      <c r="H490" s="187">
        <f t="shared" si="15"/>
        <v>13397133.57</v>
      </c>
    </row>
    <row r="491" spans="1:9" ht="14.4" x14ac:dyDescent="0.3">
      <c r="A491" s="157" t="s">
        <v>252</v>
      </c>
      <c r="B491" s="158">
        <v>2000</v>
      </c>
      <c r="C491" s="188">
        <v>-494999</v>
      </c>
      <c r="D491" s="188">
        <v>625000</v>
      </c>
      <c r="E491" s="188">
        <v>657000</v>
      </c>
      <c r="F491" s="188">
        <v>26286395.48</v>
      </c>
      <c r="G491" s="188">
        <v>26318395.48</v>
      </c>
      <c r="H491" s="187">
        <f t="shared" si="15"/>
        <v>26156394.48</v>
      </c>
    </row>
    <row r="492" spans="1:9" ht="14.4" x14ac:dyDescent="0.3">
      <c r="A492" s="157" t="s">
        <v>252</v>
      </c>
      <c r="B492" s="158">
        <v>2001</v>
      </c>
      <c r="C492" s="188">
        <v>1917008</v>
      </c>
      <c r="D492" s="188">
        <v>1889921</v>
      </c>
      <c r="E492" s="188">
        <v>444921</v>
      </c>
      <c r="F492" s="188">
        <v>49996879.810000002</v>
      </c>
      <c r="G492" s="188">
        <v>48551879.810000002</v>
      </c>
      <c r="H492" s="187">
        <f t="shared" si="15"/>
        <v>46189950.810000002</v>
      </c>
    </row>
    <row r="493" spans="1:9" ht="14.4" x14ac:dyDescent="0.3">
      <c r="A493" s="157" t="s">
        <v>252</v>
      </c>
      <c r="B493" s="158">
        <v>2002</v>
      </c>
      <c r="C493" s="188">
        <v>1314765</v>
      </c>
      <c r="D493" s="188">
        <v>4465806.9499999993</v>
      </c>
      <c r="E493" s="188">
        <v>5185806.95</v>
      </c>
      <c r="F493" s="188">
        <v>126861726.33999999</v>
      </c>
      <c r="G493" s="188">
        <v>127581726.33999999</v>
      </c>
      <c r="H493" s="187">
        <f t="shared" si="15"/>
        <v>121081154.38999999</v>
      </c>
    </row>
    <row r="494" spans="1:9" ht="14.4" x14ac:dyDescent="0.3">
      <c r="A494" s="157" t="s">
        <v>252</v>
      </c>
      <c r="B494" s="158">
        <v>2003</v>
      </c>
      <c r="C494" s="188">
        <v>3</v>
      </c>
      <c r="D494" s="188">
        <v>590704.09000000008</v>
      </c>
      <c r="E494" s="188">
        <v>1672704.0899999999</v>
      </c>
      <c r="F494" s="188">
        <v>48361903.890000001</v>
      </c>
      <c r="G494" s="188">
        <v>49443903.890000001</v>
      </c>
      <c r="H494" s="187">
        <f t="shared" si="15"/>
        <v>47771196.799999997</v>
      </c>
    </row>
    <row r="495" spans="1:9" ht="14.4" x14ac:dyDescent="0.3">
      <c r="A495" s="157" t="s">
        <v>252</v>
      </c>
      <c r="B495" s="158">
        <v>2004</v>
      </c>
      <c r="C495" s="188">
        <v>5</v>
      </c>
      <c r="D495" s="188">
        <v>426962.58</v>
      </c>
      <c r="E495" s="188">
        <v>636962.58000000007</v>
      </c>
      <c r="F495" s="188">
        <v>57197151.369999997</v>
      </c>
      <c r="G495" s="188">
        <v>57407151.369999997</v>
      </c>
      <c r="H495" s="187">
        <f t="shared" si="15"/>
        <v>56770183.789999999</v>
      </c>
    </row>
    <row r="496" spans="1:9" ht="14.4" x14ac:dyDescent="0.3">
      <c r="A496" s="157" t="s">
        <v>252</v>
      </c>
      <c r="B496" s="158">
        <v>2005</v>
      </c>
      <c r="C496" s="188">
        <v>5</v>
      </c>
      <c r="D496" s="188">
        <v>3651338.64</v>
      </c>
      <c r="E496" s="188">
        <v>5104338.6399999997</v>
      </c>
      <c r="F496" s="188">
        <v>27381307.73</v>
      </c>
      <c r="G496" s="188">
        <v>28834307.73</v>
      </c>
      <c r="H496" s="187">
        <f t="shared" si="15"/>
        <v>23729964.09</v>
      </c>
    </row>
    <row r="497" spans="1:9" ht="14.4" x14ac:dyDescent="0.3">
      <c r="A497" s="157" t="s">
        <v>252</v>
      </c>
      <c r="B497" s="158">
        <v>2006</v>
      </c>
      <c r="C497" s="188">
        <v>136794</v>
      </c>
      <c r="D497" s="188">
        <v>15438000.453467259</v>
      </c>
      <c r="E497" s="188">
        <v>16752329.66</v>
      </c>
      <c r="F497" s="188">
        <v>75823907.893467247</v>
      </c>
      <c r="G497" s="188">
        <v>77138237.099999994</v>
      </c>
      <c r="H497" s="187">
        <f t="shared" si="15"/>
        <v>60249113.43999999</v>
      </c>
    </row>
    <row r="498" spans="1:9" ht="14.4" x14ac:dyDescent="0.3">
      <c r="A498" s="157" t="s">
        <v>252</v>
      </c>
      <c r="B498" s="158">
        <v>2007</v>
      </c>
      <c r="C498" s="188">
        <v>40175152</v>
      </c>
      <c r="D498" s="188">
        <v>-1701232.23</v>
      </c>
      <c r="E498" s="188">
        <v>2322767.7700000005</v>
      </c>
      <c r="F498" s="188">
        <v>82663300.840000004</v>
      </c>
      <c r="G498" s="188">
        <v>86687300.840000004</v>
      </c>
      <c r="H498" s="187">
        <f t="shared" si="15"/>
        <v>44189381.070000008</v>
      </c>
    </row>
    <row r="499" spans="1:9" ht="14.4" x14ac:dyDescent="0.3">
      <c r="A499" s="157" t="s">
        <v>252</v>
      </c>
      <c r="B499" s="158">
        <v>2008</v>
      </c>
      <c r="C499" s="188">
        <v>20600015</v>
      </c>
      <c r="D499" s="188">
        <v>18773640.73</v>
      </c>
      <c r="E499" s="188">
        <v>20801640.73</v>
      </c>
      <c r="F499" s="188">
        <v>180312907.84999996</v>
      </c>
      <c r="G499" s="188">
        <v>182340907.84999996</v>
      </c>
      <c r="H499" s="187">
        <f t="shared" si="15"/>
        <v>140939252.11999997</v>
      </c>
    </row>
    <row r="500" spans="1:9" ht="14.4" x14ac:dyDescent="0.3">
      <c r="A500" s="157" t="s">
        <v>252</v>
      </c>
      <c r="B500" s="158">
        <v>2009</v>
      </c>
      <c r="C500" s="188">
        <v>6727231</v>
      </c>
      <c r="D500" s="188">
        <v>11906150.700000001</v>
      </c>
      <c r="E500" s="188">
        <v>13676150.700000001</v>
      </c>
      <c r="F500" s="188">
        <v>90800955.939999998</v>
      </c>
      <c r="G500" s="188">
        <v>92570955.939999998</v>
      </c>
      <c r="H500" s="187">
        <f t="shared" si="15"/>
        <v>72167574.239999995</v>
      </c>
    </row>
    <row r="501" spans="1:9" ht="14.4" x14ac:dyDescent="0.3">
      <c r="A501" s="157" t="s">
        <v>252</v>
      </c>
      <c r="B501" s="158">
        <v>2010</v>
      </c>
      <c r="C501" s="188">
        <v>30235158</v>
      </c>
      <c r="D501" s="188">
        <v>10271346.109999999</v>
      </c>
      <c r="E501" s="188">
        <v>10361346.109999999</v>
      </c>
      <c r="F501" s="188">
        <v>127444375.81</v>
      </c>
      <c r="G501" s="188">
        <v>127534375.81</v>
      </c>
      <c r="H501" s="187">
        <f t="shared" si="15"/>
        <v>86937871.700000003</v>
      </c>
    </row>
    <row r="502" spans="1:9" ht="14.4" x14ac:dyDescent="0.3">
      <c r="A502" s="157" t="s">
        <v>252</v>
      </c>
      <c r="B502" s="158">
        <v>2011</v>
      </c>
      <c r="C502" s="188">
        <v>17944908</v>
      </c>
      <c r="D502" s="188">
        <v>46987053.909999996</v>
      </c>
      <c r="E502" s="188">
        <v>55877053.909999996</v>
      </c>
      <c r="F502" s="188">
        <v>175525410.10000002</v>
      </c>
      <c r="G502" s="188">
        <v>184415410.10000002</v>
      </c>
      <c r="H502" s="187">
        <f t="shared" si="15"/>
        <v>110593448.19000003</v>
      </c>
    </row>
    <row r="503" spans="1:9" ht="14.4" x14ac:dyDescent="0.3">
      <c r="A503" s="157" t="s">
        <v>252</v>
      </c>
      <c r="B503" s="158">
        <v>2012</v>
      </c>
      <c r="C503" s="188">
        <v>34846288</v>
      </c>
      <c r="D503" s="188">
        <v>30250491.179999996</v>
      </c>
      <c r="E503" s="188">
        <v>41894491.18</v>
      </c>
      <c r="F503" s="188">
        <v>144362824.63</v>
      </c>
      <c r="G503" s="188">
        <v>156006824.63000003</v>
      </c>
      <c r="H503" s="187">
        <f t="shared" si="15"/>
        <v>79266045.450000003</v>
      </c>
    </row>
    <row r="504" spans="1:9" ht="14.4" x14ac:dyDescent="0.3">
      <c r="A504" s="157" t="s">
        <v>252</v>
      </c>
      <c r="B504" s="158">
        <v>2013</v>
      </c>
      <c r="C504" s="188">
        <v>73315439</v>
      </c>
      <c r="D504" s="188">
        <v>83674635.519999996</v>
      </c>
      <c r="E504" s="188">
        <v>64389635.769999996</v>
      </c>
      <c r="F504" s="188">
        <v>263534637.71000001</v>
      </c>
      <c r="G504" s="188">
        <v>244249637.96000001</v>
      </c>
      <c r="H504" s="187">
        <f t="shared" si="15"/>
        <v>106544563.19</v>
      </c>
    </row>
    <row r="505" spans="1:9" ht="14.4" x14ac:dyDescent="0.3">
      <c r="A505" s="157" t="s">
        <v>252</v>
      </c>
      <c r="B505" s="158">
        <v>2014</v>
      </c>
      <c r="C505" s="188">
        <v>39753809</v>
      </c>
      <c r="D505" s="188">
        <v>174765670.80000001</v>
      </c>
      <c r="E505" s="188">
        <v>175484670.63999999</v>
      </c>
      <c r="F505" s="188">
        <v>235170351.01999998</v>
      </c>
      <c r="G505" s="188">
        <v>235889350.86000001</v>
      </c>
      <c r="H505" s="187">
        <f t="shared" si="15"/>
        <v>20650871.219999969</v>
      </c>
    </row>
    <row r="506" spans="1:9" ht="14.4" x14ac:dyDescent="0.3">
      <c r="A506" s="157" t="s">
        <v>252</v>
      </c>
      <c r="B506" s="158">
        <v>2015</v>
      </c>
      <c r="C506" s="188">
        <v>6848185</v>
      </c>
      <c r="D506" s="188">
        <v>205191000.86999997</v>
      </c>
      <c r="E506" s="188">
        <v>215796995.41000003</v>
      </c>
      <c r="F506" s="188">
        <v>214451839.47</v>
      </c>
      <c r="G506" s="188">
        <v>225057834.00999999</v>
      </c>
      <c r="H506" s="187">
        <f t="shared" si="15"/>
        <v>2412653.6000000238</v>
      </c>
    </row>
    <row r="507" spans="1:9" ht="14.4" x14ac:dyDescent="0.3">
      <c r="A507" s="157" t="s">
        <v>44</v>
      </c>
      <c r="B507" s="158">
        <v>1995</v>
      </c>
      <c r="C507" s="186"/>
      <c r="D507" s="186"/>
      <c r="E507" s="186"/>
      <c r="F507" s="186">
        <f>$I507+$C507+D507</f>
        <v>14555000</v>
      </c>
      <c r="G507" s="186">
        <f>$I507+$C507+E507</f>
        <v>14555000</v>
      </c>
      <c r="H507" s="187">
        <f t="shared" si="15"/>
        <v>14555000</v>
      </c>
      <c r="I507" s="43">
        <f>VLOOKUP(A507,$L$3:$N$39,3,0)*1000</f>
        <v>14555000</v>
      </c>
    </row>
    <row r="508" spans="1:9" ht="14.4" x14ac:dyDescent="0.3">
      <c r="A508" s="157" t="s">
        <v>44</v>
      </c>
      <c r="B508" s="158">
        <v>1996</v>
      </c>
      <c r="C508" s="186">
        <v>0</v>
      </c>
      <c r="D508" s="186">
        <v>70.03</v>
      </c>
      <c r="E508" s="186">
        <v>70.03</v>
      </c>
      <c r="F508" s="186">
        <v>432696.64999999997</v>
      </c>
      <c r="G508" s="186">
        <v>432696.64999999997</v>
      </c>
      <c r="H508" s="187">
        <f t="shared" ref="H508:H548" si="16">F508-D508-C508</f>
        <v>432626.61999999994</v>
      </c>
    </row>
    <row r="509" spans="1:9" ht="14.4" x14ac:dyDescent="0.3">
      <c r="A509" s="157" t="s">
        <v>44</v>
      </c>
      <c r="B509" s="158">
        <v>1997</v>
      </c>
      <c r="C509" s="186"/>
      <c r="D509" s="186"/>
      <c r="E509" s="186"/>
      <c r="F509" s="186"/>
      <c r="G509" s="186"/>
      <c r="H509" s="187">
        <f t="shared" si="16"/>
        <v>0</v>
      </c>
    </row>
    <row r="510" spans="1:9" ht="14.4" x14ac:dyDescent="0.3">
      <c r="A510" s="157" t="s">
        <v>44</v>
      </c>
      <c r="B510" s="158">
        <v>1998</v>
      </c>
      <c r="C510" s="186">
        <v>0</v>
      </c>
      <c r="D510" s="186">
        <v>10653</v>
      </c>
      <c r="E510" s="186">
        <v>10653</v>
      </c>
      <c r="F510" s="186">
        <v>3351370.7199999997</v>
      </c>
      <c r="G510" s="186">
        <v>3351370.7199999997</v>
      </c>
      <c r="H510" s="187">
        <f t="shared" si="16"/>
        <v>3340717.7199999997</v>
      </c>
    </row>
    <row r="511" spans="1:9" ht="14.4" x14ac:dyDescent="0.3">
      <c r="A511" s="157" t="s">
        <v>44</v>
      </c>
      <c r="B511" s="158">
        <v>1999</v>
      </c>
      <c r="C511" s="188">
        <v>0</v>
      </c>
      <c r="D511" s="188">
        <v>834.21</v>
      </c>
      <c r="E511" s="188">
        <v>834.21</v>
      </c>
      <c r="F511" s="188">
        <v>3643403.5300000003</v>
      </c>
      <c r="G511" s="188">
        <v>3643403.5300000003</v>
      </c>
      <c r="H511" s="187">
        <f t="shared" si="16"/>
        <v>3642569.3200000003</v>
      </c>
    </row>
    <row r="512" spans="1:9" ht="14.4" x14ac:dyDescent="0.3">
      <c r="A512" s="157" t="s">
        <v>44</v>
      </c>
      <c r="B512" s="158">
        <v>2000</v>
      </c>
      <c r="C512" s="188">
        <v>0</v>
      </c>
      <c r="D512" s="188">
        <v>25952.400000000001</v>
      </c>
      <c r="E512" s="188">
        <v>25952.400000000001</v>
      </c>
      <c r="F512" s="188">
        <v>4791290.83</v>
      </c>
      <c r="G512" s="188">
        <v>4791290.83</v>
      </c>
      <c r="H512" s="187">
        <f t="shared" si="16"/>
        <v>4765338.43</v>
      </c>
    </row>
    <row r="513" spans="1:9" ht="14.4" x14ac:dyDescent="0.3">
      <c r="A513" s="157" t="s">
        <v>44</v>
      </c>
      <c r="B513" s="158">
        <v>2001</v>
      </c>
      <c r="C513" s="188">
        <v>2</v>
      </c>
      <c r="D513" s="188">
        <v>10336.740000000002</v>
      </c>
      <c r="E513" s="188">
        <v>23336.74</v>
      </c>
      <c r="F513" s="188">
        <v>6076880.7299999995</v>
      </c>
      <c r="G513" s="188">
        <v>6089880.7299999995</v>
      </c>
      <c r="H513" s="187">
        <f t="shared" si="16"/>
        <v>6066541.9899999993</v>
      </c>
    </row>
    <row r="514" spans="1:9" ht="14.4" x14ac:dyDescent="0.3">
      <c r="A514" s="157" t="s">
        <v>44</v>
      </c>
      <c r="B514" s="158">
        <v>2002</v>
      </c>
      <c r="C514" s="188">
        <v>1</v>
      </c>
      <c r="D514" s="188">
        <v>5311.17</v>
      </c>
      <c r="E514" s="188">
        <v>1311.1699999999998</v>
      </c>
      <c r="F514" s="188">
        <v>15546533.600000001</v>
      </c>
      <c r="G514" s="188">
        <v>15542533.600000001</v>
      </c>
      <c r="H514" s="187">
        <f t="shared" si="16"/>
        <v>15541221.430000002</v>
      </c>
    </row>
    <row r="515" spans="1:9" ht="14.4" x14ac:dyDescent="0.3">
      <c r="A515" s="157" t="s">
        <v>44</v>
      </c>
      <c r="B515" s="158">
        <v>2003</v>
      </c>
      <c r="C515" s="188">
        <v>75001</v>
      </c>
      <c r="D515" s="188">
        <v>61192.24</v>
      </c>
      <c r="E515" s="188">
        <v>141192.24</v>
      </c>
      <c r="F515" s="188">
        <v>18674827.690000001</v>
      </c>
      <c r="G515" s="188">
        <v>18754827.690000001</v>
      </c>
      <c r="H515" s="187">
        <f t="shared" si="16"/>
        <v>18538634.450000003</v>
      </c>
    </row>
    <row r="516" spans="1:9" ht="14.4" x14ac:dyDescent="0.3">
      <c r="A516" s="157" t="s">
        <v>44</v>
      </c>
      <c r="B516" s="158">
        <v>2004</v>
      </c>
      <c r="C516" s="188">
        <v>0</v>
      </c>
      <c r="D516" s="188">
        <v>-82753.070000000007</v>
      </c>
      <c r="E516" s="188">
        <v>56246.93</v>
      </c>
      <c r="F516" s="188">
        <v>39864687.989999995</v>
      </c>
      <c r="G516" s="188">
        <v>40003687.989999995</v>
      </c>
      <c r="H516" s="187">
        <f t="shared" si="16"/>
        <v>39947441.059999995</v>
      </c>
    </row>
    <row r="517" spans="1:9" ht="14.4" x14ac:dyDescent="0.3">
      <c r="A517" s="157" t="s">
        <v>44</v>
      </c>
      <c r="B517" s="158">
        <v>2005</v>
      </c>
      <c r="C517" s="188">
        <v>10001</v>
      </c>
      <c r="D517" s="188">
        <v>-85966.63</v>
      </c>
      <c r="E517" s="188">
        <v>-255966.63000000003</v>
      </c>
      <c r="F517" s="188">
        <v>33044878.220000003</v>
      </c>
      <c r="G517" s="188">
        <v>32874878.220000003</v>
      </c>
      <c r="H517" s="187">
        <f t="shared" si="16"/>
        <v>33120843.850000001</v>
      </c>
    </row>
    <row r="518" spans="1:9" ht="14.4" x14ac:dyDescent="0.3">
      <c r="A518" s="157" t="s">
        <v>44</v>
      </c>
      <c r="B518" s="158">
        <v>2006</v>
      </c>
      <c r="C518" s="188">
        <v>196495</v>
      </c>
      <c r="D518" s="188">
        <v>410104.60000000003</v>
      </c>
      <c r="E518" s="188">
        <v>288104.60000000003</v>
      </c>
      <c r="F518" s="188">
        <v>55823342.739999995</v>
      </c>
      <c r="G518" s="188">
        <v>55701342.739999995</v>
      </c>
      <c r="H518" s="187">
        <f t="shared" si="16"/>
        <v>55216743.139999993</v>
      </c>
    </row>
    <row r="519" spans="1:9" ht="14.4" x14ac:dyDescent="0.3">
      <c r="A519" s="157" t="s">
        <v>44</v>
      </c>
      <c r="B519" s="158">
        <v>2007</v>
      </c>
      <c r="C519" s="188">
        <v>316553</v>
      </c>
      <c r="D519" s="188">
        <v>516279.21</v>
      </c>
      <c r="E519" s="188">
        <v>529279.21</v>
      </c>
      <c r="F519" s="188">
        <v>64530130.310000002</v>
      </c>
      <c r="G519" s="188">
        <v>64543130.310000002</v>
      </c>
      <c r="H519" s="187">
        <f t="shared" si="16"/>
        <v>63697298.100000001</v>
      </c>
    </row>
    <row r="520" spans="1:9" ht="14.4" x14ac:dyDescent="0.3">
      <c r="A520" s="157" t="s">
        <v>44</v>
      </c>
      <c r="B520" s="158">
        <v>2008</v>
      </c>
      <c r="C520" s="188">
        <v>2574502</v>
      </c>
      <c r="D520" s="188">
        <v>-67599.12999999999</v>
      </c>
      <c r="E520" s="188">
        <v>688400.87</v>
      </c>
      <c r="F520" s="188">
        <v>92487788.100000009</v>
      </c>
      <c r="G520" s="188">
        <v>93243788.100000009</v>
      </c>
      <c r="H520" s="187">
        <f t="shared" si="16"/>
        <v>89980885.230000004</v>
      </c>
    </row>
    <row r="521" spans="1:9" ht="14.4" x14ac:dyDescent="0.3">
      <c r="A521" s="157" t="s">
        <v>44</v>
      </c>
      <c r="B521" s="158">
        <v>2009</v>
      </c>
      <c r="C521" s="188">
        <v>1440002</v>
      </c>
      <c r="D521" s="188">
        <v>116550.77999999993</v>
      </c>
      <c r="E521" s="188">
        <v>1150550.78</v>
      </c>
      <c r="F521" s="188">
        <v>118165268.34999999</v>
      </c>
      <c r="G521" s="188">
        <v>119199268.34999999</v>
      </c>
      <c r="H521" s="187">
        <f t="shared" si="16"/>
        <v>116608715.56999999</v>
      </c>
    </row>
    <row r="522" spans="1:9" ht="14.4" x14ac:dyDescent="0.3">
      <c r="A522" s="157" t="s">
        <v>44</v>
      </c>
      <c r="B522" s="158">
        <v>2010</v>
      </c>
      <c r="C522" s="188">
        <v>10790365</v>
      </c>
      <c r="D522" s="188">
        <v>2955176</v>
      </c>
      <c r="E522" s="188">
        <v>3850176</v>
      </c>
      <c r="F522" s="188">
        <v>132236421.62000002</v>
      </c>
      <c r="G522" s="188">
        <v>133131421.62000002</v>
      </c>
      <c r="H522" s="187">
        <f t="shared" si="16"/>
        <v>118490880.62000002</v>
      </c>
    </row>
    <row r="523" spans="1:9" ht="14.4" x14ac:dyDescent="0.3">
      <c r="A523" s="157" t="s">
        <v>44</v>
      </c>
      <c r="B523" s="158">
        <v>2011</v>
      </c>
      <c r="C523" s="188">
        <v>8345110</v>
      </c>
      <c r="D523" s="188">
        <v>7693526.1300000008</v>
      </c>
      <c r="E523" s="188">
        <v>9230526.1300000008</v>
      </c>
      <c r="F523" s="188">
        <v>132272382.29000001</v>
      </c>
      <c r="G523" s="188">
        <v>133809382.29000001</v>
      </c>
      <c r="H523" s="187">
        <f t="shared" si="16"/>
        <v>116233746.16000001</v>
      </c>
    </row>
    <row r="524" spans="1:9" ht="14.4" x14ac:dyDescent="0.3">
      <c r="A524" s="157" t="s">
        <v>44</v>
      </c>
      <c r="B524" s="158">
        <v>2012</v>
      </c>
      <c r="C524" s="188">
        <v>7558866</v>
      </c>
      <c r="D524" s="188">
        <v>16851047.149999999</v>
      </c>
      <c r="E524" s="188">
        <v>18438047.149999999</v>
      </c>
      <c r="F524" s="188">
        <v>127831875.20000002</v>
      </c>
      <c r="G524" s="188">
        <v>129418875.20000002</v>
      </c>
      <c r="H524" s="187">
        <f t="shared" si="16"/>
        <v>103421962.05000001</v>
      </c>
    </row>
    <row r="525" spans="1:9" ht="14.4" x14ac:dyDescent="0.3">
      <c r="A525" s="157" t="s">
        <v>44</v>
      </c>
      <c r="B525" s="158">
        <v>2013</v>
      </c>
      <c r="C525" s="188">
        <v>11195629</v>
      </c>
      <c r="D525" s="188">
        <v>30351590.599999994</v>
      </c>
      <c r="E525" s="188">
        <v>36064590.599999994</v>
      </c>
      <c r="F525" s="188">
        <v>115724620.32000002</v>
      </c>
      <c r="G525" s="188">
        <v>121437620.32000001</v>
      </c>
      <c r="H525" s="187">
        <f t="shared" si="16"/>
        <v>74177400.720000029</v>
      </c>
    </row>
    <row r="526" spans="1:9" ht="14.4" x14ac:dyDescent="0.3">
      <c r="A526" s="157" t="s">
        <v>44</v>
      </c>
      <c r="B526" s="158">
        <v>2014</v>
      </c>
      <c r="C526" s="188">
        <v>20127389</v>
      </c>
      <c r="D526" s="188">
        <v>41751245.960000001</v>
      </c>
      <c r="E526" s="188">
        <v>46226245.960000001</v>
      </c>
      <c r="F526" s="188">
        <v>106778574.08999999</v>
      </c>
      <c r="G526" s="188">
        <v>111253574.08999999</v>
      </c>
      <c r="H526" s="187">
        <f t="shared" si="16"/>
        <v>44899939.129999988</v>
      </c>
    </row>
    <row r="527" spans="1:9" ht="14.4" x14ac:dyDescent="0.3">
      <c r="A527" s="157" t="s">
        <v>44</v>
      </c>
      <c r="B527" s="158">
        <v>2015</v>
      </c>
      <c r="C527" s="188">
        <v>5250821</v>
      </c>
      <c r="D527" s="188">
        <v>83495271.109999999</v>
      </c>
      <c r="E527" s="188">
        <v>86583680.299999997</v>
      </c>
      <c r="F527" s="188">
        <v>98882596.099999994</v>
      </c>
      <c r="G527" s="188">
        <v>101971005.28999999</v>
      </c>
      <c r="H527" s="187">
        <f t="shared" si="16"/>
        <v>10136503.989999995</v>
      </c>
    </row>
    <row r="528" spans="1:9" ht="14.4" x14ac:dyDescent="0.3">
      <c r="A528" s="157" t="s">
        <v>45</v>
      </c>
      <c r="B528" s="158">
        <v>1995</v>
      </c>
      <c r="C528" s="186">
        <v>5001</v>
      </c>
      <c r="D528" s="186">
        <v>1547.1890316358053</v>
      </c>
      <c r="E528" s="186">
        <v>10546.11</v>
      </c>
      <c r="F528" s="186">
        <f>$I528+$C528+D528</f>
        <v>36659548.189031638</v>
      </c>
      <c r="G528" s="186">
        <f>$I528+$C528+E528</f>
        <v>36668547.109999999</v>
      </c>
      <c r="H528" s="187">
        <f t="shared" si="16"/>
        <v>36653000</v>
      </c>
      <c r="I528" s="43">
        <f>VLOOKUP(A528,$L$3:$N$39,3,0)*1000</f>
        <v>36653000</v>
      </c>
    </row>
    <row r="529" spans="1:8" ht="14.4" x14ac:dyDescent="0.3">
      <c r="A529" s="157" t="s">
        <v>45</v>
      </c>
      <c r="B529" s="158">
        <v>1996</v>
      </c>
      <c r="C529" s="188">
        <v>1035</v>
      </c>
      <c r="D529" s="188">
        <v>-3970.2</v>
      </c>
      <c r="E529" s="188">
        <v>1029.8000000000002</v>
      </c>
      <c r="F529" s="188">
        <v>5625261.8199999994</v>
      </c>
      <c r="G529" s="188">
        <v>5630261.8199999994</v>
      </c>
      <c r="H529" s="187">
        <f t="shared" si="16"/>
        <v>5628197.0199999996</v>
      </c>
    </row>
    <row r="530" spans="1:8" ht="14.4" x14ac:dyDescent="0.3">
      <c r="A530" s="157" t="s">
        <v>45</v>
      </c>
      <c r="B530" s="158">
        <v>1997</v>
      </c>
      <c r="C530" s="186">
        <v>0</v>
      </c>
      <c r="D530" s="186">
        <v>77.67</v>
      </c>
      <c r="E530" s="186">
        <v>4077.6700000000005</v>
      </c>
      <c r="F530" s="186">
        <v>6742181.6600000001</v>
      </c>
      <c r="G530" s="186">
        <v>6746181.6600000001</v>
      </c>
      <c r="H530" s="187">
        <f t="shared" si="16"/>
        <v>6742103.9900000002</v>
      </c>
    </row>
    <row r="531" spans="1:8" ht="14.4" x14ac:dyDescent="0.3">
      <c r="A531" s="157" t="s">
        <v>45</v>
      </c>
      <c r="B531" s="158">
        <v>1998</v>
      </c>
      <c r="C531" s="188">
        <v>2</v>
      </c>
      <c r="D531" s="188">
        <v>857.70999999999992</v>
      </c>
      <c r="E531" s="188">
        <v>3857.71</v>
      </c>
      <c r="F531" s="188">
        <v>8453611.8900000006</v>
      </c>
      <c r="G531" s="188">
        <v>8456611.8900000006</v>
      </c>
      <c r="H531" s="187">
        <f t="shared" si="16"/>
        <v>8452752.1799999997</v>
      </c>
    </row>
    <row r="532" spans="1:8" ht="14.4" x14ac:dyDescent="0.3">
      <c r="A532" s="157" t="s">
        <v>45</v>
      </c>
      <c r="B532" s="158">
        <v>1999</v>
      </c>
      <c r="C532" s="186">
        <v>0</v>
      </c>
      <c r="D532" s="186">
        <v>-165</v>
      </c>
      <c r="E532" s="186">
        <v>835</v>
      </c>
      <c r="F532" s="186">
        <v>5750393.7599999998</v>
      </c>
      <c r="G532" s="186">
        <v>5751393.7599999998</v>
      </c>
      <c r="H532" s="187">
        <f t="shared" si="16"/>
        <v>5750558.7599999998</v>
      </c>
    </row>
    <row r="533" spans="1:8" ht="14.4" x14ac:dyDescent="0.3">
      <c r="A533" s="157" t="s">
        <v>45</v>
      </c>
      <c r="B533" s="158">
        <v>2000</v>
      </c>
      <c r="C533" s="188">
        <v>2</v>
      </c>
      <c r="D533" s="188">
        <v>435</v>
      </c>
      <c r="E533" s="188">
        <v>1435</v>
      </c>
      <c r="F533" s="188">
        <v>17652075.789999999</v>
      </c>
      <c r="G533" s="188">
        <v>17653075.789999999</v>
      </c>
      <c r="H533" s="187">
        <f t="shared" si="16"/>
        <v>17651638.789999999</v>
      </c>
    </row>
    <row r="534" spans="1:8" ht="14.4" x14ac:dyDescent="0.3">
      <c r="A534" s="157" t="s">
        <v>45</v>
      </c>
      <c r="B534" s="158">
        <v>2001</v>
      </c>
      <c r="C534" s="188">
        <v>4</v>
      </c>
      <c r="D534" s="188">
        <v>5650</v>
      </c>
      <c r="E534" s="188">
        <v>6650</v>
      </c>
      <c r="F534" s="188">
        <v>5267753.8099999996</v>
      </c>
      <c r="G534" s="188">
        <v>5268753.8099999996</v>
      </c>
      <c r="H534" s="187">
        <f t="shared" si="16"/>
        <v>5262099.8099999996</v>
      </c>
    </row>
    <row r="535" spans="1:8" ht="14.4" x14ac:dyDescent="0.3">
      <c r="A535" s="157" t="s">
        <v>45</v>
      </c>
      <c r="B535" s="158">
        <v>2002</v>
      </c>
      <c r="C535" s="188">
        <v>2</v>
      </c>
      <c r="D535" s="188">
        <v>8867</v>
      </c>
      <c r="E535" s="188">
        <v>867</v>
      </c>
      <c r="F535" s="188">
        <v>38758424.259999998</v>
      </c>
      <c r="G535" s="188">
        <v>38750424.259999998</v>
      </c>
      <c r="H535" s="187">
        <f t="shared" si="16"/>
        <v>38749555.259999998</v>
      </c>
    </row>
    <row r="536" spans="1:8" ht="14.4" x14ac:dyDescent="0.3">
      <c r="A536" s="157" t="s">
        <v>45</v>
      </c>
      <c r="B536" s="158">
        <v>2003</v>
      </c>
      <c r="C536" s="188">
        <v>1</v>
      </c>
      <c r="D536" s="188">
        <v>2525</v>
      </c>
      <c r="E536" s="188">
        <v>-475</v>
      </c>
      <c r="F536" s="188">
        <v>6746702.2699999996</v>
      </c>
      <c r="G536" s="188">
        <v>6743702.2699999996</v>
      </c>
      <c r="H536" s="187">
        <f t="shared" si="16"/>
        <v>6744176.2699999996</v>
      </c>
    </row>
    <row r="537" spans="1:8" ht="14.4" x14ac:dyDescent="0.3">
      <c r="A537" s="157" t="s">
        <v>45</v>
      </c>
      <c r="B537" s="158">
        <v>2004</v>
      </c>
      <c r="C537" s="188">
        <v>1000000</v>
      </c>
      <c r="D537" s="188">
        <v>923.34</v>
      </c>
      <c r="E537" s="188">
        <v>923.34</v>
      </c>
      <c r="F537" s="188">
        <v>8341843.629999999</v>
      </c>
      <c r="G537" s="188">
        <v>8341843.629999999</v>
      </c>
      <c r="H537" s="187">
        <f t="shared" si="16"/>
        <v>7340920.2899999991</v>
      </c>
    </row>
    <row r="538" spans="1:8" ht="14.4" x14ac:dyDescent="0.3">
      <c r="A538" s="157" t="s">
        <v>45</v>
      </c>
      <c r="B538" s="158">
        <v>2005</v>
      </c>
      <c r="C538" s="188">
        <v>1000000</v>
      </c>
      <c r="D538" s="188">
        <v>426.73</v>
      </c>
      <c r="E538" s="188">
        <v>36426.730000000003</v>
      </c>
      <c r="F538" s="188">
        <v>4387795.25</v>
      </c>
      <c r="G538" s="188">
        <v>4423795.25</v>
      </c>
      <c r="H538" s="187">
        <f t="shared" si="16"/>
        <v>3387368.5199999996</v>
      </c>
    </row>
    <row r="539" spans="1:8" ht="14.4" x14ac:dyDescent="0.3">
      <c r="A539" s="157" t="s">
        <v>45</v>
      </c>
      <c r="B539" s="158">
        <v>2006</v>
      </c>
      <c r="C539" s="188">
        <v>0</v>
      </c>
      <c r="D539" s="188">
        <v>0</v>
      </c>
      <c r="E539" s="188">
        <v>38000</v>
      </c>
      <c r="F539" s="188">
        <v>0</v>
      </c>
      <c r="G539" s="188">
        <v>38000</v>
      </c>
      <c r="H539" s="187">
        <f t="shared" si="16"/>
        <v>0</v>
      </c>
    </row>
    <row r="540" spans="1:8" ht="14.4" x14ac:dyDescent="0.3">
      <c r="A540" s="157" t="s">
        <v>45</v>
      </c>
      <c r="B540" s="158">
        <v>2007</v>
      </c>
      <c r="C540" s="188">
        <v>1</v>
      </c>
      <c r="D540" s="188">
        <v>3000</v>
      </c>
      <c r="E540" s="188">
        <v>-39000</v>
      </c>
      <c r="F540" s="188">
        <v>862518.2</v>
      </c>
      <c r="G540" s="188">
        <v>820518.2</v>
      </c>
      <c r="H540" s="187">
        <f t="shared" si="16"/>
        <v>859517.2</v>
      </c>
    </row>
    <row r="541" spans="1:8" ht="14.4" x14ac:dyDescent="0.3">
      <c r="A541" s="157" t="s">
        <v>45</v>
      </c>
      <c r="B541" s="158">
        <v>2008</v>
      </c>
      <c r="C541" s="188">
        <v>7416667</v>
      </c>
      <c r="D541" s="188">
        <v>-22269.51</v>
      </c>
      <c r="E541" s="188">
        <v>-26269.51</v>
      </c>
      <c r="F541" s="188">
        <v>22518008.760000002</v>
      </c>
      <c r="G541" s="188">
        <v>22514008.760000002</v>
      </c>
      <c r="H541" s="187">
        <f t="shared" si="16"/>
        <v>15123611.270000003</v>
      </c>
    </row>
    <row r="542" spans="1:8" ht="14.4" x14ac:dyDescent="0.3">
      <c r="A542" s="157" t="s">
        <v>45</v>
      </c>
      <c r="B542" s="158">
        <v>2009</v>
      </c>
      <c r="C542" s="188">
        <v>1</v>
      </c>
      <c r="D542" s="188">
        <v>6112.77</v>
      </c>
      <c r="E542" s="188">
        <v>30112.770000000004</v>
      </c>
      <c r="F542" s="188">
        <v>17495529.41</v>
      </c>
      <c r="G542" s="188">
        <v>17519529.41</v>
      </c>
      <c r="H542" s="187">
        <f t="shared" si="16"/>
        <v>17489415.640000001</v>
      </c>
    </row>
    <row r="543" spans="1:8" ht="14.4" x14ac:dyDescent="0.3">
      <c r="A543" s="157" t="s">
        <v>45</v>
      </c>
      <c r="B543" s="158">
        <v>2010</v>
      </c>
      <c r="C543" s="188">
        <v>1</v>
      </c>
      <c r="D543" s="188">
        <v>7745408.3500000006</v>
      </c>
      <c r="E543" s="188">
        <v>8010408.3500000006</v>
      </c>
      <c r="F543" s="188">
        <v>13492604.119999999</v>
      </c>
      <c r="G543" s="188">
        <v>13757604.119999999</v>
      </c>
      <c r="H543" s="187">
        <f t="shared" si="16"/>
        <v>5747194.7699999986</v>
      </c>
    </row>
    <row r="544" spans="1:8" ht="14.4" x14ac:dyDescent="0.3">
      <c r="A544" s="157" t="s">
        <v>45</v>
      </c>
      <c r="B544" s="158">
        <v>2011</v>
      </c>
      <c r="C544" s="188">
        <v>5000005</v>
      </c>
      <c r="D544" s="188">
        <v>11051743.039999999</v>
      </c>
      <c r="E544" s="188">
        <v>11671743.039999999</v>
      </c>
      <c r="F544" s="188">
        <v>16377877.65</v>
      </c>
      <c r="G544" s="188">
        <v>16997877.649999999</v>
      </c>
      <c r="H544" s="187">
        <f t="shared" si="16"/>
        <v>326129.61000000127</v>
      </c>
    </row>
    <row r="545" spans="1:9" ht="14.4" x14ac:dyDescent="0.3">
      <c r="A545" s="157" t="s">
        <v>45</v>
      </c>
      <c r="B545" s="158">
        <v>2012</v>
      </c>
      <c r="C545" s="188">
        <v>40366</v>
      </c>
      <c r="D545" s="188">
        <v>3079535.94</v>
      </c>
      <c r="E545" s="188">
        <v>3322535.94</v>
      </c>
      <c r="F545" s="188">
        <v>3549532.65</v>
      </c>
      <c r="G545" s="188">
        <v>3792532.65</v>
      </c>
      <c r="H545" s="187">
        <f t="shared" si="16"/>
        <v>429630.70999999996</v>
      </c>
    </row>
    <row r="546" spans="1:9" ht="14.4" x14ac:dyDescent="0.3">
      <c r="A546" s="157" t="s">
        <v>45</v>
      </c>
      <c r="B546" s="158">
        <v>2013</v>
      </c>
      <c r="C546" s="188">
        <v>434710</v>
      </c>
      <c r="D546" s="188">
        <v>3163560.77</v>
      </c>
      <c r="E546" s="188">
        <v>3106560.77</v>
      </c>
      <c r="F546" s="188">
        <v>4052000</v>
      </c>
      <c r="G546" s="188">
        <v>3995000</v>
      </c>
      <c r="H546" s="187">
        <f t="shared" si="16"/>
        <v>453729.23</v>
      </c>
    </row>
    <row r="547" spans="1:9" ht="14.4" x14ac:dyDescent="0.3">
      <c r="A547" s="157" t="s">
        <v>45</v>
      </c>
      <c r="B547" s="158">
        <v>2014</v>
      </c>
      <c r="C547" s="188">
        <v>30492</v>
      </c>
      <c r="D547" s="188">
        <v>6872050.4899999993</v>
      </c>
      <c r="E547" s="188">
        <v>6872050.4899999993</v>
      </c>
      <c r="F547" s="188">
        <v>8329499.8499999996</v>
      </c>
      <c r="G547" s="188">
        <v>8329499.8499999996</v>
      </c>
      <c r="H547" s="187">
        <f t="shared" si="16"/>
        <v>1426957.3600000003</v>
      </c>
    </row>
    <row r="548" spans="1:9" ht="14.4" x14ac:dyDescent="0.3">
      <c r="A548" s="157" t="s">
        <v>45</v>
      </c>
      <c r="B548" s="158">
        <v>2015</v>
      </c>
      <c r="C548" s="188">
        <v>50001</v>
      </c>
      <c r="D548" s="188">
        <v>10788389.32</v>
      </c>
      <c r="E548" s="188">
        <v>10788389.32</v>
      </c>
      <c r="F548" s="188">
        <v>11407561.52</v>
      </c>
      <c r="G548" s="188">
        <v>11407561.52</v>
      </c>
      <c r="H548" s="187">
        <f t="shared" si="16"/>
        <v>569171.19999999925</v>
      </c>
    </row>
    <row r="549" spans="1:9" ht="14.4" x14ac:dyDescent="0.3">
      <c r="A549" s="157" t="s">
        <v>2</v>
      </c>
      <c r="B549" s="158">
        <v>1995</v>
      </c>
      <c r="C549" s="186"/>
      <c r="D549" s="186"/>
      <c r="E549" s="186"/>
      <c r="F549" s="186">
        <f>$I549+$C549+D549</f>
        <v>610000</v>
      </c>
      <c r="G549" s="186">
        <f>$I549+$C549+E549</f>
        <v>610000</v>
      </c>
      <c r="H549" s="187">
        <f t="shared" ref="H549:H556" si="17">F549-D549-C549</f>
        <v>610000</v>
      </c>
      <c r="I549" s="43">
        <f>VLOOKUP(A549,$L$3:$N$39,3,0)*1000</f>
        <v>610000</v>
      </c>
    </row>
    <row r="550" spans="1:9" ht="14.4" x14ac:dyDescent="0.3">
      <c r="A550" s="157" t="s">
        <v>2</v>
      </c>
      <c r="B550" s="158">
        <v>1996</v>
      </c>
      <c r="C550" s="186"/>
      <c r="D550" s="186"/>
      <c r="E550" s="186"/>
      <c r="F550" s="186"/>
      <c r="G550" s="186"/>
      <c r="H550" s="187">
        <f t="shared" si="17"/>
        <v>0</v>
      </c>
    </row>
    <row r="551" spans="1:9" ht="14.4" x14ac:dyDescent="0.3">
      <c r="A551" s="157" t="s">
        <v>2</v>
      </c>
      <c r="B551" s="158">
        <v>1997</v>
      </c>
      <c r="C551" s="188">
        <v>58615</v>
      </c>
      <c r="D551" s="188">
        <v>-671.29000000000008</v>
      </c>
      <c r="E551" s="188">
        <v>-2563.29</v>
      </c>
      <c r="F551" s="188">
        <v>910603.57000000007</v>
      </c>
      <c r="G551" s="188">
        <v>908711.57000000007</v>
      </c>
      <c r="H551" s="187">
        <f t="shared" si="17"/>
        <v>852659.8600000001</v>
      </c>
    </row>
    <row r="552" spans="1:9" ht="14.4" x14ac:dyDescent="0.3">
      <c r="A552" s="157" t="s">
        <v>2</v>
      </c>
      <c r="B552" s="158">
        <v>1998</v>
      </c>
      <c r="C552" s="186">
        <v>0</v>
      </c>
      <c r="D552" s="186">
        <v>-2271.4899999999998</v>
      </c>
      <c r="E552" s="186">
        <v>-2271.4899999999998</v>
      </c>
      <c r="F552" s="186">
        <v>265.88</v>
      </c>
      <c r="G552" s="186">
        <v>265.88</v>
      </c>
      <c r="H552" s="187">
        <f t="shared" si="17"/>
        <v>2537.37</v>
      </c>
    </row>
    <row r="553" spans="1:9" ht="14.4" x14ac:dyDescent="0.3">
      <c r="A553" s="157" t="s">
        <v>2</v>
      </c>
      <c r="B553" s="158">
        <v>1999</v>
      </c>
      <c r="C553" s="188">
        <v>267846</v>
      </c>
      <c r="D553" s="188">
        <v>1618.5</v>
      </c>
      <c r="E553" s="188">
        <v>2324.5</v>
      </c>
      <c r="F553" s="188">
        <v>3613498.26</v>
      </c>
      <c r="G553" s="188">
        <v>3614204.26</v>
      </c>
      <c r="H553" s="187">
        <f t="shared" si="17"/>
        <v>3344033.76</v>
      </c>
    </row>
    <row r="554" spans="1:9" ht="14.4" x14ac:dyDescent="0.3">
      <c r="A554" s="157" t="s">
        <v>2</v>
      </c>
      <c r="B554" s="158">
        <v>2000</v>
      </c>
      <c r="C554" s="188">
        <v>-9993.4600000000009</v>
      </c>
      <c r="D554" s="188">
        <v>2326.0099999999998</v>
      </c>
      <c r="E554" s="188">
        <v>1926.99</v>
      </c>
      <c r="F554" s="188">
        <v>2319517.4899999993</v>
      </c>
      <c r="G554" s="188">
        <v>2319118.4699999997</v>
      </c>
      <c r="H554" s="187">
        <f t="shared" si="17"/>
        <v>2327184.9399999995</v>
      </c>
    </row>
    <row r="555" spans="1:9" ht="14.4" x14ac:dyDescent="0.3">
      <c r="A555" s="157" t="s">
        <v>2</v>
      </c>
      <c r="B555" s="158">
        <v>2001</v>
      </c>
      <c r="C555" s="188">
        <v>7783.8</v>
      </c>
      <c r="D555" s="188">
        <v>722.6</v>
      </c>
      <c r="E555" s="188">
        <v>-7786.26</v>
      </c>
      <c r="F555" s="188">
        <v>3101886.65</v>
      </c>
      <c r="G555" s="188">
        <v>3093377.7900000005</v>
      </c>
      <c r="H555" s="187">
        <f t="shared" si="17"/>
        <v>3093380.25</v>
      </c>
    </row>
    <row r="556" spans="1:9" ht="14.4" x14ac:dyDescent="0.3">
      <c r="A556" s="157" t="s">
        <v>2</v>
      </c>
      <c r="B556" s="158">
        <v>2002</v>
      </c>
      <c r="C556" s="188">
        <v>129098.29</v>
      </c>
      <c r="D556" s="188">
        <v>14515.08</v>
      </c>
      <c r="E556" s="188">
        <v>14450.08</v>
      </c>
      <c r="F556" s="188">
        <v>1716140.8499999999</v>
      </c>
      <c r="G556" s="188">
        <v>1716075.8499999999</v>
      </c>
      <c r="H556" s="187">
        <f t="shared" si="17"/>
        <v>1572527.4799999997</v>
      </c>
    </row>
    <row r="557" spans="1:9" ht="14.4" x14ac:dyDescent="0.3">
      <c r="A557" s="157" t="s">
        <v>2</v>
      </c>
      <c r="B557" s="158">
        <v>2003</v>
      </c>
      <c r="C557" s="188">
        <v>124988.88</v>
      </c>
      <c r="D557" s="188">
        <v>99834.87</v>
      </c>
      <c r="E557" s="188">
        <v>158952.14000000001</v>
      </c>
      <c r="F557" s="188">
        <v>1501400.9300000002</v>
      </c>
      <c r="G557" s="188">
        <v>1560518.2</v>
      </c>
      <c r="H557" s="187">
        <f t="shared" ref="H557:H620" si="18">F557-D557-C557</f>
        <v>1276577.1800000002</v>
      </c>
    </row>
    <row r="558" spans="1:9" ht="14.4" x14ac:dyDescent="0.3">
      <c r="A558" s="157" t="s">
        <v>2</v>
      </c>
      <c r="B558" s="158">
        <v>2004</v>
      </c>
      <c r="C558" s="188">
        <v>789255.82000000007</v>
      </c>
      <c r="D558" s="188">
        <v>48207.22</v>
      </c>
      <c r="E558" s="188">
        <v>53674.260000000009</v>
      </c>
      <c r="F558" s="188">
        <v>1244344.76</v>
      </c>
      <c r="G558" s="188">
        <v>1249811.8</v>
      </c>
      <c r="H558" s="187">
        <f t="shared" si="18"/>
        <v>406881.72</v>
      </c>
    </row>
    <row r="559" spans="1:9" ht="14.4" x14ac:dyDescent="0.3">
      <c r="A559" s="157" t="s">
        <v>2</v>
      </c>
      <c r="B559" s="158">
        <v>2005</v>
      </c>
      <c r="C559" s="188">
        <v>703649.99</v>
      </c>
      <c r="D559" s="188">
        <v>243465.83</v>
      </c>
      <c r="E559" s="188">
        <v>215230.05</v>
      </c>
      <c r="F559" s="188">
        <v>1346380.52</v>
      </c>
      <c r="G559" s="188">
        <v>1318144.74</v>
      </c>
      <c r="H559" s="187">
        <f t="shared" si="18"/>
        <v>399264.69999999995</v>
      </c>
    </row>
    <row r="560" spans="1:9" ht="14.4" x14ac:dyDescent="0.3">
      <c r="A560" s="157" t="s">
        <v>2</v>
      </c>
      <c r="B560" s="158">
        <v>2006</v>
      </c>
      <c r="C560" s="188">
        <v>301989.64</v>
      </c>
      <c r="D560" s="188">
        <v>301279.73</v>
      </c>
      <c r="E560" s="188">
        <v>288735.44999999995</v>
      </c>
      <c r="F560" s="188">
        <v>1705550.66</v>
      </c>
      <c r="G560" s="188">
        <v>1693006.38</v>
      </c>
      <c r="H560" s="187">
        <f t="shared" si="18"/>
        <v>1102281.29</v>
      </c>
    </row>
    <row r="561" spans="1:9" ht="14.4" x14ac:dyDescent="0.3">
      <c r="A561" s="157" t="s">
        <v>2</v>
      </c>
      <c r="B561" s="158">
        <v>2007</v>
      </c>
      <c r="C561" s="188">
        <v>890013.28</v>
      </c>
      <c r="D561" s="188">
        <v>314932.80000000005</v>
      </c>
      <c r="E561" s="188">
        <v>487950.1</v>
      </c>
      <c r="F561" s="188">
        <v>2477974.3700000006</v>
      </c>
      <c r="G561" s="188">
        <v>2650991.67</v>
      </c>
      <c r="H561" s="187">
        <f t="shared" si="18"/>
        <v>1273028.2900000003</v>
      </c>
    </row>
    <row r="562" spans="1:9" ht="14.4" x14ac:dyDescent="0.3">
      <c r="A562" s="157" t="s">
        <v>2</v>
      </c>
      <c r="B562" s="158">
        <v>2008</v>
      </c>
      <c r="C562" s="188">
        <v>2091086.34</v>
      </c>
      <c r="D562" s="188">
        <v>781041.15</v>
      </c>
      <c r="E562" s="188">
        <v>1206568.97</v>
      </c>
      <c r="F562" s="188">
        <v>5469764.669999999</v>
      </c>
      <c r="G562" s="188">
        <v>5895292.4899999993</v>
      </c>
      <c r="H562" s="187">
        <f t="shared" si="18"/>
        <v>2597637.1799999988</v>
      </c>
    </row>
    <row r="563" spans="1:9" ht="14.4" x14ac:dyDescent="0.3">
      <c r="A563" s="157" t="s">
        <v>2</v>
      </c>
      <c r="B563" s="158">
        <v>2009</v>
      </c>
      <c r="C563" s="188">
        <v>2668155.5300000003</v>
      </c>
      <c r="D563" s="188">
        <v>4735229.8800000008</v>
      </c>
      <c r="E563" s="188">
        <v>5403298.290000001</v>
      </c>
      <c r="F563" s="188">
        <v>9242600.1199999992</v>
      </c>
      <c r="G563" s="188">
        <v>9910668.5299999993</v>
      </c>
      <c r="H563" s="187">
        <f t="shared" si="18"/>
        <v>1839214.7099999981</v>
      </c>
    </row>
    <row r="564" spans="1:9" ht="14.4" x14ac:dyDescent="0.3">
      <c r="A564" s="157" t="s">
        <v>2</v>
      </c>
      <c r="B564" s="158">
        <v>2010</v>
      </c>
      <c r="C564" s="188">
        <v>7611492.5099999998</v>
      </c>
      <c r="D564" s="188">
        <v>4188935.0599999996</v>
      </c>
      <c r="E564" s="188">
        <v>5092215.8</v>
      </c>
      <c r="F564" s="188">
        <v>17236568.259999994</v>
      </c>
      <c r="G564" s="188">
        <v>18139849</v>
      </c>
      <c r="H564" s="187">
        <f t="shared" si="18"/>
        <v>5436140.6899999958</v>
      </c>
    </row>
    <row r="565" spans="1:9" ht="14.4" x14ac:dyDescent="0.3">
      <c r="A565" s="157" t="s">
        <v>2</v>
      </c>
      <c r="B565" s="158">
        <v>2011</v>
      </c>
      <c r="C565" s="188">
        <v>8358825.1999999993</v>
      </c>
      <c r="D565" s="188">
        <v>7976400.4899999993</v>
      </c>
      <c r="E565" s="188">
        <v>9181955.5199999996</v>
      </c>
      <c r="F565" s="188">
        <v>23486069.039999999</v>
      </c>
      <c r="G565" s="188">
        <v>24691624.07</v>
      </c>
      <c r="H565" s="187">
        <f t="shared" si="18"/>
        <v>7150843.3500000015</v>
      </c>
    </row>
    <row r="566" spans="1:9" ht="14.4" x14ac:dyDescent="0.3">
      <c r="A566" s="157" t="s">
        <v>2</v>
      </c>
      <c r="B566" s="158">
        <v>2012</v>
      </c>
      <c r="C566" s="188">
        <v>6400985.2799999984</v>
      </c>
      <c r="D566" s="188">
        <v>9202847.7800000012</v>
      </c>
      <c r="E566" s="188">
        <v>10730547.500000002</v>
      </c>
      <c r="F566" s="188">
        <v>24527557.82</v>
      </c>
      <c r="G566" s="188">
        <v>26055257.539999999</v>
      </c>
      <c r="H566" s="187">
        <f t="shared" si="18"/>
        <v>8923724.7600000016</v>
      </c>
    </row>
    <row r="567" spans="1:9" ht="14.4" x14ac:dyDescent="0.3">
      <c r="A567" s="157" t="s">
        <v>2</v>
      </c>
      <c r="B567" s="158">
        <v>2013</v>
      </c>
      <c r="C567" s="188">
        <v>12849975.110000001</v>
      </c>
      <c r="D567" s="188">
        <v>21917989.190000001</v>
      </c>
      <c r="E567" s="188">
        <v>23523224.010000002</v>
      </c>
      <c r="F567" s="188">
        <v>41665832.389999993</v>
      </c>
      <c r="G567" s="188">
        <v>43271067.210000001</v>
      </c>
      <c r="H567" s="187">
        <f t="shared" si="18"/>
        <v>6897868.0899999905</v>
      </c>
    </row>
    <row r="568" spans="1:9" ht="14.4" x14ac:dyDescent="0.3">
      <c r="A568" s="157" t="s">
        <v>2</v>
      </c>
      <c r="B568" s="158">
        <v>2014</v>
      </c>
      <c r="C568" s="188">
        <v>15119165.159999998</v>
      </c>
      <c r="D568" s="188">
        <v>26539738.059999995</v>
      </c>
      <c r="E568" s="188">
        <v>28452434.010000002</v>
      </c>
      <c r="F568" s="188">
        <v>72728810.540000007</v>
      </c>
      <c r="G568" s="188">
        <v>74641506.49000001</v>
      </c>
      <c r="H568" s="187">
        <f t="shared" si="18"/>
        <v>31069907.320000015</v>
      </c>
    </row>
    <row r="569" spans="1:9" ht="14.4" x14ac:dyDescent="0.3">
      <c r="A569" s="157" t="s">
        <v>2</v>
      </c>
      <c r="B569" s="158">
        <v>2015</v>
      </c>
      <c r="C569" s="188">
        <v>19760762.390000001</v>
      </c>
      <c r="D569" s="188">
        <v>43141640.549999997</v>
      </c>
      <c r="E569" s="188">
        <v>44773986.38000001</v>
      </c>
      <c r="F569" s="188">
        <v>96450599.859999985</v>
      </c>
      <c r="G569" s="188">
        <v>98082945.689999968</v>
      </c>
      <c r="H569" s="187">
        <f t="shared" si="18"/>
        <v>33548196.919999987</v>
      </c>
    </row>
    <row r="570" spans="1:9" ht="14.4" x14ac:dyDescent="0.3">
      <c r="A570" s="157" t="s">
        <v>3</v>
      </c>
      <c r="B570" s="158">
        <v>1995</v>
      </c>
      <c r="C570" s="186"/>
      <c r="D570" s="186"/>
      <c r="E570" s="186"/>
      <c r="F570" s="186">
        <f>$I570+$C570+D570</f>
        <v>0</v>
      </c>
      <c r="G570" s="186">
        <f>$I570+$C570+E570</f>
        <v>0</v>
      </c>
      <c r="H570" s="187">
        <f t="shared" si="18"/>
        <v>0</v>
      </c>
      <c r="I570" s="43">
        <f>VLOOKUP(A570,$L$3:$N$39,3,0)*1000</f>
        <v>0</v>
      </c>
    </row>
    <row r="571" spans="1:9" ht="14.4" x14ac:dyDescent="0.3">
      <c r="A571" s="157" t="s">
        <v>3</v>
      </c>
      <c r="B571" s="158">
        <v>1996</v>
      </c>
      <c r="C571" s="186"/>
      <c r="D571" s="186"/>
      <c r="E571" s="186"/>
      <c r="F571" s="186"/>
      <c r="G571" s="186"/>
      <c r="H571" s="187">
        <f t="shared" si="18"/>
        <v>0</v>
      </c>
    </row>
    <row r="572" spans="1:9" ht="14.4" x14ac:dyDescent="0.3">
      <c r="A572" s="157" t="s">
        <v>3</v>
      </c>
      <c r="B572" s="158">
        <v>1997</v>
      </c>
      <c r="C572" s="186"/>
      <c r="D572" s="186"/>
      <c r="E572" s="186"/>
      <c r="F572" s="186"/>
      <c r="G572" s="186"/>
      <c r="H572" s="187">
        <f t="shared" si="18"/>
        <v>0</v>
      </c>
    </row>
    <row r="573" spans="1:9" ht="14.4" x14ac:dyDescent="0.3">
      <c r="A573" s="157" t="s">
        <v>3</v>
      </c>
      <c r="B573" s="158">
        <v>1998</v>
      </c>
      <c r="C573" s="186"/>
      <c r="D573" s="186"/>
      <c r="E573" s="186"/>
      <c r="F573" s="186"/>
      <c r="G573" s="186"/>
      <c r="H573" s="187">
        <f t="shared" si="18"/>
        <v>0</v>
      </c>
    </row>
    <row r="574" spans="1:9" ht="14.4" x14ac:dyDescent="0.3">
      <c r="A574" s="157" t="s">
        <v>3</v>
      </c>
      <c r="B574" s="158">
        <v>1999</v>
      </c>
      <c r="C574" s="186">
        <v>0</v>
      </c>
      <c r="D574" s="186">
        <v>11783.359999999999</v>
      </c>
      <c r="E574" s="186">
        <v>11783.37</v>
      </c>
      <c r="F574" s="186">
        <v>575853.81999999995</v>
      </c>
      <c r="G574" s="186">
        <v>575853.82999999996</v>
      </c>
      <c r="H574" s="187">
        <f t="shared" si="18"/>
        <v>564070.46</v>
      </c>
    </row>
    <row r="575" spans="1:9" ht="14.4" x14ac:dyDescent="0.3">
      <c r="A575" s="157" t="s">
        <v>3</v>
      </c>
      <c r="B575" s="158">
        <v>2000</v>
      </c>
      <c r="C575" s="186">
        <v>39345.329999999994</v>
      </c>
      <c r="D575" s="186">
        <v>102779.09</v>
      </c>
      <c r="E575" s="186">
        <v>102779.09000000001</v>
      </c>
      <c r="F575" s="186">
        <v>1266993.43</v>
      </c>
      <c r="G575" s="186">
        <v>1266993.4300000002</v>
      </c>
      <c r="H575" s="187">
        <f t="shared" si="18"/>
        <v>1124869.0099999998</v>
      </c>
    </row>
    <row r="576" spans="1:9" ht="14.4" x14ac:dyDescent="0.3">
      <c r="A576" s="157" t="s">
        <v>3</v>
      </c>
      <c r="B576" s="158">
        <v>2001</v>
      </c>
      <c r="C576" s="188">
        <v>280186.43</v>
      </c>
      <c r="D576" s="188">
        <v>205308.51000000004</v>
      </c>
      <c r="E576" s="188">
        <v>314628.58999999997</v>
      </c>
      <c r="F576" s="188">
        <v>3084011.8200000003</v>
      </c>
      <c r="G576" s="188">
        <v>3193331.8999999994</v>
      </c>
      <c r="H576" s="187">
        <f t="shared" si="18"/>
        <v>2598516.88</v>
      </c>
    </row>
    <row r="577" spans="1:9" ht="14.4" x14ac:dyDescent="0.3">
      <c r="A577" s="157" t="s">
        <v>3</v>
      </c>
      <c r="B577" s="158">
        <v>2002</v>
      </c>
      <c r="C577" s="188">
        <v>123554.36000000002</v>
      </c>
      <c r="D577" s="188">
        <v>290133.24</v>
      </c>
      <c r="E577" s="188">
        <v>277573.06</v>
      </c>
      <c r="F577" s="188">
        <v>3193918.4499999997</v>
      </c>
      <c r="G577" s="188">
        <v>3181358.27</v>
      </c>
      <c r="H577" s="187">
        <f t="shared" si="18"/>
        <v>2780230.85</v>
      </c>
    </row>
    <row r="578" spans="1:9" ht="14.4" x14ac:dyDescent="0.3">
      <c r="A578" s="157" t="s">
        <v>3</v>
      </c>
      <c r="B578" s="158">
        <v>2003</v>
      </c>
      <c r="C578" s="188">
        <v>675482.33</v>
      </c>
      <c r="D578" s="188">
        <v>643344.93000000017</v>
      </c>
      <c r="E578" s="188">
        <v>576083.55000000005</v>
      </c>
      <c r="F578" s="188">
        <v>2967994.43</v>
      </c>
      <c r="G578" s="188">
        <v>2900733.05</v>
      </c>
      <c r="H578" s="187">
        <f t="shared" si="18"/>
        <v>1649167.17</v>
      </c>
    </row>
    <row r="579" spans="1:9" ht="14.4" x14ac:dyDescent="0.3">
      <c r="A579" s="157" t="s">
        <v>3</v>
      </c>
      <c r="B579" s="158">
        <v>2004</v>
      </c>
      <c r="C579" s="188">
        <v>288835.65000000002</v>
      </c>
      <c r="D579" s="188">
        <v>876289.71000000008</v>
      </c>
      <c r="E579" s="188">
        <v>969586.90000000014</v>
      </c>
      <c r="F579" s="188">
        <v>1948403.1199999999</v>
      </c>
      <c r="G579" s="188">
        <v>2041700.3100000003</v>
      </c>
      <c r="H579" s="187">
        <f t="shared" si="18"/>
        <v>783277.75999999966</v>
      </c>
    </row>
    <row r="580" spans="1:9" ht="14.4" x14ac:dyDescent="0.3">
      <c r="A580" s="157" t="s">
        <v>3</v>
      </c>
      <c r="B580" s="158">
        <v>2005</v>
      </c>
      <c r="C580" s="188">
        <v>463039.24</v>
      </c>
      <c r="D580" s="188">
        <v>697634.33000000007</v>
      </c>
      <c r="E580" s="188">
        <v>873628.28</v>
      </c>
      <c r="F580" s="188">
        <v>6450054.2500000009</v>
      </c>
      <c r="G580" s="188">
        <v>6626048.2000000011</v>
      </c>
      <c r="H580" s="187">
        <f t="shared" si="18"/>
        <v>5289380.6800000006</v>
      </c>
    </row>
    <row r="581" spans="1:9" ht="14.4" x14ac:dyDescent="0.3">
      <c r="A581" s="157" t="s">
        <v>3</v>
      </c>
      <c r="B581" s="158">
        <v>2006</v>
      </c>
      <c r="C581" s="188">
        <v>1143652.01</v>
      </c>
      <c r="D581" s="188">
        <v>1397185.5</v>
      </c>
      <c r="E581" s="188">
        <v>2389368.41</v>
      </c>
      <c r="F581" s="188">
        <v>11596800.140000002</v>
      </c>
      <c r="G581" s="188">
        <v>12588983.050000001</v>
      </c>
      <c r="H581" s="187">
        <f t="shared" si="18"/>
        <v>9055962.6300000027</v>
      </c>
    </row>
    <row r="582" spans="1:9" ht="14.4" x14ac:dyDescent="0.3">
      <c r="A582" s="157" t="s">
        <v>3</v>
      </c>
      <c r="B582" s="158">
        <v>2007</v>
      </c>
      <c r="C582" s="188">
        <v>475675.70999999996</v>
      </c>
      <c r="D582" s="188">
        <v>1652674.22</v>
      </c>
      <c r="E582" s="188">
        <v>2162470.46</v>
      </c>
      <c r="F582" s="188">
        <v>12183160.799999999</v>
      </c>
      <c r="G582" s="188">
        <v>12692957.039999997</v>
      </c>
      <c r="H582" s="187">
        <f t="shared" si="18"/>
        <v>10054810.869999997</v>
      </c>
    </row>
    <row r="583" spans="1:9" ht="14.4" x14ac:dyDescent="0.3">
      <c r="A583" s="157" t="s">
        <v>3</v>
      </c>
      <c r="B583" s="158">
        <v>2008</v>
      </c>
      <c r="C583" s="188">
        <v>1615603.8199999998</v>
      </c>
      <c r="D583" s="188">
        <v>4128011.1400000006</v>
      </c>
      <c r="E583" s="188">
        <v>4907476.419999999</v>
      </c>
      <c r="F583" s="188">
        <v>19449126.280000001</v>
      </c>
      <c r="G583" s="188">
        <v>20228591.560000002</v>
      </c>
      <c r="H583" s="187">
        <f t="shared" si="18"/>
        <v>13705511.32</v>
      </c>
    </row>
    <row r="584" spans="1:9" ht="14.4" x14ac:dyDescent="0.3">
      <c r="A584" s="157" t="s">
        <v>3</v>
      </c>
      <c r="B584" s="158">
        <v>2009</v>
      </c>
      <c r="C584" s="188">
        <v>2985276.71</v>
      </c>
      <c r="D584" s="188">
        <v>4740830.6599999992</v>
      </c>
      <c r="E584" s="188">
        <v>5514445.0999999996</v>
      </c>
      <c r="F584" s="188">
        <v>20585590.259999998</v>
      </c>
      <c r="G584" s="188">
        <v>21359204.699999996</v>
      </c>
      <c r="H584" s="187">
        <f t="shared" si="18"/>
        <v>12859482.889999997</v>
      </c>
    </row>
    <row r="585" spans="1:9" ht="14.4" x14ac:dyDescent="0.3">
      <c r="A585" s="157" t="s">
        <v>3</v>
      </c>
      <c r="B585" s="158">
        <v>2010</v>
      </c>
      <c r="C585" s="188">
        <v>2969802.75</v>
      </c>
      <c r="D585" s="188">
        <v>7560296.2899999991</v>
      </c>
      <c r="E585" s="188">
        <v>9113723.5099999998</v>
      </c>
      <c r="F585" s="188">
        <v>31289936.260000002</v>
      </c>
      <c r="G585" s="188">
        <v>32843363.480000004</v>
      </c>
      <c r="H585" s="187">
        <f t="shared" si="18"/>
        <v>20759837.220000003</v>
      </c>
    </row>
    <row r="586" spans="1:9" ht="14.4" x14ac:dyDescent="0.3">
      <c r="A586" s="157" t="s">
        <v>3</v>
      </c>
      <c r="B586" s="158">
        <v>2011</v>
      </c>
      <c r="C586" s="188">
        <v>5029235.9300000006</v>
      </c>
      <c r="D586" s="188">
        <v>7692340.5299999993</v>
      </c>
      <c r="E586" s="188">
        <v>9245381.2100000009</v>
      </c>
      <c r="F586" s="188">
        <v>30607237.859999999</v>
      </c>
      <c r="G586" s="188">
        <v>32160278.539999999</v>
      </c>
      <c r="H586" s="187">
        <f t="shared" si="18"/>
        <v>17885661.399999999</v>
      </c>
    </row>
    <row r="587" spans="1:9" ht="14.4" x14ac:dyDescent="0.3">
      <c r="A587" s="157" t="s">
        <v>3</v>
      </c>
      <c r="B587" s="158">
        <v>2012</v>
      </c>
      <c r="C587" s="188">
        <v>7161402.3600000003</v>
      </c>
      <c r="D587" s="188">
        <v>10819620.619999999</v>
      </c>
      <c r="E587" s="188">
        <v>10020062.859999999</v>
      </c>
      <c r="F587" s="188">
        <v>39347468.389999993</v>
      </c>
      <c r="G587" s="188">
        <v>38547910.629999988</v>
      </c>
      <c r="H587" s="187">
        <f t="shared" si="18"/>
        <v>21366445.409999996</v>
      </c>
    </row>
    <row r="588" spans="1:9" ht="14.4" x14ac:dyDescent="0.3">
      <c r="A588" s="157" t="s">
        <v>3</v>
      </c>
      <c r="B588" s="158">
        <v>2013</v>
      </c>
      <c r="C588" s="188">
        <v>9627070.4000000004</v>
      </c>
      <c r="D588" s="188">
        <v>17493667.960000001</v>
      </c>
      <c r="E588" s="188">
        <v>17535075.099999998</v>
      </c>
      <c r="F588" s="188">
        <v>40081969.829999998</v>
      </c>
      <c r="G588" s="188">
        <v>40123376.969999999</v>
      </c>
      <c r="H588" s="187">
        <f t="shared" si="18"/>
        <v>12961231.469999997</v>
      </c>
    </row>
    <row r="589" spans="1:9" ht="14.4" x14ac:dyDescent="0.3">
      <c r="A589" s="157" t="s">
        <v>3</v>
      </c>
      <c r="B589" s="158">
        <v>2014</v>
      </c>
      <c r="C589" s="188">
        <v>7488205.4299999997</v>
      </c>
      <c r="D589" s="188">
        <v>15422103.6</v>
      </c>
      <c r="E589" s="188">
        <v>16127424.820000004</v>
      </c>
      <c r="F589" s="188">
        <v>30086717.910000008</v>
      </c>
      <c r="G589" s="188">
        <v>30792039.129999995</v>
      </c>
      <c r="H589" s="187">
        <f t="shared" si="18"/>
        <v>7176408.8800000083</v>
      </c>
    </row>
    <row r="590" spans="1:9" ht="14.4" x14ac:dyDescent="0.3">
      <c r="A590" s="157" t="s">
        <v>3</v>
      </c>
      <c r="B590" s="158">
        <v>2015</v>
      </c>
      <c r="C590" s="188">
        <v>2061422.49</v>
      </c>
      <c r="D590" s="188">
        <v>6334160.0200000014</v>
      </c>
      <c r="E590" s="188">
        <v>6439382.2600000026</v>
      </c>
      <c r="F590" s="188">
        <v>9757953.9800000023</v>
      </c>
      <c r="G590" s="188">
        <v>9863176.2199999988</v>
      </c>
      <c r="H590" s="187">
        <f t="shared" si="18"/>
        <v>1362371.4700000009</v>
      </c>
    </row>
    <row r="591" spans="1:9" ht="14.4" x14ac:dyDescent="0.3">
      <c r="A591" s="157" t="s">
        <v>4</v>
      </c>
      <c r="B591" s="158">
        <v>1995</v>
      </c>
      <c r="C591" s="186">
        <v>31151446.559999999</v>
      </c>
      <c r="D591" s="186">
        <v>31204774.290000003</v>
      </c>
      <c r="E591" s="186">
        <v>39432873.999999993</v>
      </c>
      <c r="F591" s="186">
        <f>$I591+$C591+D591</f>
        <v>499715220.85000002</v>
      </c>
      <c r="G591" s="186">
        <f>$I591+$C591+E591</f>
        <v>507943320.56</v>
      </c>
      <c r="H591" s="187">
        <f t="shared" si="18"/>
        <v>437359000</v>
      </c>
      <c r="I591" s="43">
        <f>VLOOKUP(A591,$L$3:$N$39,3,0)*1000</f>
        <v>437359000</v>
      </c>
    </row>
    <row r="592" spans="1:9" ht="14.4" x14ac:dyDescent="0.3">
      <c r="A592" s="157" t="s">
        <v>4</v>
      </c>
      <c r="B592" s="158">
        <v>1996</v>
      </c>
      <c r="C592" s="188">
        <v>504487.74000000005</v>
      </c>
      <c r="D592" s="188">
        <v>945223.53</v>
      </c>
      <c r="E592" s="188">
        <v>1052257.57</v>
      </c>
      <c r="F592" s="188">
        <v>44968747.649999991</v>
      </c>
      <c r="G592" s="188">
        <v>45075781.689999998</v>
      </c>
      <c r="H592" s="187">
        <f t="shared" si="18"/>
        <v>43519036.379999988</v>
      </c>
    </row>
    <row r="593" spans="1:8" ht="14.4" x14ac:dyDescent="0.3">
      <c r="A593" s="157" t="s">
        <v>4</v>
      </c>
      <c r="B593" s="158">
        <v>1997</v>
      </c>
      <c r="C593" s="188">
        <v>632834.67000000004</v>
      </c>
      <c r="D593" s="188">
        <v>454838.99</v>
      </c>
      <c r="E593" s="188">
        <v>523243.39</v>
      </c>
      <c r="F593" s="188">
        <v>21999826.459999997</v>
      </c>
      <c r="G593" s="188">
        <v>22068230.859999996</v>
      </c>
      <c r="H593" s="187">
        <f t="shared" si="18"/>
        <v>20912152.799999997</v>
      </c>
    </row>
    <row r="594" spans="1:8" ht="14.4" x14ac:dyDescent="0.3">
      <c r="A594" s="157" t="s">
        <v>4</v>
      </c>
      <c r="B594" s="158">
        <v>1998</v>
      </c>
      <c r="C594" s="188">
        <v>456834.52</v>
      </c>
      <c r="D594" s="188">
        <v>1266348.8</v>
      </c>
      <c r="E594" s="188">
        <v>1317301.1599999999</v>
      </c>
      <c r="F594" s="188">
        <v>40786810.470000006</v>
      </c>
      <c r="G594" s="188">
        <v>40837762.830000006</v>
      </c>
      <c r="H594" s="187">
        <f t="shared" si="18"/>
        <v>39063627.150000006</v>
      </c>
    </row>
    <row r="595" spans="1:8" ht="14.4" x14ac:dyDescent="0.3">
      <c r="A595" s="157" t="s">
        <v>4</v>
      </c>
      <c r="B595" s="158">
        <v>1999</v>
      </c>
      <c r="C595" s="188">
        <v>688652.36</v>
      </c>
      <c r="D595" s="188">
        <v>1306563.9100000001</v>
      </c>
      <c r="E595" s="188">
        <v>8485728.1300000008</v>
      </c>
      <c r="F595" s="188">
        <v>43399807.829999998</v>
      </c>
      <c r="G595" s="188">
        <v>50578972.049999997</v>
      </c>
      <c r="H595" s="187">
        <f t="shared" si="18"/>
        <v>41404591.560000002</v>
      </c>
    </row>
    <row r="596" spans="1:8" ht="14.4" x14ac:dyDescent="0.3">
      <c r="A596" s="157" t="s">
        <v>4</v>
      </c>
      <c r="B596" s="158">
        <v>2000</v>
      </c>
      <c r="C596" s="188">
        <v>975007.7</v>
      </c>
      <c r="D596" s="188">
        <v>173816.97999999998</v>
      </c>
      <c r="E596" s="188">
        <v>475817.09</v>
      </c>
      <c r="F596" s="188">
        <v>62153047.610000007</v>
      </c>
      <c r="G596" s="188">
        <v>62455047.720000006</v>
      </c>
      <c r="H596" s="187">
        <f t="shared" si="18"/>
        <v>61004222.930000007</v>
      </c>
    </row>
    <row r="597" spans="1:8" ht="14.4" x14ac:dyDescent="0.3">
      <c r="A597" s="157" t="s">
        <v>4</v>
      </c>
      <c r="B597" s="158">
        <v>2001</v>
      </c>
      <c r="C597" s="188">
        <v>882022.65</v>
      </c>
      <c r="D597" s="188">
        <v>818557.49</v>
      </c>
      <c r="E597" s="188">
        <v>1002481.71</v>
      </c>
      <c r="F597" s="188">
        <v>36534170.210000001</v>
      </c>
      <c r="G597" s="188">
        <v>36718094.43</v>
      </c>
      <c r="H597" s="187">
        <f t="shared" si="18"/>
        <v>34833590.07</v>
      </c>
    </row>
    <row r="598" spans="1:8" ht="14.4" x14ac:dyDescent="0.3">
      <c r="A598" s="157" t="s">
        <v>4</v>
      </c>
      <c r="B598" s="158">
        <v>2002</v>
      </c>
      <c r="C598" s="188">
        <v>865670.46</v>
      </c>
      <c r="D598" s="188">
        <v>360427.29999999993</v>
      </c>
      <c r="E598" s="188">
        <v>360427.29999999993</v>
      </c>
      <c r="F598" s="188">
        <v>24622272.829999998</v>
      </c>
      <c r="G598" s="188">
        <v>24622272.829999998</v>
      </c>
      <c r="H598" s="187">
        <f t="shared" si="18"/>
        <v>23396175.069999997</v>
      </c>
    </row>
    <row r="599" spans="1:8" ht="14.4" x14ac:dyDescent="0.3">
      <c r="A599" s="157" t="s">
        <v>4</v>
      </c>
      <c r="B599" s="158">
        <v>2003</v>
      </c>
      <c r="C599" s="188">
        <v>189857.73</v>
      </c>
      <c r="D599" s="188">
        <v>55930.270000000004</v>
      </c>
      <c r="E599" s="188">
        <v>55930.270000000004</v>
      </c>
      <c r="F599" s="188">
        <v>4774710.54</v>
      </c>
      <c r="G599" s="188">
        <v>4774710.54</v>
      </c>
      <c r="H599" s="187">
        <f t="shared" si="18"/>
        <v>4528922.54</v>
      </c>
    </row>
    <row r="600" spans="1:8" ht="14.4" x14ac:dyDescent="0.3">
      <c r="A600" s="157" t="s">
        <v>4</v>
      </c>
      <c r="B600" s="158">
        <v>2004</v>
      </c>
      <c r="C600" s="188">
        <v>44959.469999999994</v>
      </c>
      <c r="D600" s="188">
        <v>7768.28</v>
      </c>
      <c r="E600" s="188">
        <v>7768.28</v>
      </c>
      <c r="F600" s="188">
        <v>202097.39</v>
      </c>
      <c r="G600" s="188">
        <v>202097.39</v>
      </c>
      <c r="H600" s="187">
        <f t="shared" si="18"/>
        <v>149369.64000000001</v>
      </c>
    </row>
    <row r="601" spans="1:8" ht="14.4" x14ac:dyDescent="0.3">
      <c r="A601" s="157" t="s">
        <v>4</v>
      </c>
      <c r="B601" s="158">
        <v>2005</v>
      </c>
      <c r="C601" s="188"/>
      <c r="D601" s="188"/>
      <c r="E601" s="188"/>
      <c r="F601" s="188"/>
      <c r="G601" s="188"/>
      <c r="H601" s="187">
        <f t="shared" si="18"/>
        <v>0</v>
      </c>
    </row>
    <row r="602" spans="1:8" ht="14.4" x14ac:dyDescent="0.3">
      <c r="A602" s="157" t="s">
        <v>4</v>
      </c>
      <c r="B602" s="158">
        <v>2006</v>
      </c>
      <c r="C602" s="188"/>
      <c r="D602" s="188"/>
      <c r="E602" s="188"/>
      <c r="F602" s="188"/>
      <c r="G602" s="188"/>
      <c r="H602" s="187">
        <f t="shared" si="18"/>
        <v>0</v>
      </c>
    </row>
    <row r="603" spans="1:8" ht="14.4" x14ac:dyDescent="0.3">
      <c r="A603" s="157" t="s">
        <v>4</v>
      </c>
      <c r="B603" s="158">
        <v>2007</v>
      </c>
      <c r="C603" s="186"/>
      <c r="D603" s="186"/>
      <c r="E603" s="186"/>
      <c r="F603" s="186"/>
      <c r="G603" s="186"/>
      <c r="H603" s="187">
        <f t="shared" si="18"/>
        <v>0</v>
      </c>
    </row>
    <row r="604" spans="1:8" ht="14.4" x14ac:dyDescent="0.3">
      <c r="A604" s="157" t="s">
        <v>4</v>
      </c>
      <c r="B604" s="158">
        <v>2008</v>
      </c>
      <c r="C604" s="186"/>
      <c r="D604" s="186"/>
      <c r="E604" s="186"/>
      <c r="F604" s="186"/>
      <c r="G604" s="186"/>
      <c r="H604" s="187">
        <f t="shared" si="18"/>
        <v>0</v>
      </c>
    </row>
    <row r="605" spans="1:8" ht="14.4" x14ac:dyDescent="0.3">
      <c r="A605" s="157" t="s">
        <v>4</v>
      </c>
      <c r="B605" s="158">
        <v>2009</v>
      </c>
      <c r="C605" s="186"/>
      <c r="D605" s="186"/>
      <c r="E605" s="186"/>
      <c r="F605" s="186"/>
      <c r="G605" s="186"/>
      <c r="H605" s="187">
        <f t="shared" si="18"/>
        <v>0</v>
      </c>
    </row>
    <row r="606" spans="1:8" ht="14.4" x14ac:dyDescent="0.3">
      <c r="A606" s="157" t="s">
        <v>4</v>
      </c>
      <c r="B606" s="158">
        <v>2010</v>
      </c>
      <c r="C606" s="186"/>
      <c r="D606" s="186"/>
      <c r="E606" s="186"/>
      <c r="F606" s="186"/>
      <c r="G606" s="186"/>
      <c r="H606" s="187">
        <f t="shared" si="18"/>
        <v>0</v>
      </c>
    </row>
    <row r="607" spans="1:8" ht="14.4" x14ac:dyDescent="0.3">
      <c r="A607" s="157" t="s">
        <v>4</v>
      </c>
      <c r="B607" s="158">
        <v>2011</v>
      </c>
      <c r="C607" s="186"/>
      <c r="D607" s="186"/>
      <c r="E607" s="186"/>
      <c r="F607" s="186"/>
      <c r="G607" s="186"/>
      <c r="H607" s="187">
        <f t="shared" si="18"/>
        <v>0</v>
      </c>
    </row>
    <row r="608" spans="1:8" ht="14.4" x14ac:dyDescent="0.3">
      <c r="A608" s="157" t="s">
        <v>4</v>
      </c>
      <c r="B608" s="158">
        <v>2012</v>
      </c>
      <c r="C608" s="188"/>
      <c r="D608" s="188"/>
      <c r="E608" s="188"/>
      <c r="F608" s="188"/>
      <c r="G608" s="188"/>
      <c r="H608" s="187">
        <f t="shared" si="18"/>
        <v>0</v>
      </c>
    </row>
    <row r="609" spans="1:9" ht="14.4" x14ac:dyDescent="0.3">
      <c r="A609" s="157" t="s">
        <v>4</v>
      </c>
      <c r="B609" s="158">
        <v>2013</v>
      </c>
      <c r="C609" s="186">
        <v>0</v>
      </c>
      <c r="D609" s="186">
        <v>0</v>
      </c>
      <c r="E609" s="186">
        <v>0</v>
      </c>
      <c r="F609" s="186">
        <v>8678.68</v>
      </c>
      <c r="G609" s="186">
        <v>8678.68</v>
      </c>
      <c r="H609" s="187">
        <f t="shared" si="18"/>
        <v>8678.68</v>
      </c>
    </row>
    <row r="610" spans="1:9" ht="14.4" x14ac:dyDescent="0.3">
      <c r="A610" s="157" t="s">
        <v>4</v>
      </c>
      <c r="B610" s="158">
        <v>2014</v>
      </c>
      <c r="C610" s="186">
        <v>0</v>
      </c>
      <c r="D610" s="186">
        <v>3.0000000000000002E-2</v>
      </c>
      <c r="E610" s="186">
        <v>0</v>
      </c>
      <c r="F610" s="186">
        <v>4514.6699999999992</v>
      </c>
      <c r="G610" s="186">
        <v>4514.6399999999994</v>
      </c>
      <c r="H610" s="187">
        <f t="shared" si="18"/>
        <v>4514.6399999999994</v>
      </c>
    </row>
    <row r="611" spans="1:9" ht="14.4" x14ac:dyDescent="0.3">
      <c r="A611" s="157" t="s">
        <v>4</v>
      </c>
      <c r="B611" s="158">
        <v>2015</v>
      </c>
      <c r="C611" s="188">
        <v>3.0000000000000002E-2</v>
      </c>
      <c r="D611" s="188">
        <v>1.8</v>
      </c>
      <c r="E611" s="188">
        <v>1.83</v>
      </c>
      <c r="F611" s="188">
        <v>576.69000000000005</v>
      </c>
      <c r="G611" s="188">
        <v>576.72</v>
      </c>
      <c r="H611" s="187">
        <f t="shared" si="18"/>
        <v>574.86000000000013</v>
      </c>
    </row>
    <row r="612" spans="1:9" ht="14.4" x14ac:dyDescent="0.3">
      <c r="A612" s="157" t="s">
        <v>5</v>
      </c>
      <c r="B612" s="158">
        <v>1995</v>
      </c>
      <c r="C612" s="186">
        <v>13966619.67</v>
      </c>
      <c r="D612" s="186">
        <v>10038983.910000002</v>
      </c>
      <c r="E612" s="186">
        <v>11042847.02</v>
      </c>
      <c r="F612" s="186">
        <f>$I612+$C612+D612</f>
        <v>215038603.57999998</v>
      </c>
      <c r="G612" s="186">
        <f>$I612+$C612+E612</f>
        <v>216042466.69</v>
      </c>
      <c r="H612" s="187">
        <f t="shared" si="18"/>
        <v>191033000</v>
      </c>
      <c r="I612" s="43">
        <f>VLOOKUP(A612,$L$3:$N$39,3,0)*1000</f>
        <v>191033000</v>
      </c>
    </row>
    <row r="613" spans="1:9" ht="14.4" x14ac:dyDescent="0.3">
      <c r="A613" s="157" t="s">
        <v>5</v>
      </c>
      <c r="B613" s="158">
        <v>1996</v>
      </c>
      <c r="C613" s="188">
        <v>6875857</v>
      </c>
      <c r="D613" s="188">
        <v>2567823.96</v>
      </c>
      <c r="E613" s="188">
        <v>2856289.46</v>
      </c>
      <c r="F613" s="188">
        <v>301628891.35000002</v>
      </c>
      <c r="G613" s="188">
        <v>301917356.85000002</v>
      </c>
      <c r="H613" s="187">
        <f t="shared" si="18"/>
        <v>292185210.39000005</v>
      </c>
    </row>
    <row r="614" spans="1:9" ht="14.4" x14ac:dyDescent="0.3">
      <c r="A614" s="157" t="s">
        <v>5</v>
      </c>
      <c r="B614" s="158">
        <v>1997</v>
      </c>
      <c r="C614" s="188">
        <v>8048417.3099999996</v>
      </c>
      <c r="D614" s="188">
        <v>6607535.3700000001</v>
      </c>
      <c r="E614" s="188">
        <v>7280222.0099999998</v>
      </c>
      <c r="F614" s="188">
        <v>456956902.72999996</v>
      </c>
      <c r="G614" s="188">
        <v>457629589.37</v>
      </c>
      <c r="H614" s="187">
        <f t="shared" si="18"/>
        <v>442300950.04999995</v>
      </c>
    </row>
    <row r="615" spans="1:9" ht="14.4" x14ac:dyDescent="0.3">
      <c r="A615" s="157" t="s">
        <v>5</v>
      </c>
      <c r="B615" s="158">
        <v>1998</v>
      </c>
      <c r="C615" s="188">
        <v>16492698.800000001</v>
      </c>
      <c r="D615" s="188">
        <v>8848680.2699999996</v>
      </c>
      <c r="E615" s="188">
        <v>9677130.25</v>
      </c>
      <c r="F615" s="188">
        <v>640623450.76000011</v>
      </c>
      <c r="G615" s="188">
        <v>641451900.74000001</v>
      </c>
      <c r="H615" s="187">
        <f t="shared" si="18"/>
        <v>615282071.69000018</v>
      </c>
    </row>
    <row r="616" spans="1:9" ht="14.4" x14ac:dyDescent="0.3">
      <c r="A616" s="157" t="s">
        <v>5</v>
      </c>
      <c r="B616" s="158">
        <v>1999</v>
      </c>
      <c r="C616" s="188">
        <v>21853047.66</v>
      </c>
      <c r="D616" s="188">
        <v>8950238.620000001</v>
      </c>
      <c r="E616" s="188">
        <v>9842250.1500000022</v>
      </c>
      <c r="F616" s="188">
        <v>909922226.97000003</v>
      </c>
      <c r="G616" s="188">
        <v>910814238.5</v>
      </c>
      <c r="H616" s="187">
        <f t="shared" si="18"/>
        <v>879118940.69000006</v>
      </c>
    </row>
    <row r="617" spans="1:9" ht="14.4" x14ac:dyDescent="0.3">
      <c r="A617" s="157" t="s">
        <v>5</v>
      </c>
      <c r="B617" s="158">
        <v>2000</v>
      </c>
      <c r="C617" s="188">
        <v>8950978.0099999998</v>
      </c>
      <c r="D617" s="188">
        <v>15103897.670000002</v>
      </c>
      <c r="E617" s="188">
        <v>16764155.100000001</v>
      </c>
      <c r="F617" s="188">
        <v>541415819.05999994</v>
      </c>
      <c r="G617" s="188">
        <v>543076076.49000001</v>
      </c>
      <c r="H617" s="187">
        <f t="shared" si="18"/>
        <v>517360943.37999994</v>
      </c>
    </row>
    <row r="618" spans="1:9" ht="14.4" x14ac:dyDescent="0.3">
      <c r="A618" s="157" t="s">
        <v>5</v>
      </c>
      <c r="B618" s="158">
        <v>2001</v>
      </c>
      <c r="C618" s="188">
        <v>10567149.699999999</v>
      </c>
      <c r="D618" s="188">
        <v>8210866.8399999999</v>
      </c>
      <c r="E618" s="188">
        <v>9165297.9299999997</v>
      </c>
      <c r="F618" s="188">
        <v>679204334.26999998</v>
      </c>
      <c r="G618" s="188">
        <v>680158765.3599999</v>
      </c>
      <c r="H618" s="187">
        <f t="shared" si="18"/>
        <v>660426317.7299999</v>
      </c>
    </row>
    <row r="619" spans="1:9" ht="14.4" x14ac:dyDescent="0.3">
      <c r="A619" s="157" t="s">
        <v>5</v>
      </c>
      <c r="B619" s="158">
        <v>2002</v>
      </c>
      <c r="C619" s="188">
        <v>2438506.7999999998</v>
      </c>
      <c r="D619" s="188">
        <v>5737633.7599999998</v>
      </c>
      <c r="E619" s="188">
        <v>6322378.1600000001</v>
      </c>
      <c r="F619" s="188">
        <v>294799264.04000002</v>
      </c>
      <c r="G619" s="188">
        <v>295384008.44</v>
      </c>
      <c r="H619" s="187">
        <f t="shared" si="18"/>
        <v>286623123.48000002</v>
      </c>
    </row>
    <row r="620" spans="1:9" ht="14.4" x14ac:dyDescent="0.3">
      <c r="A620" s="157" t="s">
        <v>5</v>
      </c>
      <c r="B620" s="158">
        <v>2003</v>
      </c>
      <c r="C620" s="188">
        <v>2767692.91</v>
      </c>
      <c r="D620" s="188">
        <v>4258562.1099999994</v>
      </c>
      <c r="E620" s="188">
        <v>4693816.54</v>
      </c>
      <c r="F620" s="188">
        <v>226399371.75999999</v>
      </c>
      <c r="G620" s="188">
        <v>226834626.19</v>
      </c>
      <c r="H620" s="187">
        <f t="shared" si="18"/>
        <v>219373116.73999998</v>
      </c>
    </row>
    <row r="621" spans="1:9" ht="14.4" x14ac:dyDescent="0.3">
      <c r="A621" s="157" t="s">
        <v>5</v>
      </c>
      <c r="B621" s="158">
        <v>2004</v>
      </c>
      <c r="C621" s="188">
        <v>424551</v>
      </c>
      <c r="D621" s="188">
        <v>641613.22</v>
      </c>
      <c r="E621" s="188">
        <v>710962.62</v>
      </c>
      <c r="F621" s="188">
        <v>26863191.620000001</v>
      </c>
      <c r="G621" s="188">
        <v>26932541.02</v>
      </c>
      <c r="H621" s="187">
        <f t="shared" ref="H621:H684" si="19">F621-D621-C621</f>
        <v>25797027.400000002</v>
      </c>
    </row>
    <row r="622" spans="1:9" ht="14.4" x14ac:dyDescent="0.3">
      <c r="A622" s="157" t="s">
        <v>5</v>
      </c>
      <c r="B622" s="158">
        <v>2005</v>
      </c>
      <c r="C622" s="188">
        <v>0</v>
      </c>
      <c r="D622" s="188">
        <v>348134.72000000003</v>
      </c>
      <c r="E622" s="188">
        <v>384259.24</v>
      </c>
      <c r="F622" s="188">
        <v>1085554.52</v>
      </c>
      <c r="G622" s="188">
        <v>1121679.04</v>
      </c>
      <c r="H622" s="187">
        <f t="shared" si="19"/>
        <v>737419.8</v>
      </c>
    </row>
    <row r="623" spans="1:9" ht="14.4" x14ac:dyDescent="0.3">
      <c r="A623" s="157" t="s">
        <v>5</v>
      </c>
      <c r="B623" s="158">
        <v>2006</v>
      </c>
      <c r="C623" s="188">
        <v>0</v>
      </c>
      <c r="D623" s="188">
        <v>57433.83</v>
      </c>
      <c r="E623" s="188">
        <v>63393.5</v>
      </c>
      <c r="F623" s="188">
        <v>320167.53000000003</v>
      </c>
      <c r="G623" s="188">
        <v>326127.2</v>
      </c>
      <c r="H623" s="187">
        <f t="shared" si="19"/>
        <v>262733.7</v>
      </c>
    </row>
    <row r="624" spans="1:9" ht="14.4" x14ac:dyDescent="0.3">
      <c r="A624" s="157" t="s">
        <v>5</v>
      </c>
      <c r="B624" s="158">
        <v>2007</v>
      </c>
      <c r="C624" s="188"/>
      <c r="D624" s="188"/>
      <c r="E624" s="188"/>
      <c r="F624" s="188"/>
      <c r="G624" s="188"/>
      <c r="H624" s="187">
        <f t="shared" si="19"/>
        <v>0</v>
      </c>
    </row>
    <row r="625" spans="1:9" ht="14.4" x14ac:dyDescent="0.3">
      <c r="A625" s="157" t="s">
        <v>5</v>
      </c>
      <c r="B625" s="158">
        <v>2008</v>
      </c>
      <c r="C625" s="188"/>
      <c r="D625" s="188"/>
      <c r="E625" s="188"/>
      <c r="F625" s="188"/>
      <c r="G625" s="188"/>
      <c r="H625" s="187">
        <f t="shared" si="19"/>
        <v>0</v>
      </c>
    </row>
    <row r="626" spans="1:9" ht="14.4" x14ac:dyDescent="0.3">
      <c r="A626" s="157" t="s">
        <v>5</v>
      </c>
      <c r="B626" s="158">
        <v>2009</v>
      </c>
      <c r="C626" s="186"/>
      <c r="D626" s="186"/>
      <c r="E626" s="186"/>
      <c r="F626" s="186"/>
      <c r="G626" s="186"/>
      <c r="H626" s="187">
        <f t="shared" si="19"/>
        <v>0</v>
      </c>
    </row>
    <row r="627" spans="1:9" ht="14.4" x14ac:dyDescent="0.3">
      <c r="A627" s="157" t="s">
        <v>5</v>
      </c>
      <c r="B627" s="158">
        <v>2010</v>
      </c>
      <c r="C627" s="186"/>
      <c r="D627" s="186"/>
      <c r="E627" s="186"/>
      <c r="F627" s="186"/>
      <c r="G627" s="186"/>
      <c r="H627" s="187">
        <f t="shared" si="19"/>
        <v>0</v>
      </c>
    </row>
    <row r="628" spans="1:9" ht="14.4" x14ac:dyDescent="0.3">
      <c r="A628" s="157" t="s">
        <v>5</v>
      </c>
      <c r="B628" s="158">
        <v>2011</v>
      </c>
      <c r="C628" s="186"/>
      <c r="D628" s="186"/>
      <c r="E628" s="186"/>
      <c r="F628" s="186"/>
      <c r="G628" s="186"/>
      <c r="H628" s="187">
        <f t="shared" si="19"/>
        <v>0</v>
      </c>
    </row>
    <row r="629" spans="1:9" ht="14.4" x14ac:dyDescent="0.3">
      <c r="A629" s="157" t="s">
        <v>5</v>
      </c>
      <c r="B629" s="158">
        <v>2012</v>
      </c>
      <c r="C629" s="186"/>
      <c r="D629" s="186"/>
      <c r="E629" s="186"/>
      <c r="F629" s="186"/>
      <c r="G629" s="186"/>
      <c r="H629" s="187">
        <f t="shared" si="19"/>
        <v>0</v>
      </c>
    </row>
    <row r="630" spans="1:9" ht="14.4" x14ac:dyDescent="0.3">
      <c r="A630" s="157" t="s">
        <v>5</v>
      </c>
      <c r="B630" s="158">
        <v>2013</v>
      </c>
      <c r="C630" s="186"/>
      <c r="D630" s="186"/>
      <c r="E630" s="186"/>
      <c r="F630" s="186"/>
      <c r="G630" s="186"/>
      <c r="H630" s="187">
        <f t="shared" si="19"/>
        <v>0</v>
      </c>
    </row>
    <row r="631" spans="1:9" ht="14.4" x14ac:dyDescent="0.3">
      <c r="A631" s="157" t="s">
        <v>5</v>
      </c>
      <c r="B631" s="158">
        <v>2014</v>
      </c>
      <c r="C631" s="186"/>
      <c r="D631" s="186"/>
      <c r="E631" s="186"/>
      <c r="F631" s="186"/>
      <c r="G631" s="186"/>
      <c r="H631" s="187">
        <f t="shared" si="19"/>
        <v>0</v>
      </c>
    </row>
    <row r="632" spans="1:9" ht="14.4" x14ac:dyDescent="0.3">
      <c r="A632" s="157" t="s">
        <v>5</v>
      </c>
      <c r="B632" s="158">
        <v>2015</v>
      </c>
      <c r="C632" s="186"/>
      <c r="D632" s="186"/>
      <c r="E632" s="186"/>
      <c r="F632" s="186"/>
      <c r="G632" s="186"/>
      <c r="H632" s="187">
        <f t="shared" si="19"/>
        <v>0</v>
      </c>
    </row>
    <row r="633" spans="1:9" ht="14.4" x14ac:dyDescent="0.3">
      <c r="A633" s="157" t="s">
        <v>230</v>
      </c>
      <c r="B633" s="158">
        <v>1995</v>
      </c>
      <c r="C633" s="186"/>
      <c r="D633" s="186"/>
      <c r="E633" s="186"/>
      <c r="F633" s="186">
        <f>$I633+$C633+D633</f>
        <v>803000</v>
      </c>
      <c r="G633" s="186">
        <f>$I633+$C633+E633</f>
        <v>803000</v>
      </c>
      <c r="H633" s="187">
        <f t="shared" si="19"/>
        <v>803000</v>
      </c>
      <c r="I633" s="43">
        <f>VLOOKUP(A633,$L$3:$N$39,3,0)*1000</f>
        <v>803000</v>
      </c>
    </row>
    <row r="634" spans="1:9" ht="14.4" x14ac:dyDescent="0.3">
      <c r="A634" s="157" t="s">
        <v>230</v>
      </c>
      <c r="B634" s="158">
        <v>1996</v>
      </c>
      <c r="C634" s="186"/>
      <c r="D634" s="186"/>
      <c r="E634" s="186"/>
      <c r="F634" s="186"/>
      <c r="G634" s="186"/>
      <c r="H634" s="187">
        <f t="shared" si="19"/>
        <v>0</v>
      </c>
    </row>
    <row r="635" spans="1:9" ht="14.4" x14ac:dyDescent="0.3">
      <c r="A635" s="157" t="s">
        <v>230</v>
      </c>
      <c r="B635" s="158">
        <v>1997</v>
      </c>
      <c r="C635" s="186"/>
      <c r="D635" s="186"/>
      <c r="E635" s="186"/>
      <c r="F635" s="186"/>
      <c r="G635" s="186"/>
      <c r="H635" s="187">
        <f t="shared" si="19"/>
        <v>0</v>
      </c>
    </row>
    <row r="636" spans="1:9" ht="14.4" x14ac:dyDescent="0.3">
      <c r="A636" s="157" t="s">
        <v>230</v>
      </c>
      <c r="B636" s="158">
        <v>1998</v>
      </c>
      <c r="C636" s="186"/>
      <c r="D636" s="186"/>
      <c r="E636" s="186"/>
      <c r="F636" s="186"/>
      <c r="G636" s="186"/>
      <c r="H636" s="187">
        <f t="shared" si="19"/>
        <v>0</v>
      </c>
    </row>
    <row r="637" spans="1:9" ht="14.4" x14ac:dyDescent="0.3">
      <c r="A637" s="157" t="s">
        <v>230</v>
      </c>
      <c r="B637" s="158">
        <v>1999</v>
      </c>
      <c r="C637" s="186"/>
      <c r="D637" s="186"/>
      <c r="E637" s="186"/>
      <c r="F637" s="186"/>
      <c r="G637" s="186"/>
      <c r="H637" s="187">
        <f t="shared" si="19"/>
        <v>0</v>
      </c>
    </row>
    <row r="638" spans="1:9" ht="14.4" x14ac:dyDescent="0.3">
      <c r="A638" s="157" t="s">
        <v>230</v>
      </c>
      <c r="B638" s="158">
        <v>2000</v>
      </c>
      <c r="C638" s="186"/>
      <c r="D638" s="186"/>
      <c r="E638" s="186"/>
      <c r="F638" s="186"/>
      <c r="G638" s="186"/>
      <c r="H638" s="187">
        <f t="shared" si="19"/>
        <v>0</v>
      </c>
    </row>
    <row r="639" spans="1:9" ht="14.4" x14ac:dyDescent="0.3">
      <c r="A639" s="157" t="s">
        <v>230</v>
      </c>
      <c r="B639" s="158">
        <v>2001</v>
      </c>
      <c r="C639" s="186"/>
      <c r="D639" s="186"/>
      <c r="E639" s="186"/>
      <c r="F639" s="186"/>
      <c r="G639" s="186"/>
      <c r="H639" s="187">
        <f t="shared" si="19"/>
        <v>0</v>
      </c>
    </row>
    <row r="640" spans="1:9" ht="14.4" x14ac:dyDescent="0.3">
      <c r="A640" s="157" t="s">
        <v>230</v>
      </c>
      <c r="B640" s="158">
        <v>2002</v>
      </c>
      <c r="C640" s="186"/>
      <c r="D640" s="186"/>
      <c r="E640" s="186"/>
      <c r="F640" s="186"/>
      <c r="G640" s="186"/>
      <c r="H640" s="187">
        <f t="shared" si="19"/>
        <v>0</v>
      </c>
    </row>
    <row r="641" spans="1:9" ht="14.4" x14ac:dyDescent="0.3">
      <c r="A641" s="157" t="s">
        <v>230</v>
      </c>
      <c r="B641" s="158">
        <v>2003</v>
      </c>
      <c r="C641" s="186"/>
      <c r="D641" s="186"/>
      <c r="E641" s="186"/>
      <c r="F641" s="186"/>
      <c r="G641" s="186"/>
      <c r="H641" s="187">
        <f t="shared" si="19"/>
        <v>0</v>
      </c>
    </row>
    <row r="642" spans="1:9" ht="14.4" x14ac:dyDescent="0.3">
      <c r="A642" s="157" t="s">
        <v>230</v>
      </c>
      <c r="B642" s="158">
        <v>2004</v>
      </c>
      <c r="C642" s="186"/>
      <c r="D642" s="186"/>
      <c r="E642" s="186"/>
      <c r="F642" s="186"/>
      <c r="G642" s="186"/>
      <c r="H642" s="187">
        <f t="shared" si="19"/>
        <v>0</v>
      </c>
    </row>
    <row r="643" spans="1:9" ht="14.4" x14ac:dyDescent="0.3">
      <c r="A643" s="157" t="s">
        <v>230</v>
      </c>
      <c r="B643" s="158">
        <v>2005</v>
      </c>
      <c r="C643" s="186"/>
      <c r="D643" s="186"/>
      <c r="E643" s="186"/>
      <c r="F643" s="186"/>
      <c r="G643" s="186"/>
      <c r="H643" s="187">
        <f t="shared" si="19"/>
        <v>0</v>
      </c>
    </row>
    <row r="644" spans="1:9" ht="14.4" x14ac:dyDescent="0.3">
      <c r="A644" s="157" t="s">
        <v>230</v>
      </c>
      <c r="B644" s="158">
        <v>2006</v>
      </c>
      <c r="C644" s="186"/>
      <c r="D644" s="186"/>
      <c r="E644" s="186"/>
      <c r="F644" s="186"/>
      <c r="G644" s="186"/>
      <c r="H644" s="187">
        <f t="shared" si="19"/>
        <v>0</v>
      </c>
    </row>
    <row r="645" spans="1:9" ht="14.4" x14ac:dyDescent="0.3">
      <c r="A645" s="157" t="s">
        <v>230</v>
      </c>
      <c r="B645" s="158">
        <v>2007</v>
      </c>
      <c r="C645" s="186">
        <v>0</v>
      </c>
      <c r="D645" s="186">
        <v>0</v>
      </c>
      <c r="E645" s="186">
        <v>0</v>
      </c>
      <c r="F645" s="186">
        <v>4421524.29</v>
      </c>
      <c r="G645" s="186">
        <v>4421524.29</v>
      </c>
      <c r="H645" s="187">
        <f t="shared" si="19"/>
        <v>4421524.29</v>
      </c>
    </row>
    <row r="646" spans="1:9" ht="14.4" x14ac:dyDescent="0.3">
      <c r="A646" s="157" t="s">
        <v>230</v>
      </c>
      <c r="B646" s="158">
        <v>2008</v>
      </c>
      <c r="C646" s="186">
        <v>0</v>
      </c>
      <c r="D646" s="186">
        <v>0</v>
      </c>
      <c r="E646" s="186">
        <v>0</v>
      </c>
      <c r="F646" s="186">
        <v>7034051.8599999994</v>
      </c>
      <c r="G646" s="186">
        <v>7034051.8599999994</v>
      </c>
      <c r="H646" s="187">
        <f t="shared" si="19"/>
        <v>7034051.8599999994</v>
      </c>
    </row>
    <row r="647" spans="1:9" ht="14.4" x14ac:dyDescent="0.3">
      <c r="A647" s="157" t="s">
        <v>230</v>
      </c>
      <c r="B647" s="158">
        <v>2009</v>
      </c>
      <c r="C647" s="188">
        <v>0</v>
      </c>
      <c r="D647" s="188">
        <v>-504.92</v>
      </c>
      <c r="E647" s="188">
        <v>-504.92</v>
      </c>
      <c r="F647" s="188">
        <v>7351996.6400000006</v>
      </c>
      <c r="G647" s="188">
        <v>7351996.6400000006</v>
      </c>
      <c r="H647" s="187">
        <f t="shared" si="19"/>
        <v>7352501.5600000005</v>
      </c>
    </row>
    <row r="648" spans="1:9" ht="14.4" x14ac:dyDescent="0.3">
      <c r="A648" s="157" t="s">
        <v>230</v>
      </c>
      <c r="B648" s="158">
        <v>2010</v>
      </c>
      <c r="C648" s="188"/>
      <c r="D648" s="188"/>
      <c r="E648" s="188"/>
      <c r="F648" s="188"/>
      <c r="G648" s="188"/>
      <c r="H648" s="187">
        <f t="shared" si="19"/>
        <v>0</v>
      </c>
    </row>
    <row r="649" spans="1:9" ht="14.4" x14ac:dyDescent="0.3">
      <c r="A649" s="157" t="s">
        <v>230</v>
      </c>
      <c r="B649" s="158">
        <v>2011</v>
      </c>
      <c r="C649" s="186">
        <v>0</v>
      </c>
      <c r="D649" s="186">
        <v>0</v>
      </c>
      <c r="E649" s="186">
        <v>380.88</v>
      </c>
      <c r="F649" s="186">
        <v>15933311.219999999</v>
      </c>
      <c r="G649" s="186">
        <v>15933692.1</v>
      </c>
      <c r="H649" s="187">
        <f t="shared" si="19"/>
        <v>15933311.219999999</v>
      </c>
    </row>
    <row r="650" spans="1:9" ht="14.4" x14ac:dyDescent="0.3">
      <c r="A650" s="157" t="s">
        <v>230</v>
      </c>
      <c r="B650" s="158">
        <v>2012</v>
      </c>
      <c r="C650" s="188">
        <v>0</v>
      </c>
      <c r="D650" s="188">
        <v>-13.39</v>
      </c>
      <c r="E650" s="188">
        <v>-371.59999999999997</v>
      </c>
      <c r="F650" s="188">
        <v>16050619.149999999</v>
      </c>
      <c r="G650" s="188">
        <v>16050260.940000001</v>
      </c>
      <c r="H650" s="187">
        <f t="shared" si="19"/>
        <v>16050632.539999999</v>
      </c>
    </row>
    <row r="651" spans="1:9" ht="14.4" x14ac:dyDescent="0.3">
      <c r="A651" s="157" t="s">
        <v>230</v>
      </c>
      <c r="B651" s="158">
        <v>2013</v>
      </c>
      <c r="C651" s="188">
        <v>0</v>
      </c>
      <c r="D651" s="188">
        <v>12282.74</v>
      </c>
      <c r="E651" s="188">
        <v>7757.409999999998</v>
      </c>
      <c r="F651" s="188">
        <v>20895373.199999999</v>
      </c>
      <c r="G651" s="188">
        <v>20890847.870000001</v>
      </c>
      <c r="H651" s="187">
        <f t="shared" si="19"/>
        <v>20883090.460000001</v>
      </c>
    </row>
    <row r="652" spans="1:9" ht="14.4" x14ac:dyDescent="0.3">
      <c r="A652" s="157" t="s">
        <v>230</v>
      </c>
      <c r="B652" s="158">
        <v>2014</v>
      </c>
      <c r="C652" s="188">
        <v>0</v>
      </c>
      <c r="D652" s="188">
        <v>270730.77</v>
      </c>
      <c r="E652" s="188">
        <v>-17329.109999999964</v>
      </c>
      <c r="F652" s="188">
        <v>31110911.520000003</v>
      </c>
      <c r="G652" s="188">
        <v>30822851.640000001</v>
      </c>
      <c r="H652" s="187">
        <f t="shared" si="19"/>
        <v>30840180.750000004</v>
      </c>
    </row>
    <row r="653" spans="1:9" ht="14.4" x14ac:dyDescent="0.3">
      <c r="A653" s="157" t="s">
        <v>230</v>
      </c>
      <c r="B653" s="158">
        <v>2015</v>
      </c>
      <c r="C653" s="188">
        <v>400001</v>
      </c>
      <c r="D653" s="188">
        <v>14807944.33</v>
      </c>
      <c r="E653" s="188">
        <v>14805207.42</v>
      </c>
      <c r="F653" s="188">
        <v>45778327.390000001</v>
      </c>
      <c r="G653" s="188">
        <v>45775590.479999997</v>
      </c>
      <c r="H653" s="187">
        <f t="shared" si="19"/>
        <v>30570382.060000002</v>
      </c>
    </row>
    <row r="654" spans="1:9" ht="14.4" x14ac:dyDescent="0.3">
      <c r="A654" s="157" t="s">
        <v>6</v>
      </c>
      <c r="B654" s="158">
        <v>1995</v>
      </c>
      <c r="C654" s="186">
        <v>5299732</v>
      </c>
      <c r="D654" s="186">
        <v>191987.71</v>
      </c>
      <c r="E654" s="186">
        <v>187062.71</v>
      </c>
      <c r="F654" s="186">
        <f>$I654+$C654+D654</f>
        <v>15927719.710000001</v>
      </c>
      <c r="G654" s="186">
        <f>$I654+$C654+E654</f>
        <v>15922794.710000001</v>
      </c>
      <c r="H654" s="187">
        <f t="shared" si="19"/>
        <v>10436000</v>
      </c>
      <c r="I654" s="43">
        <f>VLOOKUP(A654,$L$3:$N$39,3,0)*1000</f>
        <v>10436000</v>
      </c>
    </row>
    <row r="655" spans="1:9" ht="14.4" x14ac:dyDescent="0.3">
      <c r="A655" s="157" t="s">
        <v>6</v>
      </c>
      <c r="B655" s="158">
        <v>1996</v>
      </c>
      <c r="C655" s="188">
        <v>1000003</v>
      </c>
      <c r="D655" s="188">
        <v>-13916.919999999996</v>
      </c>
      <c r="E655" s="188">
        <v>-9413.369999999999</v>
      </c>
      <c r="F655" s="188">
        <v>1079340.4099999997</v>
      </c>
      <c r="G655" s="188">
        <v>1083843.96</v>
      </c>
      <c r="H655" s="187">
        <f t="shared" si="19"/>
        <v>93254.329999999609</v>
      </c>
    </row>
    <row r="656" spans="1:9" ht="14.4" x14ac:dyDescent="0.3">
      <c r="A656" s="157" t="s">
        <v>6</v>
      </c>
      <c r="B656" s="158">
        <v>1997</v>
      </c>
      <c r="C656" s="188">
        <v>8</v>
      </c>
      <c r="D656" s="188">
        <v>21948.61</v>
      </c>
      <c r="E656" s="188">
        <v>6858.3500000000022</v>
      </c>
      <c r="F656" s="188">
        <v>382672.10999999993</v>
      </c>
      <c r="G656" s="188">
        <v>367581.85</v>
      </c>
      <c r="H656" s="187">
        <f t="shared" si="19"/>
        <v>360715.49999999994</v>
      </c>
    </row>
    <row r="657" spans="1:8" ht="14.4" x14ac:dyDescent="0.3">
      <c r="A657" s="157" t="s">
        <v>6</v>
      </c>
      <c r="B657" s="158">
        <v>1998</v>
      </c>
      <c r="C657" s="188">
        <v>10185</v>
      </c>
      <c r="D657" s="188">
        <v>-154463.71000000002</v>
      </c>
      <c r="E657" s="188">
        <v>-180294.94000000006</v>
      </c>
      <c r="F657" s="188">
        <v>1452585.35</v>
      </c>
      <c r="G657" s="188">
        <v>1426754.12</v>
      </c>
      <c r="H657" s="187">
        <f t="shared" si="19"/>
        <v>1596864.06</v>
      </c>
    </row>
    <row r="658" spans="1:8" ht="14.4" x14ac:dyDescent="0.3">
      <c r="A658" s="157" t="s">
        <v>6</v>
      </c>
      <c r="B658" s="158">
        <v>1999</v>
      </c>
      <c r="C658" s="188">
        <v>180020</v>
      </c>
      <c r="D658" s="188">
        <v>-230978.46000000008</v>
      </c>
      <c r="E658" s="188">
        <v>71782.180000000008</v>
      </c>
      <c r="F658" s="188">
        <v>-1980628.5199999991</v>
      </c>
      <c r="G658" s="188">
        <v>-1677867.879999999</v>
      </c>
      <c r="H658" s="187">
        <f t="shared" si="19"/>
        <v>-1929670.0599999991</v>
      </c>
    </row>
    <row r="659" spans="1:8" ht="14.4" x14ac:dyDescent="0.3">
      <c r="A659" s="157" t="s">
        <v>6</v>
      </c>
      <c r="B659" s="158">
        <v>2000</v>
      </c>
      <c r="C659" s="188">
        <v>16033.01</v>
      </c>
      <c r="D659" s="188">
        <v>42580.09</v>
      </c>
      <c r="E659" s="188">
        <v>3785.26</v>
      </c>
      <c r="F659" s="188">
        <v>-1014689.2400000001</v>
      </c>
      <c r="G659" s="188">
        <v>-1053484.0699999998</v>
      </c>
      <c r="H659" s="187">
        <f t="shared" si="19"/>
        <v>-1073302.3400000001</v>
      </c>
    </row>
    <row r="660" spans="1:8" ht="14.4" x14ac:dyDescent="0.3">
      <c r="A660" s="157" t="s">
        <v>6</v>
      </c>
      <c r="B660" s="158">
        <v>2001</v>
      </c>
      <c r="C660" s="188">
        <v>34</v>
      </c>
      <c r="D660" s="188">
        <v>89234.959999999992</v>
      </c>
      <c r="E660" s="188">
        <v>3366.9000000000015</v>
      </c>
      <c r="F660" s="188">
        <v>91416507.038000003</v>
      </c>
      <c r="G660" s="188">
        <v>91330638.978</v>
      </c>
      <c r="H660" s="187">
        <f t="shared" si="19"/>
        <v>91327238.078000009</v>
      </c>
    </row>
    <row r="661" spans="1:8" ht="14.4" x14ac:dyDescent="0.3">
      <c r="A661" s="157" t="s">
        <v>6</v>
      </c>
      <c r="B661" s="158">
        <v>2002</v>
      </c>
      <c r="C661" s="188">
        <v>528440</v>
      </c>
      <c r="D661" s="188">
        <v>-104981.95</v>
      </c>
      <c r="E661" s="188">
        <v>-235777.26</v>
      </c>
      <c r="F661" s="188">
        <v>39885274.958000004</v>
      </c>
      <c r="G661" s="188">
        <v>39754479.648000002</v>
      </c>
      <c r="H661" s="187">
        <f t="shared" si="19"/>
        <v>39461816.908000007</v>
      </c>
    </row>
    <row r="662" spans="1:8" ht="14.4" x14ac:dyDescent="0.3">
      <c r="A662" s="157" t="s">
        <v>6</v>
      </c>
      <c r="B662" s="158">
        <v>2003</v>
      </c>
      <c r="C662" s="188">
        <v>40</v>
      </c>
      <c r="D662" s="188">
        <v>-245396.00000000003</v>
      </c>
      <c r="E662" s="188">
        <v>-458576.32</v>
      </c>
      <c r="F662" s="188">
        <v>104664869.2</v>
      </c>
      <c r="G662" s="188">
        <v>104451688.88</v>
      </c>
      <c r="H662" s="187">
        <f t="shared" si="19"/>
        <v>104910225.2</v>
      </c>
    </row>
    <row r="663" spans="1:8" ht="14.4" x14ac:dyDescent="0.3">
      <c r="A663" s="157" t="s">
        <v>6</v>
      </c>
      <c r="B663" s="158">
        <v>2004</v>
      </c>
      <c r="C663" s="188">
        <v>161306</v>
      </c>
      <c r="D663" s="188">
        <v>-295601.81999999995</v>
      </c>
      <c r="E663" s="188">
        <v>60538.64</v>
      </c>
      <c r="F663" s="188">
        <v>72351638.268999994</v>
      </c>
      <c r="G663" s="188">
        <v>72707778.729000002</v>
      </c>
      <c r="H663" s="187">
        <f t="shared" si="19"/>
        <v>72485934.088999987</v>
      </c>
    </row>
    <row r="664" spans="1:8" ht="14.4" x14ac:dyDescent="0.3">
      <c r="A664" s="157" t="s">
        <v>6</v>
      </c>
      <c r="B664" s="158">
        <v>2005</v>
      </c>
      <c r="C664" s="188">
        <v>1797767</v>
      </c>
      <c r="D664" s="188">
        <v>-101834.9299999997</v>
      </c>
      <c r="E664" s="188">
        <v>1236497.3100000005</v>
      </c>
      <c r="F664" s="188">
        <v>101527659.426</v>
      </c>
      <c r="G664" s="188">
        <v>102865991.66599998</v>
      </c>
      <c r="H664" s="187">
        <f t="shared" si="19"/>
        <v>99831727.356000006</v>
      </c>
    </row>
    <row r="665" spans="1:8" ht="14.4" x14ac:dyDescent="0.3">
      <c r="A665" s="157" t="s">
        <v>6</v>
      </c>
      <c r="B665" s="158">
        <v>2006</v>
      </c>
      <c r="C665" s="188">
        <v>2402824</v>
      </c>
      <c r="D665" s="188">
        <v>-1538761.0699999998</v>
      </c>
      <c r="E665" s="188">
        <v>-1254234.4000000001</v>
      </c>
      <c r="F665" s="188">
        <v>32531753.689999998</v>
      </c>
      <c r="G665" s="188">
        <v>32816280.359999999</v>
      </c>
      <c r="H665" s="187">
        <f t="shared" si="19"/>
        <v>31667690.759999998</v>
      </c>
    </row>
    <row r="666" spans="1:8" ht="14.4" x14ac:dyDescent="0.3">
      <c r="A666" s="157" t="s">
        <v>6</v>
      </c>
      <c r="B666" s="158">
        <v>2007</v>
      </c>
      <c r="C666" s="188">
        <v>201752</v>
      </c>
      <c r="D666" s="188">
        <v>-737623.74999999988</v>
      </c>
      <c r="E666" s="188">
        <v>-430459.51000000013</v>
      </c>
      <c r="F666" s="188">
        <v>46876016.773999996</v>
      </c>
      <c r="G666" s="188">
        <v>47183181.013999999</v>
      </c>
      <c r="H666" s="187">
        <f t="shared" si="19"/>
        <v>47411888.523999996</v>
      </c>
    </row>
    <row r="667" spans="1:8" ht="14.4" x14ac:dyDescent="0.3">
      <c r="A667" s="157" t="s">
        <v>6</v>
      </c>
      <c r="B667" s="158">
        <v>2008</v>
      </c>
      <c r="C667" s="188">
        <v>1847544.64</v>
      </c>
      <c r="D667" s="188">
        <v>-679411.56999999983</v>
      </c>
      <c r="E667" s="188">
        <v>79972.089999999967</v>
      </c>
      <c r="F667" s="188">
        <v>43837210.737999991</v>
      </c>
      <c r="G667" s="188">
        <v>44596594.397999994</v>
      </c>
      <c r="H667" s="187">
        <f t="shared" si="19"/>
        <v>42669077.66799999</v>
      </c>
    </row>
    <row r="668" spans="1:8" ht="14.4" x14ac:dyDescent="0.3">
      <c r="A668" s="157" t="s">
        <v>6</v>
      </c>
      <c r="B668" s="158">
        <v>2009</v>
      </c>
      <c r="C668" s="188">
        <v>6257178.9100000001</v>
      </c>
      <c r="D668" s="188">
        <v>229952.32000000007</v>
      </c>
      <c r="E668" s="188">
        <v>519349.45000000007</v>
      </c>
      <c r="F668" s="188">
        <v>52602951.263999999</v>
      </c>
      <c r="G668" s="188">
        <v>52892348.393999994</v>
      </c>
      <c r="H668" s="187">
        <f t="shared" si="19"/>
        <v>46115820.033999994</v>
      </c>
    </row>
    <row r="669" spans="1:8" ht="14.4" x14ac:dyDescent="0.3">
      <c r="A669" s="157" t="s">
        <v>6</v>
      </c>
      <c r="B669" s="158">
        <v>2010</v>
      </c>
      <c r="C669" s="188">
        <v>2153310.7999999998</v>
      </c>
      <c r="D669" s="188">
        <v>8682102.0500000007</v>
      </c>
      <c r="E669" s="188">
        <v>6128854.1799999997</v>
      </c>
      <c r="F669" s="188">
        <v>69019742.495999992</v>
      </c>
      <c r="G669" s="188">
        <v>66466494.625999995</v>
      </c>
      <c r="H669" s="187">
        <f t="shared" si="19"/>
        <v>58184329.645999998</v>
      </c>
    </row>
    <row r="670" spans="1:8" ht="14.4" x14ac:dyDescent="0.3">
      <c r="A670" s="157" t="s">
        <v>6</v>
      </c>
      <c r="B670" s="158">
        <v>2011</v>
      </c>
      <c r="C670" s="188">
        <v>2808448.37</v>
      </c>
      <c r="D670" s="188">
        <v>13123386.16</v>
      </c>
      <c r="E670" s="188">
        <v>12554962.49</v>
      </c>
      <c r="F670" s="188">
        <v>77644907.769999981</v>
      </c>
      <c r="G670" s="188">
        <v>77076484.099999994</v>
      </c>
      <c r="H670" s="187">
        <f t="shared" si="19"/>
        <v>61713073.239999987</v>
      </c>
    </row>
    <row r="671" spans="1:8" ht="14.4" x14ac:dyDescent="0.3">
      <c r="A671" s="157" t="s">
        <v>6</v>
      </c>
      <c r="B671" s="158">
        <v>2012</v>
      </c>
      <c r="C671" s="188">
        <v>2444750.2999999998</v>
      </c>
      <c r="D671" s="188">
        <v>29211789.77</v>
      </c>
      <c r="E671" s="188">
        <v>32843335.030000001</v>
      </c>
      <c r="F671" s="188">
        <v>66711216.199999996</v>
      </c>
      <c r="G671" s="188">
        <v>70342761.459999993</v>
      </c>
      <c r="H671" s="187">
        <f t="shared" si="19"/>
        <v>35054676.129999995</v>
      </c>
    </row>
    <row r="672" spans="1:8" ht="14.4" x14ac:dyDescent="0.3">
      <c r="A672" s="157" t="s">
        <v>6</v>
      </c>
      <c r="B672" s="158">
        <v>2013</v>
      </c>
      <c r="C672" s="188">
        <v>8450791.6899999995</v>
      </c>
      <c r="D672" s="188">
        <v>36469141</v>
      </c>
      <c r="E672" s="188">
        <v>37190556.049999997</v>
      </c>
      <c r="F672" s="188">
        <v>113499097.19000001</v>
      </c>
      <c r="G672" s="188">
        <v>114220512.23999999</v>
      </c>
      <c r="H672" s="187">
        <f t="shared" si="19"/>
        <v>68579164.500000015</v>
      </c>
    </row>
    <row r="673" spans="1:9" ht="14.4" x14ac:dyDescent="0.3">
      <c r="A673" s="157" t="s">
        <v>6</v>
      </c>
      <c r="B673" s="158">
        <v>2014</v>
      </c>
      <c r="C673" s="188">
        <v>6082487.2400000002</v>
      </c>
      <c r="D673" s="188">
        <v>64205128.859999999</v>
      </c>
      <c r="E673" s="188">
        <v>87766493.159999982</v>
      </c>
      <c r="F673" s="188">
        <v>100323185.52</v>
      </c>
      <c r="G673" s="188">
        <v>123884549.81999999</v>
      </c>
      <c r="H673" s="187">
        <f t="shared" si="19"/>
        <v>30035569.419999994</v>
      </c>
    </row>
    <row r="674" spans="1:9" ht="14.4" x14ac:dyDescent="0.3">
      <c r="A674" s="157" t="s">
        <v>6</v>
      </c>
      <c r="B674" s="158">
        <v>2015</v>
      </c>
      <c r="C674" s="188">
        <v>4563394.2</v>
      </c>
      <c r="D674" s="188">
        <v>114343917.97999999</v>
      </c>
      <c r="E674" s="188">
        <v>118591147.3</v>
      </c>
      <c r="F674" s="188">
        <v>126142743.65000001</v>
      </c>
      <c r="G674" s="188">
        <v>130389972.97000001</v>
      </c>
      <c r="H674" s="187">
        <f t="shared" si="19"/>
        <v>7235431.4700000165</v>
      </c>
    </row>
    <row r="675" spans="1:9" ht="14.4" x14ac:dyDescent="0.3">
      <c r="A675" s="157" t="s">
        <v>7</v>
      </c>
      <c r="B675" s="158">
        <v>1995</v>
      </c>
      <c r="C675" s="186">
        <v>31699780</v>
      </c>
      <c r="D675" s="186">
        <v>48152029.340000004</v>
      </c>
      <c r="E675" s="186">
        <v>48152029.340000004</v>
      </c>
      <c r="F675" s="186">
        <f>$I675+$C675+D675</f>
        <v>106041809.34</v>
      </c>
      <c r="G675" s="186">
        <f>$I675+$C675+E675</f>
        <v>106041809.34</v>
      </c>
      <c r="H675" s="187">
        <f t="shared" si="19"/>
        <v>26190000</v>
      </c>
      <c r="I675" s="43">
        <f>VLOOKUP(A675,$L$3:$N$39,3,0)*1000</f>
        <v>26190000</v>
      </c>
    </row>
    <row r="676" spans="1:9" ht="14.4" x14ac:dyDescent="0.3">
      <c r="A676" s="157" t="s">
        <v>7</v>
      </c>
      <c r="B676" s="158">
        <v>1996</v>
      </c>
      <c r="C676" s="188">
        <v>411585</v>
      </c>
      <c r="D676" s="188">
        <v>1554000</v>
      </c>
      <c r="E676" s="188">
        <v>1554000</v>
      </c>
      <c r="F676" s="188">
        <v>3239624.9800000004</v>
      </c>
      <c r="G676" s="188">
        <v>3239624.9800000004</v>
      </c>
      <c r="H676" s="187">
        <f t="shared" si="19"/>
        <v>1274039.9800000004</v>
      </c>
    </row>
    <row r="677" spans="1:9" ht="14.4" x14ac:dyDescent="0.3">
      <c r="A677" s="157" t="s">
        <v>7</v>
      </c>
      <c r="B677" s="158">
        <v>1997</v>
      </c>
      <c r="C677" s="188">
        <v>443352</v>
      </c>
      <c r="D677" s="188">
        <v>1554000</v>
      </c>
      <c r="E677" s="188">
        <v>1554000</v>
      </c>
      <c r="F677" s="188">
        <v>3777009.72</v>
      </c>
      <c r="G677" s="188">
        <v>3777009.72</v>
      </c>
      <c r="H677" s="187">
        <f t="shared" si="19"/>
        <v>1779657.7200000002</v>
      </c>
    </row>
    <row r="678" spans="1:9" ht="14.4" x14ac:dyDescent="0.3">
      <c r="A678" s="157" t="s">
        <v>7</v>
      </c>
      <c r="B678" s="158">
        <v>1998</v>
      </c>
      <c r="C678" s="188">
        <v>178033</v>
      </c>
      <c r="D678" s="188">
        <v>1554000</v>
      </c>
      <c r="E678" s="188">
        <v>1554000</v>
      </c>
      <c r="F678" s="188">
        <v>2727163.21</v>
      </c>
      <c r="G678" s="188">
        <v>2727163.21</v>
      </c>
      <c r="H678" s="187">
        <f t="shared" si="19"/>
        <v>995130.21</v>
      </c>
    </row>
    <row r="679" spans="1:9" ht="14.4" x14ac:dyDescent="0.3">
      <c r="A679" s="157" t="s">
        <v>7</v>
      </c>
      <c r="B679" s="158">
        <v>1999</v>
      </c>
      <c r="C679" s="188">
        <v>415490</v>
      </c>
      <c r="D679" s="188">
        <v>1554000</v>
      </c>
      <c r="E679" s="188">
        <v>1554000</v>
      </c>
      <c r="F679" s="188">
        <v>3152171.91</v>
      </c>
      <c r="G679" s="188">
        <v>3152171.91</v>
      </c>
      <c r="H679" s="187">
        <f t="shared" si="19"/>
        <v>1182681.9100000001</v>
      </c>
    </row>
    <row r="680" spans="1:9" ht="14.4" x14ac:dyDescent="0.3">
      <c r="A680" s="157" t="s">
        <v>7</v>
      </c>
      <c r="B680" s="158">
        <v>2000</v>
      </c>
      <c r="C680" s="188">
        <v>273658</v>
      </c>
      <c r="D680" s="188">
        <v>1554000</v>
      </c>
      <c r="E680" s="188">
        <v>1554000</v>
      </c>
      <c r="F680" s="188">
        <v>4345044.8900000006</v>
      </c>
      <c r="G680" s="188">
        <v>4345044.8900000006</v>
      </c>
      <c r="H680" s="187">
        <f t="shared" si="19"/>
        <v>2517386.8900000006</v>
      </c>
    </row>
    <row r="681" spans="1:9" ht="14.4" x14ac:dyDescent="0.3">
      <c r="A681" s="157" t="s">
        <v>7</v>
      </c>
      <c r="B681" s="158">
        <v>2001</v>
      </c>
      <c r="C681" s="188">
        <v>389590</v>
      </c>
      <c r="D681" s="188">
        <v>1554000</v>
      </c>
      <c r="E681" s="188">
        <v>1554000</v>
      </c>
      <c r="F681" s="188">
        <v>8784743.6799999978</v>
      </c>
      <c r="G681" s="188">
        <v>8784743.6799999978</v>
      </c>
      <c r="H681" s="187">
        <f t="shared" si="19"/>
        <v>6841153.6799999978</v>
      </c>
    </row>
    <row r="682" spans="1:9" ht="14.4" x14ac:dyDescent="0.3">
      <c r="A682" s="157" t="s">
        <v>7</v>
      </c>
      <c r="B682" s="158">
        <v>2002</v>
      </c>
      <c r="C682" s="188">
        <v>236312</v>
      </c>
      <c r="D682" s="188">
        <v>1554000</v>
      </c>
      <c r="E682" s="188">
        <v>1554000</v>
      </c>
      <c r="F682" s="188">
        <v>5276211.75</v>
      </c>
      <c r="G682" s="188">
        <v>5276211.75</v>
      </c>
      <c r="H682" s="187">
        <f t="shared" si="19"/>
        <v>3485899.75</v>
      </c>
    </row>
    <row r="683" spans="1:9" ht="14.4" x14ac:dyDescent="0.3">
      <c r="A683" s="157" t="s">
        <v>7</v>
      </c>
      <c r="B683" s="158">
        <v>2003</v>
      </c>
      <c r="C683" s="188">
        <v>116431</v>
      </c>
      <c r="D683" s="188">
        <v>1554000</v>
      </c>
      <c r="E683" s="188">
        <v>1554000</v>
      </c>
      <c r="F683" s="188">
        <v>4552240.16</v>
      </c>
      <c r="G683" s="188">
        <v>4552240.16</v>
      </c>
      <c r="H683" s="187">
        <f t="shared" si="19"/>
        <v>2881809.16</v>
      </c>
    </row>
    <row r="684" spans="1:9" ht="14.4" x14ac:dyDescent="0.3">
      <c r="A684" s="157" t="s">
        <v>7</v>
      </c>
      <c r="B684" s="158">
        <v>2004</v>
      </c>
      <c r="C684" s="188">
        <v>152982</v>
      </c>
      <c r="D684" s="188">
        <v>1554000</v>
      </c>
      <c r="E684" s="188">
        <v>1554000</v>
      </c>
      <c r="F684" s="188">
        <v>4764706.6300000008</v>
      </c>
      <c r="G684" s="188">
        <v>4764706.6300000008</v>
      </c>
      <c r="H684" s="187">
        <f t="shared" si="19"/>
        <v>3057724.6300000008</v>
      </c>
    </row>
    <row r="685" spans="1:9" ht="14.4" x14ac:dyDescent="0.3">
      <c r="A685" s="157" t="s">
        <v>7</v>
      </c>
      <c r="B685" s="158">
        <v>2005</v>
      </c>
      <c r="C685" s="188">
        <v>102196</v>
      </c>
      <c r="D685" s="188">
        <v>0</v>
      </c>
      <c r="E685" s="188">
        <v>0</v>
      </c>
      <c r="F685" s="188">
        <v>7957049.8200000003</v>
      </c>
      <c r="G685" s="188">
        <v>7957049.8200000003</v>
      </c>
      <c r="H685" s="187">
        <f t="shared" ref="H685:H716" si="20">F685-D685-C685</f>
        <v>7854853.8200000003</v>
      </c>
    </row>
    <row r="686" spans="1:9" ht="14.4" x14ac:dyDescent="0.3">
      <c r="A686" s="157" t="s">
        <v>7</v>
      </c>
      <c r="B686" s="158">
        <v>2006</v>
      </c>
      <c r="C686" s="188">
        <v>423512</v>
      </c>
      <c r="D686" s="188">
        <v>0</v>
      </c>
      <c r="E686" s="188">
        <v>0</v>
      </c>
      <c r="F686" s="188">
        <v>2203439.2599999998</v>
      </c>
      <c r="G686" s="188">
        <v>2203439.2599999998</v>
      </c>
      <c r="H686" s="187">
        <f t="shared" si="20"/>
        <v>1779927.2599999998</v>
      </c>
    </row>
    <row r="687" spans="1:9" ht="14.4" x14ac:dyDescent="0.3">
      <c r="A687" s="157" t="s">
        <v>7</v>
      </c>
      <c r="B687" s="158">
        <v>2007</v>
      </c>
      <c r="C687" s="188">
        <v>48603</v>
      </c>
      <c r="D687" s="188">
        <v>0</v>
      </c>
      <c r="E687" s="188">
        <v>0</v>
      </c>
      <c r="F687" s="188">
        <v>3079722.66</v>
      </c>
      <c r="G687" s="188">
        <v>3079722.66</v>
      </c>
      <c r="H687" s="187">
        <f t="shared" si="20"/>
        <v>3031119.66</v>
      </c>
    </row>
    <row r="688" spans="1:9" ht="14.4" x14ac:dyDescent="0.3">
      <c r="A688" s="157" t="s">
        <v>7</v>
      </c>
      <c r="B688" s="158">
        <v>2008</v>
      </c>
      <c r="C688" s="188">
        <v>2</v>
      </c>
      <c r="D688" s="188">
        <v>0</v>
      </c>
      <c r="E688" s="188">
        <v>0</v>
      </c>
      <c r="F688" s="188">
        <v>7621.85</v>
      </c>
      <c r="G688" s="188">
        <v>7621.85</v>
      </c>
      <c r="H688" s="187">
        <f t="shared" si="20"/>
        <v>7619.85</v>
      </c>
    </row>
    <row r="689" spans="1:9" ht="14.4" x14ac:dyDescent="0.3">
      <c r="A689" s="157" t="s">
        <v>7</v>
      </c>
      <c r="B689" s="158">
        <v>2009</v>
      </c>
      <c r="C689" s="188">
        <v>10</v>
      </c>
      <c r="D689" s="188">
        <v>0</v>
      </c>
      <c r="E689" s="188">
        <v>0</v>
      </c>
      <c r="F689" s="188">
        <v>-26241.279999999999</v>
      </c>
      <c r="G689" s="188">
        <v>-26241.279999999999</v>
      </c>
      <c r="H689" s="187">
        <f t="shared" si="20"/>
        <v>-26251.279999999999</v>
      </c>
    </row>
    <row r="690" spans="1:9" ht="14.4" x14ac:dyDescent="0.3">
      <c r="A690" s="157" t="s">
        <v>7</v>
      </c>
      <c r="B690" s="158">
        <v>2010</v>
      </c>
      <c r="C690" s="188">
        <v>6</v>
      </c>
      <c r="D690" s="188">
        <v>0</v>
      </c>
      <c r="E690" s="188">
        <v>0</v>
      </c>
      <c r="F690" s="188">
        <v>-101.63999999999987</v>
      </c>
      <c r="G690" s="188">
        <v>-101.63999999999987</v>
      </c>
      <c r="H690" s="187">
        <f t="shared" si="20"/>
        <v>-107.63999999999987</v>
      </c>
    </row>
    <row r="691" spans="1:9" ht="14.4" x14ac:dyDescent="0.3">
      <c r="A691" s="157" t="s">
        <v>7</v>
      </c>
      <c r="B691" s="158">
        <v>2011</v>
      </c>
      <c r="C691" s="188">
        <v>2</v>
      </c>
      <c r="D691" s="188">
        <v>0</v>
      </c>
      <c r="E691" s="188">
        <v>0</v>
      </c>
      <c r="F691" s="188">
        <v>-114166.37</v>
      </c>
      <c r="G691" s="188">
        <v>-114166.37</v>
      </c>
      <c r="H691" s="187">
        <f t="shared" si="20"/>
        <v>-114168.37</v>
      </c>
    </row>
    <row r="692" spans="1:9" ht="14.4" x14ac:dyDescent="0.3">
      <c r="A692" s="157" t="s">
        <v>7</v>
      </c>
      <c r="B692" s="158">
        <v>2012</v>
      </c>
      <c r="C692" s="188">
        <v>2</v>
      </c>
      <c r="D692" s="188">
        <v>0</v>
      </c>
      <c r="E692" s="188">
        <v>0</v>
      </c>
      <c r="F692" s="188">
        <v>2</v>
      </c>
      <c r="G692" s="188">
        <v>2</v>
      </c>
      <c r="H692" s="187">
        <f t="shared" si="20"/>
        <v>0</v>
      </c>
    </row>
    <row r="693" spans="1:9" ht="14.4" x14ac:dyDescent="0.3">
      <c r="A693" s="157" t="s">
        <v>7</v>
      </c>
      <c r="B693" s="158">
        <v>2013</v>
      </c>
      <c r="C693" s="188"/>
      <c r="D693" s="188"/>
      <c r="E693" s="188"/>
      <c r="F693" s="188"/>
      <c r="G693" s="188"/>
      <c r="H693" s="187">
        <f t="shared" si="20"/>
        <v>0</v>
      </c>
    </row>
    <row r="694" spans="1:9" ht="14.4" x14ac:dyDescent="0.3">
      <c r="A694" s="157" t="s">
        <v>7</v>
      </c>
      <c r="B694" s="158">
        <v>2014</v>
      </c>
      <c r="C694" s="186"/>
      <c r="D694" s="186"/>
      <c r="E694" s="186"/>
      <c r="F694" s="186"/>
      <c r="G694" s="186"/>
      <c r="H694" s="187">
        <f t="shared" si="20"/>
        <v>0</v>
      </c>
    </row>
    <row r="695" spans="1:9" ht="14.4" x14ac:dyDescent="0.3">
      <c r="A695" s="157" t="s">
        <v>7</v>
      </c>
      <c r="B695" s="158">
        <v>2015</v>
      </c>
      <c r="C695" s="186">
        <v>-2</v>
      </c>
      <c r="D695" s="186">
        <v>0</v>
      </c>
      <c r="E695" s="186">
        <v>0</v>
      </c>
      <c r="F695" s="186">
        <v>2387.14</v>
      </c>
      <c r="G695" s="186">
        <v>2387.14</v>
      </c>
      <c r="H695" s="187">
        <f t="shared" si="20"/>
        <v>2389.14</v>
      </c>
    </row>
    <row r="696" spans="1:9" ht="14.4" x14ac:dyDescent="0.3">
      <c r="A696" s="157" t="s">
        <v>8</v>
      </c>
      <c r="B696" s="158">
        <v>1995</v>
      </c>
      <c r="C696" s="186">
        <v>725790246.32000005</v>
      </c>
      <c r="D696" s="186">
        <v>675354319.65999985</v>
      </c>
      <c r="E696" s="186">
        <v>675354319.65999985</v>
      </c>
      <c r="F696" s="186">
        <f>$I696+$C696+D696</f>
        <v>1408137565.98</v>
      </c>
      <c r="G696" s="186">
        <f>$I696+$C696+E696</f>
        <v>1408137565.98</v>
      </c>
      <c r="H696" s="187">
        <f>F696-D696-C696</f>
        <v>6993000.0000001192</v>
      </c>
      <c r="I696" s="43">
        <f>VLOOKUP(A696,$L$3:$N$39,3,0)*1000</f>
        <v>6993000</v>
      </c>
    </row>
    <row r="697" spans="1:9" ht="14.4" x14ac:dyDescent="0.3">
      <c r="A697" s="157" t="s">
        <v>8</v>
      </c>
      <c r="B697" s="158">
        <v>1996</v>
      </c>
      <c r="C697" s="188">
        <v>3835819.47</v>
      </c>
      <c r="D697" s="188">
        <v>0</v>
      </c>
      <c r="E697" s="188">
        <v>0</v>
      </c>
      <c r="F697" s="188">
        <v>11881522.389999999</v>
      </c>
      <c r="G697" s="188">
        <v>11881522.389999999</v>
      </c>
      <c r="H697" s="187">
        <f>F697-D697-C697</f>
        <v>8045702.9199999981</v>
      </c>
    </row>
    <row r="698" spans="1:9" ht="14.4" x14ac:dyDescent="0.3">
      <c r="A698" s="157" t="s">
        <v>8</v>
      </c>
      <c r="B698" s="158">
        <v>1997</v>
      </c>
      <c r="C698" s="188">
        <v>2328665.54</v>
      </c>
      <c r="D698" s="188">
        <v>0</v>
      </c>
      <c r="E698" s="188">
        <v>0</v>
      </c>
      <c r="F698" s="188">
        <v>8556194.8900000006</v>
      </c>
      <c r="G698" s="188">
        <v>8556194.8900000006</v>
      </c>
      <c r="H698" s="187">
        <f t="shared" si="20"/>
        <v>6227529.3500000006</v>
      </c>
    </row>
    <row r="699" spans="1:9" ht="14.4" x14ac:dyDescent="0.3">
      <c r="A699" s="157" t="s">
        <v>8</v>
      </c>
      <c r="B699" s="158">
        <v>1998</v>
      </c>
      <c r="C699" s="188">
        <v>2538984.91</v>
      </c>
      <c r="D699" s="188">
        <v>0</v>
      </c>
      <c r="E699" s="188">
        <v>0</v>
      </c>
      <c r="F699" s="188">
        <v>8238406.8099999996</v>
      </c>
      <c r="G699" s="188">
        <v>8238406.8099999996</v>
      </c>
      <c r="H699" s="187">
        <f t="shared" si="20"/>
        <v>5699421.8999999994</v>
      </c>
    </row>
    <row r="700" spans="1:9" ht="14.4" x14ac:dyDescent="0.3">
      <c r="A700" s="157" t="s">
        <v>8</v>
      </c>
      <c r="B700" s="158">
        <v>1999</v>
      </c>
      <c r="C700" s="188">
        <v>897347.83</v>
      </c>
      <c r="D700" s="188">
        <v>0</v>
      </c>
      <c r="E700" s="188">
        <v>0</v>
      </c>
      <c r="F700" s="188">
        <v>1751758.03</v>
      </c>
      <c r="G700" s="188">
        <v>1751758.03</v>
      </c>
      <c r="H700" s="187">
        <f t="shared" si="20"/>
        <v>854410.20000000007</v>
      </c>
    </row>
    <row r="701" spans="1:9" ht="14.4" x14ac:dyDescent="0.3">
      <c r="A701" s="157" t="s">
        <v>8</v>
      </c>
      <c r="B701" s="158">
        <v>2000</v>
      </c>
      <c r="C701" s="188">
        <v>171105.52000000002</v>
      </c>
      <c r="D701" s="188">
        <v>0</v>
      </c>
      <c r="E701" s="188">
        <v>0</v>
      </c>
      <c r="F701" s="188">
        <v>918678.63000000012</v>
      </c>
      <c r="G701" s="188">
        <v>918678.63000000012</v>
      </c>
      <c r="H701" s="187">
        <f t="shared" si="20"/>
        <v>747573.1100000001</v>
      </c>
    </row>
    <row r="702" spans="1:9" ht="14.4" x14ac:dyDescent="0.3">
      <c r="A702" s="157" t="s">
        <v>8</v>
      </c>
      <c r="B702" s="158">
        <v>2001</v>
      </c>
      <c r="C702" s="188">
        <v>2155</v>
      </c>
      <c r="D702" s="188">
        <v>0</v>
      </c>
      <c r="E702" s="188">
        <v>0</v>
      </c>
      <c r="F702" s="188">
        <v>43698.130000000005</v>
      </c>
      <c r="G702" s="188">
        <v>43698.130000000005</v>
      </c>
      <c r="H702" s="187">
        <f t="shared" si="20"/>
        <v>41543.130000000005</v>
      </c>
    </row>
    <row r="703" spans="1:9" ht="14.4" x14ac:dyDescent="0.3">
      <c r="A703" s="157" t="s">
        <v>8</v>
      </c>
      <c r="B703" s="158">
        <v>2002</v>
      </c>
      <c r="C703" s="188">
        <v>10455060</v>
      </c>
      <c r="D703" s="188">
        <v>0</v>
      </c>
      <c r="E703" s="188">
        <v>0</v>
      </c>
      <c r="F703" s="188">
        <v>10477799.109999999</v>
      </c>
      <c r="G703" s="188">
        <v>10477799.109999999</v>
      </c>
      <c r="H703" s="187">
        <f t="shared" si="20"/>
        <v>22739.109999999404</v>
      </c>
    </row>
    <row r="704" spans="1:9" ht="14.4" x14ac:dyDescent="0.3">
      <c r="A704" s="157" t="s">
        <v>8</v>
      </c>
      <c r="B704" s="158">
        <v>2003</v>
      </c>
      <c r="C704" s="188">
        <v>200</v>
      </c>
      <c r="D704" s="188">
        <v>0</v>
      </c>
      <c r="E704" s="188">
        <v>0</v>
      </c>
      <c r="F704" s="188">
        <v>-19756.04</v>
      </c>
      <c r="G704" s="188">
        <v>-19756.04</v>
      </c>
      <c r="H704" s="187">
        <f t="shared" si="20"/>
        <v>-19956.04</v>
      </c>
    </row>
    <row r="705" spans="1:8" ht="14.4" x14ac:dyDescent="0.3">
      <c r="A705" s="157" t="s">
        <v>8</v>
      </c>
      <c r="B705" s="158">
        <v>2004</v>
      </c>
      <c r="C705" s="188">
        <v>400</v>
      </c>
      <c r="D705" s="188">
        <v>0</v>
      </c>
      <c r="E705" s="188">
        <v>0</v>
      </c>
      <c r="F705" s="188">
        <v>18661.16</v>
      </c>
      <c r="G705" s="188">
        <v>18661.16</v>
      </c>
      <c r="H705" s="187">
        <f t="shared" si="20"/>
        <v>18261.16</v>
      </c>
    </row>
    <row r="706" spans="1:8" ht="14.4" x14ac:dyDescent="0.3">
      <c r="A706" s="157" t="s">
        <v>8</v>
      </c>
      <c r="B706" s="158">
        <v>2005</v>
      </c>
      <c r="C706" s="188">
        <v>400</v>
      </c>
      <c r="D706" s="188">
        <v>0</v>
      </c>
      <c r="E706" s="188">
        <v>0</v>
      </c>
      <c r="F706" s="188">
        <v>708.83999999999992</v>
      </c>
      <c r="G706" s="188">
        <v>708.83999999999992</v>
      </c>
      <c r="H706" s="187">
        <f t="shared" si="20"/>
        <v>308.83999999999992</v>
      </c>
    </row>
    <row r="707" spans="1:8" ht="14.4" x14ac:dyDescent="0.3">
      <c r="A707" s="157" t="s">
        <v>8</v>
      </c>
      <c r="B707" s="158">
        <v>2006</v>
      </c>
      <c r="C707" s="188">
        <v>1100</v>
      </c>
      <c r="D707" s="188">
        <v>0</v>
      </c>
      <c r="E707" s="188">
        <v>0</v>
      </c>
      <c r="F707" s="188">
        <v>1317.1499999999999</v>
      </c>
      <c r="G707" s="188">
        <v>1317.1499999999999</v>
      </c>
      <c r="H707" s="187">
        <f t="shared" si="20"/>
        <v>217.14999999999986</v>
      </c>
    </row>
    <row r="708" spans="1:8" ht="14.4" x14ac:dyDescent="0.3">
      <c r="A708" s="157" t="s">
        <v>8</v>
      </c>
      <c r="B708" s="158">
        <v>2007</v>
      </c>
      <c r="C708" s="188">
        <v>1002.9999999999999</v>
      </c>
      <c r="D708" s="188">
        <v>0</v>
      </c>
      <c r="E708" s="188">
        <v>0</v>
      </c>
      <c r="F708" s="188">
        <v>33932.35</v>
      </c>
      <c r="G708" s="188">
        <v>33932.35</v>
      </c>
      <c r="H708" s="187">
        <f t="shared" si="20"/>
        <v>32929.35</v>
      </c>
    </row>
    <row r="709" spans="1:8" ht="14.4" x14ac:dyDescent="0.3">
      <c r="A709" s="157" t="s">
        <v>8</v>
      </c>
      <c r="B709" s="158">
        <v>2008</v>
      </c>
      <c r="C709" s="188">
        <v>2000</v>
      </c>
      <c r="D709" s="188">
        <v>0</v>
      </c>
      <c r="E709" s="188">
        <v>0</v>
      </c>
      <c r="F709" s="188">
        <v>41733.629999999997</v>
      </c>
      <c r="G709" s="188">
        <v>41733.629999999997</v>
      </c>
      <c r="H709" s="187">
        <f t="shared" si="20"/>
        <v>39733.629999999997</v>
      </c>
    </row>
    <row r="710" spans="1:8" ht="14.4" x14ac:dyDescent="0.3">
      <c r="A710" s="157" t="s">
        <v>8</v>
      </c>
      <c r="B710" s="158">
        <v>2009</v>
      </c>
      <c r="C710" s="188">
        <v>1100</v>
      </c>
      <c r="D710" s="188">
        <v>0</v>
      </c>
      <c r="E710" s="188">
        <v>0</v>
      </c>
      <c r="F710" s="188">
        <v>11670.79</v>
      </c>
      <c r="G710" s="188">
        <v>11670.79</v>
      </c>
      <c r="H710" s="187">
        <f t="shared" si="20"/>
        <v>10570.79</v>
      </c>
    </row>
    <row r="711" spans="1:8" ht="14.4" x14ac:dyDescent="0.3">
      <c r="A711" s="157" t="s">
        <v>8</v>
      </c>
      <c r="B711" s="158">
        <v>2010</v>
      </c>
      <c r="C711" s="188"/>
      <c r="D711" s="188"/>
      <c r="E711" s="188"/>
      <c r="F711" s="188"/>
      <c r="G711" s="188"/>
      <c r="H711" s="187">
        <f t="shared" si="20"/>
        <v>0</v>
      </c>
    </row>
    <row r="712" spans="1:8" ht="14.4" x14ac:dyDescent="0.3">
      <c r="A712" s="157" t="s">
        <v>8</v>
      </c>
      <c r="B712" s="158">
        <v>2011</v>
      </c>
      <c r="C712" s="188"/>
      <c r="D712" s="188"/>
      <c r="E712" s="188"/>
      <c r="F712" s="188"/>
      <c r="G712" s="188"/>
      <c r="H712" s="187">
        <f t="shared" si="20"/>
        <v>0</v>
      </c>
    </row>
    <row r="713" spans="1:8" ht="14.4" x14ac:dyDescent="0.3">
      <c r="A713" s="157" t="s">
        <v>8</v>
      </c>
      <c r="B713" s="158">
        <v>2012</v>
      </c>
      <c r="C713" s="186"/>
      <c r="D713" s="186"/>
      <c r="E713" s="186"/>
      <c r="F713" s="186"/>
      <c r="G713" s="186"/>
      <c r="H713" s="187">
        <f t="shared" si="20"/>
        <v>0</v>
      </c>
    </row>
    <row r="714" spans="1:8" ht="14.4" x14ac:dyDescent="0.3">
      <c r="A714" s="157" t="s">
        <v>8</v>
      </c>
      <c r="B714" s="158">
        <v>2013</v>
      </c>
      <c r="C714" s="188"/>
      <c r="D714" s="188"/>
      <c r="E714" s="188"/>
      <c r="F714" s="188"/>
      <c r="G714" s="188"/>
      <c r="H714" s="187">
        <f t="shared" si="20"/>
        <v>0</v>
      </c>
    </row>
    <row r="715" spans="1:8" ht="14.4" x14ac:dyDescent="0.3">
      <c r="A715" s="157" t="s">
        <v>8</v>
      </c>
      <c r="B715" s="158">
        <v>2014</v>
      </c>
      <c r="C715" s="186">
        <v>100</v>
      </c>
      <c r="D715" s="186">
        <v>0</v>
      </c>
      <c r="E715" s="186">
        <v>0</v>
      </c>
      <c r="F715" s="186">
        <v>100</v>
      </c>
      <c r="G715" s="186">
        <v>100</v>
      </c>
      <c r="H715" s="187">
        <f t="shared" si="20"/>
        <v>0</v>
      </c>
    </row>
    <row r="716" spans="1:8" ht="14.4" x14ac:dyDescent="0.3">
      <c r="A716" s="157" t="s">
        <v>8</v>
      </c>
      <c r="B716" s="158">
        <v>2015</v>
      </c>
      <c r="C716" s="186"/>
      <c r="D716" s="186"/>
      <c r="E716" s="186"/>
      <c r="F716" s="186"/>
      <c r="G716" s="186"/>
      <c r="H716" s="187">
        <f t="shared" si="20"/>
        <v>0</v>
      </c>
    </row>
  </sheetData>
  <autoFilter ref="A2:K716"/>
  <phoneticPr fontId="4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BU716"/>
  <sheetViews>
    <sheetView zoomScale="80" workbookViewId="0">
      <pane xSplit="2" ySplit="2" topLeftCell="C333" activePane="bottomRight" state="frozen"/>
      <selection activeCell="D238" sqref="D238"/>
      <selection pane="topRight" activeCell="D238" sqref="D238"/>
      <selection pane="bottomLeft" activeCell="D238" sqref="D238"/>
      <selection pane="bottomRight" activeCell="A490" sqref="A490"/>
    </sheetView>
  </sheetViews>
  <sheetFormatPr defaultColWidth="9.33203125" defaultRowHeight="13.2" x14ac:dyDescent="0.25"/>
  <cols>
    <col min="1" max="1" width="10.6640625" style="141" bestFit="1" customWidth="1"/>
    <col min="2" max="2" width="9.33203125" style="141"/>
    <col min="3" max="24" width="18.44140625" style="143" bestFit="1" customWidth="1"/>
    <col min="25" max="25" width="9.33203125" style="143"/>
    <col min="26" max="26" width="34.109375" style="143" bestFit="1" customWidth="1"/>
    <col min="27" max="34" width="21.44140625" style="141" bestFit="1" customWidth="1"/>
    <col min="35" max="41" width="22.77734375" style="141" bestFit="1" customWidth="1"/>
    <col min="42" max="16384" width="9.33203125" style="141"/>
  </cols>
  <sheetData>
    <row r="2" spans="1:73" ht="14.4" x14ac:dyDescent="0.3">
      <c r="A2" s="159" t="s">
        <v>229</v>
      </c>
      <c r="B2" s="159" t="s">
        <v>184</v>
      </c>
      <c r="C2" s="159" t="s">
        <v>185</v>
      </c>
      <c r="D2" s="159" t="s">
        <v>186</v>
      </c>
      <c r="E2" s="159" t="s">
        <v>187</v>
      </c>
      <c r="F2" s="159" t="s">
        <v>188</v>
      </c>
      <c r="G2" s="159" t="s">
        <v>189</v>
      </c>
      <c r="H2" s="159" t="s">
        <v>190</v>
      </c>
      <c r="I2" s="159" t="s">
        <v>191</v>
      </c>
      <c r="J2" s="159" t="s">
        <v>192</v>
      </c>
      <c r="K2" s="159" t="s">
        <v>193</v>
      </c>
      <c r="L2" s="159" t="s">
        <v>194</v>
      </c>
      <c r="M2" s="159" t="s">
        <v>195</v>
      </c>
      <c r="N2" s="159" t="s">
        <v>196</v>
      </c>
      <c r="O2" s="159" t="s">
        <v>197</v>
      </c>
      <c r="P2" s="159" t="s">
        <v>198</v>
      </c>
      <c r="Q2" s="159" t="s">
        <v>199</v>
      </c>
      <c r="R2" s="159" t="s">
        <v>200</v>
      </c>
      <c r="S2" s="159" t="s">
        <v>201</v>
      </c>
      <c r="T2" s="159" t="s">
        <v>202</v>
      </c>
      <c r="U2" s="159" t="s">
        <v>203</v>
      </c>
      <c r="V2" s="159" t="s">
        <v>204</v>
      </c>
      <c r="W2" s="159" t="s">
        <v>205</v>
      </c>
      <c r="X2" s="159" t="s">
        <v>100</v>
      </c>
      <c r="AA2" s="142" t="s">
        <v>185</v>
      </c>
      <c r="AB2" s="142" t="s">
        <v>186</v>
      </c>
      <c r="AC2" s="142" t="s">
        <v>187</v>
      </c>
      <c r="AD2" s="142" t="s">
        <v>188</v>
      </c>
      <c r="AE2" s="142" t="s">
        <v>189</v>
      </c>
      <c r="AF2" s="142" t="s">
        <v>190</v>
      </c>
      <c r="AG2" s="142" t="s">
        <v>191</v>
      </c>
      <c r="AH2" s="142" t="s">
        <v>192</v>
      </c>
      <c r="AI2" s="142" t="s">
        <v>193</v>
      </c>
      <c r="AJ2" s="142" t="s">
        <v>194</v>
      </c>
      <c r="AK2" s="142" t="s">
        <v>195</v>
      </c>
      <c r="AL2" s="142" t="s">
        <v>196</v>
      </c>
      <c r="AM2" s="142" t="s">
        <v>197</v>
      </c>
      <c r="AN2" s="142" t="s">
        <v>198</v>
      </c>
      <c r="AO2" s="142" t="s">
        <v>199</v>
      </c>
      <c r="AP2" s="142" t="s">
        <v>200</v>
      </c>
      <c r="AQ2" s="142" t="s">
        <v>201</v>
      </c>
      <c r="AR2" s="142" t="s">
        <v>202</v>
      </c>
      <c r="AS2" s="142" t="s">
        <v>203</v>
      </c>
      <c r="AT2" s="142" t="s">
        <v>204</v>
      </c>
      <c r="AU2" s="142" t="s">
        <v>205</v>
      </c>
      <c r="AV2" s="143"/>
      <c r="AX2" s="141" t="s">
        <v>229</v>
      </c>
      <c r="AY2" s="141" t="s">
        <v>184</v>
      </c>
      <c r="AZ2" s="141" t="s">
        <v>185</v>
      </c>
      <c r="BA2" s="141" t="s">
        <v>186</v>
      </c>
      <c r="BB2" s="141" t="s">
        <v>187</v>
      </c>
      <c r="BC2" s="141" t="s">
        <v>188</v>
      </c>
      <c r="BD2" s="141" t="s">
        <v>189</v>
      </c>
      <c r="BE2" s="141" t="s">
        <v>190</v>
      </c>
      <c r="BF2" s="141" t="s">
        <v>191</v>
      </c>
      <c r="BG2" s="141" t="s">
        <v>192</v>
      </c>
      <c r="BH2" s="141" t="s">
        <v>193</v>
      </c>
      <c r="BI2" s="141" t="s">
        <v>194</v>
      </c>
      <c r="BJ2" s="141" t="s">
        <v>195</v>
      </c>
      <c r="BK2" s="141" t="s">
        <v>196</v>
      </c>
      <c r="BL2" s="141" t="s">
        <v>197</v>
      </c>
      <c r="BM2" s="141" t="s">
        <v>198</v>
      </c>
      <c r="BN2" s="141" t="s">
        <v>199</v>
      </c>
      <c r="BO2" s="141" t="s">
        <v>200</v>
      </c>
      <c r="BP2" s="141" t="s">
        <v>201</v>
      </c>
      <c r="BQ2" s="141" t="s">
        <v>202</v>
      </c>
      <c r="BR2" s="141" t="s">
        <v>203</v>
      </c>
      <c r="BS2" s="141" t="s">
        <v>204</v>
      </c>
      <c r="BT2" s="141" t="s">
        <v>205</v>
      </c>
      <c r="BU2" s="141" t="s">
        <v>100</v>
      </c>
    </row>
    <row r="3" spans="1:73" ht="14.4" x14ac:dyDescent="0.3">
      <c r="A3" s="160" t="s">
        <v>231</v>
      </c>
      <c r="B3" s="161">
        <v>1995</v>
      </c>
      <c r="C3" s="161">
        <v>162892022.42000002</v>
      </c>
      <c r="D3" s="161">
        <v>308573783.30000001</v>
      </c>
      <c r="E3" s="161">
        <v>422335245.22000003</v>
      </c>
      <c r="F3" s="161">
        <v>487366797.61000001</v>
      </c>
      <c r="G3" s="161">
        <v>531739633.89000005</v>
      </c>
      <c r="H3" s="161">
        <v>550573742.3499999</v>
      </c>
      <c r="I3" s="161">
        <v>561191393.33999991</v>
      </c>
      <c r="J3" s="161">
        <v>568625175.02999997</v>
      </c>
      <c r="K3" s="161">
        <v>569917407.23000002</v>
      </c>
      <c r="L3" s="161">
        <v>572985767.48000002</v>
      </c>
      <c r="M3" s="161">
        <v>573414696.37999988</v>
      </c>
      <c r="N3" s="161">
        <v>573590176.00999999</v>
      </c>
      <c r="O3" s="161">
        <v>573672157.57999992</v>
      </c>
      <c r="P3" s="161">
        <v>573671452.63</v>
      </c>
      <c r="Q3" s="161">
        <v>573688695.49000001</v>
      </c>
      <c r="R3" s="161">
        <v>573697094.91999996</v>
      </c>
      <c r="S3" s="161">
        <v>573700136.01999998</v>
      </c>
      <c r="T3" s="161">
        <v>573699459.0999999</v>
      </c>
      <c r="U3" s="161">
        <v>573693246.54999995</v>
      </c>
      <c r="V3" s="161">
        <v>573693013.21999991</v>
      </c>
      <c r="W3" s="161">
        <v>573692740.24000001</v>
      </c>
      <c r="X3" s="161">
        <v>573692740.24000001</v>
      </c>
      <c r="Y3" s="145"/>
      <c r="Z3" s="145"/>
      <c r="AX3" s="141" t="s">
        <v>231</v>
      </c>
      <c r="AY3" s="141">
        <v>1992</v>
      </c>
      <c r="AZ3" s="141">
        <v>5524710444.2600002</v>
      </c>
      <c r="BA3" s="141">
        <v>5967594458.8900003</v>
      </c>
      <c r="BB3" s="141">
        <v>6250009015.4499998</v>
      </c>
      <c r="BC3" s="141">
        <v>6409920718.79</v>
      </c>
      <c r="BD3" s="141">
        <v>6513246038.7299995</v>
      </c>
      <c r="BE3" s="141">
        <v>6552915770.6999998</v>
      </c>
      <c r="BF3" s="141">
        <v>6572090428.9399996</v>
      </c>
      <c r="BG3" s="141">
        <v>6584620233.0200005</v>
      </c>
      <c r="BH3" s="141">
        <v>6587072576.3900003</v>
      </c>
      <c r="BI3" s="141">
        <v>6591907639.6599998</v>
      </c>
      <c r="BJ3" s="141">
        <v>6596156085.8800001</v>
      </c>
      <c r="BK3" s="141">
        <v>6599422903.5299997</v>
      </c>
      <c r="BL3" s="141">
        <v>6600879481.5200005</v>
      </c>
      <c r="BM3" s="141">
        <v>6600626564.8999996</v>
      </c>
      <c r="BN3" s="141">
        <v>6600821243.4700003</v>
      </c>
      <c r="BO3" s="141">
        <v>6601150370.2299995</v>
      </c>
      <c r="BP3" s="141">
        <v>6601476328.5200005</v>
      </c>
      <c r="BQ3" s="141">
        <v>6601767975.96</v>
      </c>
      <c r="BR3" s="141">
        <v>6602150113.2700005</v>
      </c>
      <c r="BS3" s="141">
        <v>6602678579.3000002</v>
      </c>
      <c r="BT3" s="141">
        <v>6602976663.2700005</v>
      </c>
      <c r="BU3" s="141">
        <v>6602976663.2700005</v>
      </c>
    </row>
    <row r="4" spans="1:73" ht="14.4" x14ac:dyDescent="0.3">
      <c r="A4" s="160" t="s">
        <v>231</v>
      </c>
      <c r="B4" s="161">
        <v>1996</v>
      </c>
      <c r="C4" s="161">
        <v>182034142.47</v>
      </c>
      <c r="D4" s="161">
        <v>328179432.90000004</v>
      </c>
      <c r="E4" s="161">
        <v>444775883.42000008</v>
      </c>
      <c r="F4" s="161">
        <v>513022082.06</v>
      </c>
      <c r="G4" s="161">
        <v>553295166.89999998</v>
      </c>
      <c r="H4" s="161">
        <v>576218189.25999999</v>
      </c>
      <c r="I4" s="161">
        <v>585142950.59000003</v>
      </c>
      <c r="J4" s="161">
        <v>590658750.85000002</v>
      </c>
      <c r="K4" s="161">
        <v>593221735.80000007</v>
      </c>
      <c r="L4" s="161">
        <v>595300112.90999997</v>
      </c>
      <c r="M4" s="161">
        <v>595464623.76999998</v>
      </c>
      <c r="N4" s="161">
        <v>597672119.38</v>
      </c>
      <c r="O4" s="161">
        <v>596563470.90999997</v>
      </c>
      <c r="P4" s="161">
        <v>596817760.20000005</v>
      </c>
      <c r="Q4" s="161">
        <v>598255345.86000001</v>
      </c>
      <c r="R4" s="161">
        <v>598256482.47000003</v>
      </c>
      <c r="S4" s="161">
        <v>598255374.19000006</v>
      </c>
      <c r="T4" s="161">
        <v>598296310.38000011</v>
      </c>
      <c r="U4" s="161">
        <v>598294792.06000006</v>
      </c>
      <c r="V4" s="161">
        <v>598292213.75000012</v>
      </c>
      <c r="W4" s="149"/>
      <c r="X4" s="161">
        <v>598292213.75000012</v>
      </c>
      <c r="Y4" s="145"/>
      <c r="Z4" s="145"/>
      <c r="AX4" s="141" t="s">
        <v>231</v>
      </c>
      <c r="AY4" s="141">
        <v>1993</v>
      </c>
      <c r="AZ4" s="141">
        <v>137921139.18000001</v>
      </c>
      <c r="BA4" s="141">
        <v>266503865.97</v>
      </c>
      <c r="BB4" s="141">
        <v>377047492.36000001</v>
      </c>
      <c r="BC4" s="141">
        <v>448327939.75</v>
      </c>
      <c r="BD4" s="141">
        <v>485599444.22000003</v>
      </c>
      <c r="BE4" s="141">
        <v>502193188.89999998</v>
      </c>
      <c r="BF4" s="141">
        <v>513374304.19</v>
      </c>
      <c r="BG4" s="141">
        <v>515698005.38999999</v>
      </c>
      <c r="BH4" s="141">
        <v>517074446.63999999</v>
      </c>
      <c r="BI4" s="141">
        <v>518531265.62</v>
      </c>
      <c r="BJ4" s="141">
        <v>518300935.10000002</v>
      </c>
      <c r="BK4" s="141">
        <v>519162066.56999999</v>
      </c>
      <c r="BL4" s="141">
        <v>519180626.91000003</v>
      </c>
      <c r="BM4" s="141">
        <v>519179056.19</v>
      </c>
      <c r="BN4" s="141">
        <v>519180203.25999999</v>
      </c>
      <c r="BO4" s="141">
        <v>519177908.16000003</v>
      </c>
      <c r="BP4" s="141">
        <v>519175880.42000002</v>
      </c>
      <c r="BQ4" s="141">
        <v>519181868.19</v>
      </c>
      <c r="BR4" s="141">
        <v>519180874.49000001</v>
      </c>
      <c r="BS4" s="141">
        <v>519180690.06</v>
      </c>
      <c r="BU4" s="141">
        <v>519180690.06</v>
      </c>
    </row>
    <row r="5" spans="1:73" ht="14.4" x14ac:dyDescent="0.3">
      <c r="A5" s="160" t="s">
        <v>231</v>
      </c>
      <c r="B5" s="161">
        <v>1997</v>
      </c>
      <c r="C5" s="161">
        <v>208182071.30999997</v>
      </c>
      <c r="D5" s="161">
        <v>384048068.38999999</v>
      </c>
      <c r="E5" s="161">
        <v>519724733.56999999</v>
      </c>
      <c r="F5" s="161">
        <v>614292495.95999992</v>
      </c>
      <c r="G5" s="161">
        <v>674008096.80999994</v>
      </c>
      <c r="H5" s="161">
        <v>700712167.3299998</v>
      </c>
      <c r="I5" s="161">
        <v>708649347.57999992</v>
      </c>
      <c r="J5" s="161">
        <v>715381153.51999998</v>
      </c>
      <c r="K5" s="161">
        <v>718258590.20999992</v>
      </c>
      <c r="L5" s="161">
        <v>719360466.48999989</v>
      </c>
      <c r="M5" s="161">
        <v>720123490.76999986</v>
      </c>
      <c r="N5" s="161">
        <v>720891779.68999994</v>
      </c>
      <c r="O5" s="161">
        <v>720885173.36999989</v>
      </c>
      <c r="P5" s="161">
        <v>720938863.04999995</v>
      </c>
      <c r="Q5" s="161">
        <v>720963464.19999993</v>
      </c>
      <c r="R5" s="161">
        <v>721025212.12999988</v>
      </c>
      <c r="S5" s="161">
        <v>721356079.83999979</v>
      </c>
      <c r="T5" s="161">
        <v>721349509.80999994</v>
      </c>
      <c r="U5" s="161">
        <v>721349432.33999991</v>
      </c>
      <c r="V5" s="149"/>
      <c r="W5" s="149"/>
      <c r="X5" s="161">
        <v>721349432.33999991</v>
      </c>
      <c r="Y5" s="145"/>
      <c r="Z5" s="145"/>
      <c r="AX5" s="141" t="s">
        <v>231</v>
      </c>
      <c r="AY5" s="141">
        <v>1994</v>
      </c>
      <c r="AZ5" s="141">
        <v>154695685.40000001</v>
      </c>
      <c r="BA5" s="141">
        <v>292153214.60000002</v>
      </c>
      <c r="BB5" s="141">
        <v>397718077.18000001</v>
      </c>
      <c r="BC5" s="141">
        <v>474842058.23000002</v>
      </c>
      <c r="BD5" s="141">
        <v>513940246.31</v>
      </c>
      <c r="BE5" s="141">
        <v>536338478.92000002</v>
      </c>
      <c r="BF5" s="141">
        <v>548517038.32000005</v>
      </c>
      <c r="BG5" s="141">
        <v>553801892.05999994</v>
      </c>
      <c r="BH5" s="141">
        <v>556995016.04999995</v>
      </c>
      <c r="BI5" s="141">
        <v>558552933.33000004</v>
      </c>
      <c r="BJ5" s="141">
        <v>558698798.94000006</v>
      </c>
      <c r="BK5" s="141">
        <v>560973403.36000001</v>
      </c>
      <c r="BL5" s="141">
        <v>561509037.42999995</v>
      </c>
      <c r="BM5" s="141">
        <v>561545649.28999996</v>
      </c>
      <c r="BN5" s="141">
        <v>562068304.39999998</v>
      </c>
      <c r="BO5" s="141">
        <v>562090332.92999995</v>
      </c>
      <c r="BP5" s="141">
        <v>562120941.96000004</v>
      </c>
      <c r="BQ5" s="141">
        <v>562158433.79999995</v>
      </c>
      <c r="BR5" s="141">
        <v>562197568.84000003</v>
      </c>
      <c r="BU5" s="141">
        <v>562197568.84000003</v>
      </c>
    </row>
    <row r="6" spans="1:73" ht="14.4" x14ac:dyDescent="0.3">
      <c r="A6" s="160" t="s">
        <v>231</v>
      </c>
      <c r="B6" s="161">
        <v>1998</v>
      </c>
      <c r="C6" s="161">
        <v>235775611.03000003</v>
      </c>
      <c r="D6" s="161">
        <v>430613941.59000003</v>
      </c>
      <c r="E6" s="161">
        <v>571369218.55999994</v>
      </c>
      <c r="F6" s="161">
        <v>675900004.26999998</v>
      </c>
      <c r="G6" s="161">
        <v>734354171.16000009</v>
      </c>
      <c r="H6" s="161">
        <v>770613055.00999999</v>
      </c>
      <c r="I6" s="161">
        <v>792961483.83000016</v>
      </c>
      <c r="J6" s="161">
        <v>797745148.48000002</v>
      </c>
      <c r="K6" s="161">
        <v>799330552.83000004</v>
      </c>
      <c r="L6" s="161">
        <v>800715878.94000006</v>
      </c>
      <c r="M6" s="161">
        <v>801155635.73000014</v>
      </c>
      <c r="N6" s="161">
        <v>803374206.67000008</v>
      </c>
      <c r="O6" s="161">
        <v>803459081.00000012</v>
      </c>
      <c r="P6" s="161">
        <v>803506576.53000009</v>
      </c>
      <c r="Q6" s="161">
        <v>803555230.36000001</v>
      </c>
      <c r="R6" s="161">
        <v>803635831.08000016</v>
      </c>
      <c r="S6" s="161">
        <v>803690970.33000004</v>
      </c>
      <c r="T6" s="161">
        <v>803710077.96000004</v>
      </c>
      <c r="U6" s="149"/>
      <c r="V6" s="149"/>
      <c r="W6" s="149"/>
      <c r="X6" s="161">
        <v>803710077.96000004</v>
      </c>
      <c r="Y6" s="145"/>
      <c r="Z6" s="145"/>
      <c r="AX6" s="141" t="s">
        <v>231</v>
      </c>
      <c r="AY6" s="141">
        <v>1995</v>
      </c>
      <c r="AZ6" s="141">
        <v>162907203.5</v>
      </c>
      <c r="BA6" s="141">
        <v>308634849.63</v>
      </c>
      <c r="BB6" s="141">
        <v>423816226.75</v>
      </c>
      <c r="BC6" s="141">
        <v>488875839.31</v>
      </c>
      <c r="BD6" s="141">
        <v>533249927.14999998</v>
      </c>
      <c r="BE6" s="141">
        <v>552084035.61000001</v>
      </c>
      <c r="BF6" s="141">
        <v>562701686.60000002</v>
      </c>
      <c r="BG6" s="141">
        <v>570135468.28999996</v>
      </c>
      <c r="BH6" s="141">
        <v>571427700.49000001</v>
      </c>
      <c r="BI6" s="141">
        <v>574496060.74000001</v>
      </c>
      <c r="BJ6" s="141">
        <v>574924989.63999999</v>
      </c>
      <c r="BK6" s="141">
        <v>575100469.26999998</v>
      </c>
      <c r="BL6" s="141">
        <v>575182450.84000003</v>
      </c>
      <c r="BM6" s="141">
        <v>575181745.88999999</v>
      </c>
      <c r="BN6" s="141">
        <v>575198988.75</v>
      </c>
      <c r="BO6" s="141">
        <v>575207388.17999995</v>
      </c>
      <c r="BP6" s="141">
        <v>575210429.27999997</v>
      </c>
      <c r="BQ6" s="141">
        <v>575209752.36000001</v>
      </c>
      <c r="BU6" s="141">
        <v>575209752.36000001</v>
      </c>
    </row>
    <row r="7" spans="1:73" ht="14.4" x14ac:dyDescent="0.3">
      <c r="A7" s="160" t="s">
        <v>231</v>
      </c>
      <c r="B7" s="161">
        <v>1999</v>
      </c>
      <c r="C7" s="161">
        <v>279563307.02999997</v>
      </c>
      <c r="D7" s="161">
        <v>480930840.83999997</v>
      </c>
      <c r="E7" s="161">
        <v>637393215.79999995</v>
      </c>
      <c r="F7" s="161">
        <v>764009184.73999989</v>
      </c>
      <c r="G7" s="161">
        <v>834869967.15999973</v>
      </c>
      <c r="H7" s="161">
        <v>877166092.84000003</v>
      </c>
      <c r="I7" s="161">
        <v>894391597.25999999</v>
      </c>
      <c r="J7" s="161">
        <v>901171626.71999991</v>
      </c>
      <c r="K7" s="161">
        <v>905276438.05999994</v>
      </c>
      <c r="L7" s="161">
        <v>906414642.80999994</v>
      </c>
      <c r="M7" s="161">
        <v>906715130.98999989</v>
      </c>
      <c r="N7" s="161">
        <v>906656766.92999995</v>
      </c>
      <c r="O7" s="161">
        <v>906765275.95999992</v>
      </c>
      <c r="P7" s="161">
        <v>906963019.41999996</v>
      </c>
      <c r="Q7" s="161">
        <v>907521815.86999989</v>
      </c>
      <c r="R7" s="161">
        <v>907614239.79999983</v>
      </c>
      <c r="S7" s="161">
        <v>907703152.61999989</v>
      </c>
      <c r="T7" s="149"/>
      <c r="U7" s="149"/>
      <c r="V7" s="149"/>
      <c r="W7" s="149"/>
      <c r="X7" s="161">
        <v>907703152.61999989</v>
      </c>
      <c r="Y7" s="145"/>
      <c r="Z7" s="145"/>
      <c r="AX7" s="141" t="s">
        <v>231</v>
      </c>
      <c r="AY7" s="141">
        <v>1996</v>
      </c>
      <c r="AZ7" s="141">
        <v>182167335.5</v>
      </c>
      <c r="BA7" s="141">
        <v>328492352.13</v>
      </c>
      <c r="BB7" s="141">
        <v>446193851.14999998</v>
      </c>
      <c r="BC7" s="141">
        <v>514460944.54000002</v>
      </c>
      <c r="BD7" s="141">
        <v>554735423.13999999</v>
      </c>
      <c r="BE7" s="141">
        <v>577667132.36000001</v>
      </c>
      <c r="BF7" s="141">
        <v>586585181.72000003</v>
      </c>
      <c r="BG7" s="141">
        <v>592100981.98000002</v>
      </c>
      <c r="BH7" s="141">
        <v>594663966.92999995</v>
      </c>
      <c r="BI7" s="141">
        <v>596742344.03999996</v>
      </c>
      <c r="BJ7" s="141">
        <v>596906854.89999998</v>
      </c>
      <c r="BK7" s="141">
        <v>599114350.50999999</v>
      </c>
      <c r="BL7" s="141">
        <v>598005702.03999996</v>
      </c>
      <c r="BM7" s="141">
        <v>598259991.33000004</v>
      </c>
      <c r="BN7" s="141">
        <v>599697576.99000001</v>
      </c>
      <c r="BO7" s="141">
        <v>599698713.60000002</v>
      </c>
      <c r="BP7" s="141">
        <v>599697605.32000005</v>
      </c>
      <c r="BU7" s="141">
        <v>599697605.32000005</v>
      </c>
    </row>
    <row r="8" spans="1:73" ht="14.4" x14ac:dyDescent="0.3">
      <c r="A8" s="160" t="s">
        <v>231</v>
      </c>
      <c r="B8" s="161">
        <v>2000</v>
      </c>
      <c r="C8" s="161">
        <v>270370187.96999997</v>
      </c>
      <c r="D8" s="161">
        <v>462148277.81999999</v>
      </c>
      <c r="E8" s="161">
        <v>609459327.41000009</v>
      </c>
      <c r="F8" s="161">
        <v>733937182.68000007</v>
      </c>
      <c r="G8" s="161">
        <v>812139726.88999999</v>
      </c>
      <c r="H8" s="161">
        <v>836289693.57000017</v>
      </c>
      <c r="I8" s="161">
        <v>849514888.57999992</v>
      </c>
      <c r="J8" s="161">
        <v>855777688.35000002</v>
      </c>
      <c r="K8" s="161">
        <v>857928449.50000012</v>
      </c>
      <c r="L8" s="161">
        <v>858954791.13</v>
      </c>
      <c r="M8" s="161">
        <v>860387982.93999994</v>
      </c>
      <c r="N8" s="161">
        <v>860221787.75999999</v>
      </c>
      <c r="O8" s="161">
        <v>860674846.88</v>
      </c>
      <c r="P8" s="161">
        <v>861326176.82000005</v>
      </c>
      <c r="Q8" s="161">
        <v>861421682.62</v>
      </c>
      <c r="R8" s="161">
        <v>861503329.09000003</v>
      </c>
      <c r="S8" s="149"/>
      <c r="T8" s="149"/>
      <c r="U8" s="149"/>
      <c r="V8" s="149"/>
      <c r="W8" s="149"/>
      <c r="X8" s="161">
        <v>861503329.09000003</v>
      </c>
      <c r="Y8" s="145"/>
      <c r="Z8" s="145"/>
      <c r="AX8" s="141" t="s">
        <v>231</v>
      </c>
      <c r="AY8" s="141">
        <v>1997</v>
      </c>
      <c r="AZ8" s="141">
        <v>208232427.80000001</v>
      </c>
      <c r="BA8" s="141">
        <v>385797795.44</v>
      </c>
      <c r="BB8" s="141">
        <v>521622595.44999999</v>
      </c>
      <c r="BC8" s="141">
        <v>616705684.44000006</v>
      </c>
      <c r="BD8" s="141">
        <v>676421449.69000006</v>
      </c>
      <c r="BE8" s="141">
        <v>703125520.21000004</v>
      </c>
      <c r="BF8" s="141">
        <v>711062700.46000004</v>
      </c>
      <c r="BG8" s="141">
        <v>717794506.39999998</v>
      </c>
      <c r="BH8" s="141">
        <v>720671943.09000003</v>
      </c>
      <c r="BI8" s="141">
        <v>721773819.37</v>
      </c>
      <c r="BJ8" s="141">
        <v>722536843.64999998</v>
      </c>
      <c r="BK8" s="141">
        <v>723305132.57000005</v>
      </c>
      <c r="BL8" s="141">
        <v>723298526.25</v>
      </c>
      <c r="BM8" s="141">
        <v>723352215.92999995</v>
      </c>
      <c r="BN8" s="141">
        <v>723164317.08000004</v>
      </c>
      <c r="BO8" s="141">
        <v>723226065.00999999</v>
      </c>
      <c r="BU8" s="141">
        <v>723226065.00999999</v>
      </c>
    </row>
    <row r="9" spans="1:73" ht="14.4" x14ac:dyDescent="0.3">
      <c r="A9" s="160" t="s">
        <v>231</v>
      </c>
      <c r="B9" s="161">
        <v>2001</v>
      </c>
      <c r="C9" s="161">
        <v>214807778.54000002</v>
      </c>
      <c r="D9" s="161">
        <v>374468793.96000004</v>
      </c>
      <c r="E9" s="161">
        <v>517824636.49000001</v>
      </c>
      <c r="F9" s="161">
        <v>622798019</v>
      </c>
      <c r="G9" s="161">
        <v>688084557.17000008</v>
      </c>
      <c r="H9" s="161">
        <v>720612142.31000006</v>
      </c>
      <c r="I9" s="161">
        <v>732120427.1400001</v>
      </c>
      <c r="J9" s="161">
        <v>738102227.6099999</v>
      </c>
      <c r="K9" s="161">
        <v>740008332.31000006</v>
      </c>
      <c r="L9" s="161">
        <v>740742317.03000009</v>
      </c>
      <c r="M9" s="161">
        <v>739783176.34000015</v>
      </c>
      <c r="N9" s="161">
        <v>740261059.47000015</v>
      </c>
      <c r="O9" s="161">
        <v>740687850.4000001</v>
      </c>
      <c r="P9" s="161">
        <v>740726894.34000015</v>
      </c>
      <c r="Q9" s="161">
        <v>740727697.19000018</v>
      </c>
      <c r="R9" s="149"/>
      <c r="S9" s="149"/>
      <c r="T9" s="149"/>
      <c r="U9" s="149"/>
      <c r="V9" s="149"/>
      <c r="W9" s="149"/>
      <c r="X9" s="161">
        <v>740727697.19000018</v>
      </c>
      <c r="Y9" s="145"/>
      <c r="Z9" s="145"/>
      <c r="AX9" s="141" t="s">
        <v>231</v>
      </c>
      <c r="AY9" s="141">
        <v>1998</v>
      </c>
      <c r="AZ9" s="141">
        <v>235842434.78</v>
      </c>
      <c r="BA9" s="141">
        <v>431099044.73000002</v>
      </c>
      <c r="BB9" s="141">
        <v>572220132.32000005</v>
      </c>
      <c r="BC9" s="141">
        <v>676770555.13</v>
      </c>
      <c r="BD9" s="141">
        <v>735233519.44000006</v>
      </c>
      <c r="BE9" s="141">
        <v>771519078.00999999</v>
      </c>
      <c r="BF9" s="141">
        <v>794895219.02999997</v>
      </c>
      <c r="BG9" s="141">
        <v>799679583.47000003</v>
      </c>
      <c r="BH9" s="141">
        <v>801264987.82000005</v>
      </c>
      <c r="BI9" s="141">
        <v>802650313.92999995</v>
      </c>
      <c r="BJ9" s="141">
        <v>803090070.72000003</v>
      </c>
      <c r="BK9" s="141">
        <v>805308641.65999997</v>
      </c>
      <c r="BL9" s="141">
        <v>805393515.99000001</v>
      </c>
      <c r="BM9" s="141">
        <v>805441011.51999998</v>
      </c>
      <c r="BN9" s="141">
        <v>805489665.35000002</v>
      </c>
      <c r="BU9" s="141">
        <v>805489665.35000002</v>
      </c>
    </row>
    <row r="10" spans="1:73" ht="14.4" x14ac:dyDescent="0.3">
      <c r="A10" s="160" t="s">
        <v>231</v>
      </c>
      <c r="B10" s="161">
        <v>2002</v>
      </c>
      <c r="C10" s="161">
        <v>160536939.97000003</v>
      </c>
      <c r="D10" s="161">
        <v>290752298.23000002</v>
      </c>
      <c r="E10" s="161">
        <v>400568703.93000001</v>
      </c>
      <c r="F10" s="161">
        <v>488122435.76000005</v>
      </c>
      <c r="G10" s="161">
        <v>540281123.7700001</v>
      </c>
      <c r="H10" s="161">
        <v>561731093.79000008</v>
      </c>
      <c r="I10" s="161">
        <v>571235689.5</v>
      </c>
      <c r="J10" s="161">
        <v>574218955.93000007</v>
      </c>
      <c r="K10" s="161">
        <v>577248195.76999998</v>
      </c>
      <c r="L10" s="161">
        <v>577094782.48000002</v>
      </c>
      <c r="M10" s="161">
        <v>577402520.58000004</v>
      </c>
      <c r="N10" s="161">
        <v>577681733.55999994</v>
      </c>
      <c r="O10" s="161">
        <v>577811357.74000001</v>
      </c>
      <c r="P10" s="161">
        <v>577834042.68999994</v>
      </c>
      <c r="Q10" s="149"/>
      <c r="R10" s="149"/>
      <c r="S10" s="149"/>
      <c r="T10" s="149"/>
      <c r="U10" s="149"/>
      <c r="V10" s="149"/>
      <c r="W10" s="149"/>
      <c r="X10" s="161">
        <v>577834042.68999994</v>
      </c>
      <c r="Y10" s="145"/>
      <c r="Z10" s="145"/>
      <c r="AX10" s="141" t="s">
        <v>231</v>
      </c>
      <c r="AY10" s="141">
        <v>1999</v>
      </c>
      <c r="AZ10" s="141">
        <v>279672315.56</v>
      </c>
      <c r="BA10" s="141">
        <v>482248452.80000001</v>
      </c>
      <c r="BB10" s="141">
        <v>640016459.92999995</v>
      </c>
      <c r="BC10" s="141">
        <v>767189727.92999995</v>
      </c>
      <c r="BD10" s="141">
        <v>838104457.14999998</v>
      </c>
      <c r="BE10" s="141">
        <v>880464423.95000005</v>
      </c>
      <c r="BF10" s="141">
        <v>898011522.62</v>
      </c>
      <c r="BG10" s="141">
        <v>904808671.28999996</v>
      </c>
      <c r="BH10" s="141">
        <v>909131869.40999997</v>
      </c>
      <c r="BI10" s="141">
        <v>910273222.15999997</v>
      </c>
      <c r="BJ10" s="141">
        <v>910573897.34000003</v>
      </c>
      <c r="BK10" s="141">
        <v>910515533.27999997</v>
      </c>
      <c r="BL10" s="141">
        <v>910624042.30999994</v>
      </c>
      <c r="BM10" s="141">
        <v>910821785.76999998</v>
      </c>
      <c r="BU10" s="141">
        <v>910821785.76999998</v>
      </c>
    </row>
    <row r="11" spans="1:73" ht="14.4" x14ac:dyDescent="0.3">
      <c r="A11" s="160" t="s">
        <v>231</v>
      </c>
      <c r="B11" s="161">
        <v>2003</v>
      </c>
      <c r="C11" s="161">
        <v>131041243.17</v>
      </c>
      <c r="D11" s="161">
        <v>246329365.91</v>
      </c>
      <c r="E11" s="161">
        <v>344639194.42999995</v>
      </c>
      <c r="F11" s="161">
        <v>421448429.29999995</v>
      </c>
      <c r="G11" s="161">
        <v>467476116.22999996</v>
      </c>
      <c r="H11" s="161">
        <v>483632876.03999996</v>
      </c>
      <c r="I11" s="161">
        <v>488675565.64999998</v>
      </c>
      <c r="J11" s="161">
        <v>490543045.04000008</v>
      </c>
      <c r="K11" s="161">
        <v>491592903.65999997</v>
      </c>
      <c r="L11" s="161">
        <v>492797188.38999999</v>
      </c>
      <c r="M11" s="161">
        <v>492919561.66000003</v>
      </c>
      <c r="N11" s="161">
        <v>493833210.74000001</v>
      </c>
      <c r="O11" s="161">
        <v>493378135.10999995</v>
      </c>
      <c r="P11" s="149"/>
      <c r="Q11" s="149"/>
      <c r="R11" s="149"/>
      <c r="S11" s="149"/>
      <c r="T11" s="149"/>
      <c r="U11" s="149"/>
      <c r="V11" s="149"/>
      <c r="W11" s="149"/>
      <c r="X11" s="161">
        <v>493378135.10999995</v>
      </c>
      <c r="Y11" s="145"/>
      <c r="Z11" s="145"/>
      <c r="AX11" s="141" t="s">
        <v>231</v>
      </c>
      <c r="AY11" s="141">
        <v>2000</v>
      </c>
      <c r="AZ11" s="141">
        <v>270528046.63</v>
      </c>
      <c r="BA11" s="141">
        <v>462881027.18000001</v>
      </c>
      <c r="BB11" s="141">
        <v>611121050.70000005</v>
      </c>
      <c r="BC11" s="141">
        <v>736095336.25999999</v>
      </c>
      <c r="BD11" s="141">
        <v>814336523.13</v>
      </c>
      <c r="BE11" s="141">
        <v>838495111.96000004</v>
      </c>
      <c r="BF11" s="141">
        <v>851720323.29999995</v>
      </c>
      <c r="BG11" s="141">
        <v>857983123.07000005</v>
      </c>
      <c r="BH11" s="141">
        <v>860133884.22000003</v>
      </c>
      <c r="BI11" s="141">
        <v>861160225.85000002</v>
      </c>
      <c r="BJ11" s="141">
        <v>862593417.65999997</v>
      </c>
      <c r="BK11" s="141">
        <v>862427222.48000002</v>
      </c>
      <c r="BL11" s="141">
        <v>862880281.60000002</v>
      </c>
      <c r="BU11" s="141">
        <v>862880281.60000002</v>
      </c>
    </row>
    <row r="12" spans="1:73" ht="14.4" x14ac:dyDescent="0.3">
      <c r="A12" s="160" t="s">
        <v>231</v>
      </c>
      <c r="B12" s="161">
        <v>2004</v>
      </c>
      <c r="C12" s="161">
        <v>118726433.08999999</v>
      </c>
      <c r="D12" s="161">
        <v>235336029.22999999</v>
      </c>
      <c r="E12" s="161">
        <v>331400052.98999995</v>
      </c>
      <c r="F12" s="161">
        <v>403810195.06999999</v>
      </c>
      <c r="G12" s="161">
        <v>443885029.47999996</v>
      </c>
      <c r="H12" s="161">
        <v>461743253.89999998</v>
      </c>
      <c r="I12" s="161">
        <v>469525046.56999999</v>
      </c>
      <c r="J12" s="161">
        <v>472627690.25</v>
      </c>
      <c r="K12" s="161">
        <v>473950052.72999996</v>
      </c>
      <c r="L12" s="161">
        <v>474106370.35000002</v>
      </c>
      <c r="M12" s="161">
        <v>473653461.49000001</v>
      </c>
      <c r="N12" s="161">
        <v>474030627.34000003</v>
      </c>
      <c r="O12" s="149"/>
      <c r="P12" s="149"/>
      <c r="Q12" s="149"/>
      <c r="R12" s="149"/>
      <c r="S12" s="149"/>
      <c r="T12" s="149"/>
      <c r="U12" s="149"/>
      <c r="V12" s="149"/>
      <c r="W12" s="149"/>
      <c r="X12" s="161">
        <v>474030627.34000003</v>
      </c>
      <c r="Y12" s="145"/>
      <c r="Z12" s="145"/>
      <c r="AX12" s="141" t="s">
        <v>231</v>
      </c>
      <c r="AY12" s="141">
        <v>2001</v>
      </c>
      <c r="AZ12" s="141">
        <v>214988347.13999999</v>
      </c>
      <c r="BA12" s="141">
        <v>374773573.49000001</v>
      </c>
      <c r="BB12" s="141">
        <v>518198114.08999997</v>
      </c>
      <c r="BC12" s="141">
        <v>623649121.88</v>
      </c>
      <c r="BD12" s="141">
        <v>689946270.21000004</v>
      </c>
      <c r="BE12" s="141">
        <v>722481973.23000002</v>
      </c>
      <c r="BF12" s="141">
        <v>733990506.86000001</v>
      </c>
      <c r="BG12" s="141">
        <v>739972307.33000004</v>
      </c>
      <c r="BH12" s="141">
        <v>741876667.61000001</v>
      </c>
      <c r="BI12" s="141">
        <v>742611754.83000004</v>
      </c>
      <c r="BJ12" s="141">
        <v>741654979.88999999</v>
      </c>
      <c r="BK12" s="141">
        <v>742132863.01999998</v>
      </c>
      <c r="BU12" s="141">
        <v>742132863.01999998</v>
      </c>
    </row>
    <row r="13" spans="1:73" ht="14.4" x14ac:dyDescent="0.3">
      <c r="A13" s="160" t="s">
        <v>231</v>
      </c>
      <c r="B13" s="161">
        <v>2005</v>
      </c>
      <c r="C13" s="161">
        <v>111051733.11000001</v>
      </c>
      <c r="D13" s="161">
        <v>214025107.31999999</v>
      </c>
      <c r="E13" s="161">
        <v>299729028.00999999</v>
      </c>
      <c r="F13" s="161">
        <v>366958890.02000004</v>
      </c>
      <c r="G13" s="161">
        <v>398995068.17999995</v>
      </c>
      <c r="H13" s="161">
        <v>418025684.53000003</v>
      </c>
      <c r="I13" s="161">
        <v>423702647.72000003</v>
      </c>
      <c r="J13" s="161">
        <v>426139024.39999998</v>
      </c>
      <c r="K13" s="161">
        <v>426943353.78999996</v>
      </c>
      <c r="L13" s="161">
        <v>427514283.82999998</v>
      </c>
      <c r="M13" s="161">
        <v>427478309.96999997</v>
      </c>
      <c r="N13" s="149"/>
      <c r="O13" s="149"/>
      <c r="P13" s="149"/>
      <c r="Q13" s="149"/>
      <c r="R13" s="149"/>
      <c r="S13" s="149"/>
      <c r="T13" s="149"/>
      <c r="U13" s="149"/>
      <c r="V13" s="149"/>
      <c r="W13" s="149"/>
      <c r="X13" s="161">
        <v>427478309.96999997</v>
      </c>
      <c r="Y13" s="145"/>
      <c r="Z13" s="145"/>
      <c r="AX13" s="141" t="s">
        <v>231</v>
      </c>
      <c r="AY13" s="141">
        <v>2002</v>
      </c>
      <c r="AZ13" s="141">
        <v>160661543.65000001</v>
      </c>
      <c r="BA13" s="141">
        <v>294415576.31</v>
      </c>
      <c r="BB13" s="141">
        <v>405465236.20999998</v>
      </c>
      <c r="BC13" s="141">
        <v>493081802.79000002</v>
      </c>
      <c r="BD13" s="141">
        <v>545223373.94000006</v>
      </c>
      <c r="BE13" s="141">
        <v>566669655.05999994</v>
      </c>
      <c r="BF13" s="141">
        <v>576208625.22000003</v>
      </c>
      <c r="BG13" s="141">
        <v>579191891.64999998</v>
      </c>
      <c r="BH13" s="141">
        <v>582221131.49000001</v>
      </c>
      <c r="BI13" s="141">
        <v>582067718.20000005</v>
      </c>
      <c r="BJ13" s="141">
        <v>582375456.29999995</v>
      </c>
      <c r="BU13" s="141">
        <v>582375456.29999995</v>
      </c>
    </row>
    <row r="14" spans="1:73" ht="14.4" x14ac:dyDescent="0.3">
      <c r="A14" s="160" t="s">
        <v>231</v>
      </c>
      <c r="B14" s="161">
        <v>2006</v>
      </c>
      <c r="C14" s="161">
        <v>102091029.29000001</v>
      </c>
      <c r="D14" s="161">
        <v>205001302.75999999</v>
      </c>
      <c r="E14" s="161">
        <v>287557930.56</v>
      </c>
      <c r="F14" s="161">
        <v>337038347.01999998</v>
      </c>
      <c r="G14" s="161">
        <v>372216566.57000005</v>
      </c>
      <c r="H14" s="161">
        <v>386052840.29000002</v>
      </c>
      <c r="I14" s="161">
        <v>390780687.94999999</v>
      </c>
      <c r="J14" s="161">
        <v>391714717.00999999</v>
      </c>
      <c r="K14" s="161">
        <v>393382073.33999997</v>
      </c>
      <c r="L14" s="161">
        <v>393896042.5</v>
      </c>
      <c r="M14" s="149"/>
      <c r="N14" s="149"/>
      <c r="O14" s="149"/>
      <c r="P14" s="149"/>
      <c r="Q14" s="149"/>
      <c r="R14" s="149"/>
      <c r="S14" s="149"/>
      <c r="T14" s="149"/>
      <c r="U14" s="149"/>
      <c r="V14" s="149"/>
      <c r="W14" s="149"/>
      <c r="X14" s="161">
        <v>393896042.5</v>
      </c>
      <c r="Y14" s="145"/>
      <c r="Z14" s="145"/>
      <c r="AX14" s="141" t="s">
        <v>231</v>
      </c>
      <c r="AY14" s="141">
        <v>2003</v>
      </c>
      <c r="AZ14" s="141">
        <v>131214762.5</v>
      </c>
      <c r="BA14" s="141">
        <v>247701415.18000001</v>
      </c>
      <c r="BB14" s="141">
        <v>347152747.87</v>
      </c>
      <c r="BC14" s="141">
        <v>424192566.81999999</v>
      </c>
      <c r="BD14" s="141">
        <v>470235713.95999998</v>
      </c>
      <c r="BE14" s="141">
        <v>486437478.72000003</v>
      </c>
      <c r="BF14" s="141">
        <v>491493041.82999998</v>
      </c>
      <c r="BG14" s="141">
        <v>493373330.72000003</v>
      </c>
      <c r="BH14" s="141">
        <v>494426135.33999997</v>
      </c>
      <c r="BI14" s="141">
        <v>495630420.06999999</v>
      </c>
      <c r="BU14" s="141">
        <v>495630420.06999999</v>
      </c>
    </row>
    <row r="15" spans="1:73" ht="14.4" x14ac:dyDescent="0.3">
      <c r="A15" s="160" t="s">
        <v>231</v>
      </c>
      <c r="B15" s="161">
        <v>2007</v>
      </c>
      <c r="C15" s="161">
        <v>103450779.11</v>
      </c>
      <c r="D15" s="161">
        <v>199024027.70999998</v>
      </c>
      <c r="E15" s="161">
        <v>267368046.78</v>
      </c>
      <c r="F15" s="161">
        <v>319688275.17000002</v>
      </c>
      <c r="G15" s="161">
        <v>352627305.53000003</v>
      </c>
      <c r="H15" s="161">
        <v>364782751.93999994</v>
      </c>
      <c r="I15" s="161">
        <v>372920914.59999996</v>
      </c>
      <c r="J15" s="161">
        <v>373871501.31</v>
      </c>
      <c r="K15" s="161">
        <v>375229794.45999998</v>
      </c>
      <c r="L15" s="149"/>
      <c r="M15" s="149"/>
      <c r="N15" s="149"/>
      <c r="O15" s="149"/>
      <c r="P15" s="149"/>
      <c r="Q15" s="149"/>
      <c r="R15" s="149"/>
      <c r="S15" s="149"/>
      <c r="T15" s="149"/>
      <c r="U15" s="149"/>
      <c r="V15" s="149"/>
      <c r="W15" s="149"/>
      <c r="X15" s="161">
        <v>375229794.45999998</v>
      </c>
      <c r="Y15" s="145"/>
      <c r="Z15" s="145"/>
      <c r="AX15" s="141" t="s">
        <v>231</v>
      </c>
      <c r="AY15" s="141">
        <v>2004</v>
      </c>
      <c r="AZ15" s="141">
        <v>118819451.55</v>
      </c>
      <c r="BA15" s="141">
        <v>235745865.59</v>
      </c>
      <c r="BB15" s="141">
        <v>332603059.13</v>
      </c>
      <c r="BC15" s="141">
        <v>405042723.68000001</v>
      </c>
      <c r="BD15" s="141">
        <v>445630242.91000003</v>
      </c>
      <c r="BE15" s="141">
        <v>463488467.32999998</v>
      </c>
      <c r="BF15" s="141">
        <v>471270260</v>
      </c>
      <c r="BG15" s="141">
        <v>474372903.68000001</v>
      </c>
      <c r="BH15" s="141">
        <v>475695266.16000003</v>
      </c>
      <c r="BU15" s="141">
        <v>475695266.16000003</v>
      </c>
    </row>
    <row r="16" spans="1:73" ht="14.4" x14ac:dyDescent="0.3">
      <c r="A16" s="160" t="s">
        <v>231</v>
      </c>
      <c r="B16" s="161">
        <v>2008</v>
      </c>
      <c r="C16" s="161">
        <v>91142918.679999992</v>
      </c>
      <c r="D16" s="161">
        <v>171329997.08999997</v>
      </c>
      <c r="E16" s="161">
        <v>226507564.00999999</v>
      </c>
      <c r="F16" s="161">
        <v>263079482.94000003</v>
      </c>
      <c r="G16" s="161">
        <v>293322035.24999994</v>
      </c>
      <c r="H16" s="161">
        <v>308021635.45999998</v>
      </c>
      <c r="I16" s="161">
        <v>309499549.72000003</v>
      </c>
      <c r="J16" s="161">
        <v>310938103.03000009</v>
      </c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149"/>
      <c r="W16" s="149"/>
      <c r="X16" s="161">
        <v>310938103.03000009</v>
      </c>
      <c r="Y16" s="145"/>
      <c r="Z16" s="145"/>
      <c r="AX16" s="141" t="s">
        <v>231</v>
      </c>
      <c r="AY16" s="141">
        <v>2005</v>
      </c>
      <c r="AZ16" s="141">
        <v>111068950.66</v>
      </c>
      <c r="BA16" s="141">
        <v>214058468.88999999</v>
      </c>
      <c r="BB16" s="141">
        <v>299762326.57999998</v>
      </c>
      <c r="BC16" s="141">
        <v>366992188.58999997</v>
      </c>
      <c r="BD16" s="141">
        <v>399028366.75</v>
      </c>
      <c r="BE16" s="141">
        <v>418058983.10000002</v>
      </c>
      <c r="BF16" s="141">
        <v>423735946.29000002</v>
      </c>
      <c r="BG16" s="141">
        <v>426172322.97000003</v>
      </c>
      <c r="BU16" s="141">
        <v>426172322.97000003</v>
      </c>
    </row>
    <row r="17" spans="1:73" ht="14.4" x14ac:dyDescent="0.3">
      <c r="A17" s="160" t="s">
        <v>231</v>
      </c>
      <c r="B17" s="161">
        <v>2009</v>
      </c>
      <c r="C17" s="161">
        <v>78828496.090000004</v>
      </c>
      <c r="D17" s="161">
        <v>141958925.39999998</v>
      </c>
      <c r="E17" s="161">
        <v>206029633.36000001</v>
      </c>
      <c r="F17" s="161">
        <v>247040166.96000001</v>
      </c>
      <c r="G17" s="161">
        <v>274850914.92000002</v>
      </c>
      <c r="H17" s="161">
        <v>286406836.25999999</v>
      </c>
      <c r="I17" s="161">
        <v>288151473.25</v>
      </c>
      <c r="J17" s="149"/>
      <c r="K17" s="149"/>
      <c r="L17" s="149"/>
      <c r="M17" s="149"/>
      <c r="N17" s="149"/>
      <c r="O17" s="149"/>
      <c r="P17" s="149"/>
      <c r="Q17" s="149"/>
      <c r="R17" s="149"/>
      <c r="S17" s="149"/>
      <c r="T17" s="149"/>
      <c r="U17" s="149"/>
      <c r="V17" s="149"/>
      <c r="W17" s="149"/>
      <c r="X17" s="161">
        <v>288151473.25</v>
      </c>
      <c r="Y17" s="145"/>
      <c r="Z17" s="145"/>
      <c r="AX17" s="141" t="s">
        <v>231</v>
      </c>
      <c r="AY17" s="141">
        <v>2006</v>
      </c>
      <c r="AZ17" s="141">
        <v>102090872.33</v>
      </c>
      <c r="BA17" s="141">
        <v>205001145.80000001</v>
      </c>
      <c r="BB17" s="141">
        <v>287557773.60000002</v>
      </c>
      <c r="BC17" s="141">
        <v>337038190.06</v>
      </c>
      <c r="BD17" s="141">
        <v>372216409.61000001</v>
      </c>
      <c r="BE17" s="141">
        <v>386052683.32999998</v>
      </c>
      <c r="BF17" s="141">
        <v>390780530.99000001</v>
      </c>
      <c r="BU17" s="141">
        <v>390780530.99000001</v>
      </c>
    </row>
    <row r="18" spans="1:73" ht="14.4" x14ac:dyDescent="0.3">
      <c r="A18" s="160" t="s">
        <v>231</v>
      </c>
      <c r="B18" s="161">
        <v>2010</v>
      </c>
      <c r="C18" s="161">
        <v>76588685.270000011</v>
      </c>
      <c r="D18" s="161">
        <v>149059302.45999998</v>
      </c>
      <c r="E18" s="161">
        <v>213665431.07000002</v>
      </c>
      <c r="F18" s="161">
        <v>256208457.53999999</v>
      </c>
      <c r="G18" s="161">
        <v>280949404.96000004</v>
      </c>
      <c r="H18" s="161">
        <v>290965923.11000001</v>
      </c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61">
        <v>290965923.11000001</v>
      </c>
      <c r="Y18" s="145"/>
      <c r="Z18" s="145"/>
      <c r="AX18" s="141" t="s">
        <v>231</v>
      </c>
      <c r="AY18" s="141">
        <v>2007</v>
      </c>
      <c r="AZ18" s="141">
        <v>103450505.5</v>
      </c>
      <c r="BA18" s="141">
        <v>199029254.09999999</v>
      </c>
      <c r="BB18" s="141">
        <v>267373273.16999999</v>
      </c>
      <c r="BC18" s="141">
        <v>319693501.56</v>
      </c>
      <c r="BD18" s="141">
        <v>352632531.92000002</v>
      </c>
      <c r="BE18" s="141">
        <v>364787978.32999998</v>
      </c>
      <c r="BU18" s="141">
        <v>364787978.32999998</v>
      </c>
    </row>
    <row r="19" spans="1:73" ht="14.4" x14ac:dyDescent="0.3">
      <c r="A19" s="160" t="s">
        <v>231</v>
      </c>
      <c r="B19" s="161">
        <v>2011</v>
      </c>
      <c r="C19" s="161">
        <v>82395902.180000007</v>
      </c>
      <c r="D19" s="161">
        <v>150454860.95000002</v>
      </c>
      <c r="E19" s="161">
        <v>206091422.01999998</v>
      </c>
      <c r="F19" s="161">
        <v>254263492.39999998</v>
      </c>
      <c r="G19" s="161">
        <v>279350196.80000001</v>
      </c>
      <c r="H19" s="149"/>
      <c r="I19" s="149"/>
      <c r="J19" s="149"/>
      <c r="K19" s="149"/>
      <c r="L19" s="149"/>
      <c r="M19" s="149"/>
      <c r="N19" s="149"/>
      <c r="O19" s="149"/>
      <c r="P19" s="149"/>
      <c r="Q19" s="149"/>
      <c r="R19" s="149"/>
      <c r="S19" s="149"/>
      <c r="T19" s="149"/>
      <c r="U19" s="149"/>
      <c r="V19" s="149"/>
      <c r="W19" s="149"/>
      <c r="X19" s="161">
        <v>279350196.80000001</v>
      </c>
      <c r="Y19" s="145"/>
      <c r="Z19" s="145"/>
      <c r="AX19" s="141" t="s">
        <v>231</v>
      </c>
      <c r="AY19" s="141">
        <v>2008</v>
      </c>
      <c r="AZ19" s="141">
        <v>91125665.349999994</v>
      </c>
      <c r="BA19" s="141">
        <v>171312743.75999999</v>
      </c>
      <c r="BB19" s="141">
        <v>226490310.68000001</v>
      </c>
      <c r="BC19" s="141">
        <v>263062229.61000001</v>
      </c>
      <c r="BD19" s="141">
        <v>293304781.92000002</v>
      </c>
      <c r="BU19" s="141">
        <v>293304781.92000002</v>
      </c>
    </row>
    <row r="20" spans="1:73" ht="14.4" x14ac:dyDescent="0.3">
      <c r="A20" s="160" t="s">
        <v>231</v>
      </c>
      <c r="B20" s="161">
        <v>2012</v>
      </c>
      <c r="C20" s="161">
        <v>80268131.099999994</v>
      </c>
      <c r="D20" s="161">
        <v>161724275.57999998</v>
      </c>
      <c r="E20" s="161">
        <v>223997462.69999999</v>
      </c>
      <c r="F20" s="161">
        <v>260302446.56</v>
      </c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149"/>
      <c r="W20" s="149"/>
      <c r="X20" s="161">
        <v>260302446.56</v>
      </c>
      <c r="Y20" s="145"/>
      <c r="Z20" s="145"/>
      <c r="AX20" s="141" t="s">
        <v>231</v>
      </c>
      <c r="AY20" s="141">
        <v>2009</v>
      </c>
      <c r="AZ20" s="141">
        <v>78862300.790000007</v>
      </c>
      <c r="BA20" s="141">
        <v>142004240.16999999</v>
      </c>
      <c r="BB20" s="141">
        <v>206074948.13</v>
      </c>
      <c r="BC20" s="141">
        <v>247085481.72999999</v>
      </c>
      <c r="BU20" s="141">
        <v>247085481.72999999</v>
      </c>
    </row>
    <row r="21" spans="1:73" ht="14.4" x14ac:dyDescent="0.3">
      <c r="A21" s="160" t="s">
        <v>231</v>
      </c>
      <c r="B21" s="161">
        <v>2013</v>
      </c>
      <c r="C21" s="161">
        <v>77874186.359999999</v>
      </c>
      <c r="D21" s="161">
        <v>143052486.93000001</v>
      </c>
      <c r="E21" s="161">
        <v>177375282.70999998</v>
      </c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49"/>
      <c r="R21" s="149"/>
      <c r="S21" s="149"/>
      <c r="T21" s="149"/>
      <c r="U21" s="149"/>
      <c r="V21" s="149"/>
      <c r="W21" s="149"/>
      <c r="X21" s="161">
        <v>177375282.70999998</v>
      </c>
      <c r="Y21" s="145"/>
      <c r="Z21" s="145"/>
      <c r="AX21" s="141" t="s">
        <v>231</v>
      </c>
      <c r="AY21" s="141">
        <v>2010</v>
      </c>
      <c r="AZ21" s="141">
        <v>76596993.609999999</v>
      </c>
      <c r="BA21" s="141">
        <v>149067610.80000001</v>
      </c>
      <c r="BB21" s="141">
        <v>213673739.41</v>
      </c>
      <c r="BU21" s="141">
        <v>213673739.41</v>
      </c>
    </row>
    <row r="22" spans="1:73" ht="14.4" x14ac:dyDescent="0.3">
      <c r="A22" s="160" t="s">
        <v>231</v>
      </c>
      <c r="B22" s="161">
        <v>2014</v>
      </c>
      <c r="C22" s="161">
        <v>67529391.010000005</v>
      </c>
      <c r="D22" s="161">
        <v>107170150.26000001</v>
      </c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149"/>
      <c r="W22" s="149"/>
      <c r="X22" s="161">
        <v>107170150.26000001</v>
      </c>
      <c r="Y22" s="145"/>
      <c r="Z22" s="145"/>
      <c r="AX22" s="141" t="s">
        <v>231</v>
      </c>
      <c r="AY22" s="141">
        <v>2011</v>
      </c>
      <c r="AZ22" s="141">
        <v>82396238.569999993</v>
      </c>
      <c r="BA22" s="141">
        <v>150480811.47</v>
      </c>
      <c r="BU22" s="141">
        <v>150480811.47</v>
      </c>
    </row>
    <row r="23" spans="1:73" ht="14.4" x14ac:dyDescent="0.3">
      <c r="A23" s="160" t="s">
        <v>231</v>
      </c>
      <c r="B23" s="161">
        <v>2015</v>
      </c>
      <c r="C23" s="161">
        <v>54245369.539999999</v>
      </c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61">
        <v>54245369.539999999</v>
      </c>
      <c r="Y23" s="145"/>
      <c r="Z23" s="145"/>
      <c r="AX23" s="141" t="s">
        <v>231</v>
      </c>
      <c r="AY23" s="141">
        <v>2012</v>
      </c>
      <c r="AZ23" s="141">
        <v>80268131.099999994</v>
      </c>
      <c r="BU23" s="141">
        <v>80268131.099999994</v>
      </c>
    </row>
    <row r="24" spans="1:73" ht="14.4" x14ac:dyDescent="0.3">
      <c r="A24" s="160" t="s">
        <v>232</v>
      </c>
      <c r="B24" s="161">
        <v>1995</v>
      </c>
      <c r="C24" s="161">
        <v>172694838.05000001</v>
      </c>
      <c r="D24" s="161">
        <v>392485263.38000005</v>
      </c>
      <c r="E24" s="161">
        <v>518622569.31999999</v>
      </c>
      <c r="F24" s="161">
        <v>612151747.36000013</v>
      </c>
      <c r="G24" s="161">
        <v>665898226.44999993</v>
      </c>
      <c r="H24" s="161">
        <v>700251460.02999997</v>
      </c>
      <c r="I24" s="161">
        <v>724621298.32999992</v>
      </c>
      <c r="J24" s="161">
        <v>739354732.76999998</v>
      </c>
      <c r="K24" s="161">
        <v>749750957.87</v>
      </c>
      <c r="L24" s="161">
        <v>759396426.66999996</v>
      </c>
      <c r="M24" s="161">
        <v>767700152.67999995</v>
      </c>
      <c r="N24" s="161">
        <v>776575648.24999988</v>
      </c>
      <c r="O24" s="161">
        <v>783456093.40999997</v>
      </c>
      <c r="P24" s="161">
        <v>789410563.07999992</v>
      </c>
      <c r="Q24" s="161">
        <v>793710197.01999998</v>
      </c>
      <c r="R24" s="161">
        <v>799122751.79999995</v>
      </c>
      <c r="S24" s="161">
        <v>803838018.59000003</v>
      </c>
      <c r="T24" s="161">
        <v>812639520.24999988</v>
      </c>
      <c r="U24" s="161">
        <v>816822858.2299999</v>
      </c>
      <c r="V24" s="161">
        <v>822808192.88</v>
      </c>
      <c r="W24" s="161">
        <v>826341283.13999999</v>
      </c>
      <c r="X24" s="161">
        <v>826341283.13999999</v>
      </c>
      <c r="Y24" s="145"/>
      <c r="Z24" s="145"/>
      <c r="AX24" s="141" t="s">
        <v>232</v>
      </c>
      <c r="AY24" s="141">
        <v>1992</v>
      </c>
      <c r="AZ24" s="141">
        <v>13371626812.879999</v>
      </c>
      <c r="BA24" s="141">
        <v>14884032251.9</v>
      </c>
      <c r="BB24" s="141">
        <v>15801348836.389999</v>
      </c>
      <c r="BC24" s="141">
        <v>16416850718.209999</v>
      </c>
      <c r="BD24" s="141">
        <v>16897238735.52</v>
      </c>
      <c r="BE24" s="141">
        <v>17222379110.470001</v>
      </c>
      <c r="BF24" s="141">
        <v>17504124264.419998</v>
      </c>
      <c r="BG24" s="141">
        <v>17730986734.790001</v>
      </c>
      <c r="BH24" s="141">
        <v>17891437909.5</v>
      </c>
      <c r="BI24" s="141">
        <v>18030123007.029999</v>
      </c>
      <c r="BJ24" s="141">
        <v>18150983577.669998</v>
      </c>
      <c r="BK24" s="141">
        <v>18268071068.330002</v>
      </c>
      <c r="BL24" s="141">
        <v>18366155616.709999</v>
      </c>
      <c r="BM24" s="141">
        <v>18464822890.75</v>
      </c>
      <c r="BN24" s="141">
        <v>18565530046.610001</v>
      </c>
      <c r="BO24" s="141">
        <v>18660648019.669998</v>
      </c>
      <c r="BP24" s="141">
        <v>18715383646.93</v>
      </c>
      <c r="BQ24" s="141">
        <v>18789726724.389999</v>
      </c>
      <c r="BR24" s="141">
        <v>18858797608.720001</v>
      </c>
      <c r="BS24" s="141">
        <v>18926780255.68</v>
      </c>
      <c r="BT24" s="141">
        <v>18995691995.07</v>
      </c>
      <c r="BU24" s="141">
        <v>18995691995.07</v>
      </c>
    </row>
    <row r="25" spans="1:73" ht="14.4" x14ac:dyDescent="0.3">
      <c r="A25" s="160" t="s">
        <v>232</v>
      </c>
      <c r="B25" s="161">
        <v>1996</v>
      </c>
      <c r="C25" s="161">
        <v>178909420.32000002</v>
      </c>
      <c r="D25" s="161">
        <v>402387418.36999995</v>
      </c>
      <c r="E25" s="161">
        <v>533255679.59000003</v>
      </c>
      <c r="F25" s="161">
        <v>614451769.17999995</v>
      </c>
      <c r="G25" s="161">
        <v>662569218.31999993</v>
      </c>
      <c r="H25" s="161">
        <v>689722493.96999991</v>
      </c>
      <c r="I25" s="161">
        <v>709678990.03999996</v>
      </c>
      <c r="J25" s="161">
        <v>721717143.72000003</v>
      </c>
      <c r="K25" s="161">
        <v>730458853.22000003</v>
      </c>
      <c r="L25" s="161">
        <v>740209437.96999991</v>
      </c>
      <c r="M25" s="161">
        <v>747675281.89999998</v>
      </c>
      <c r="N25" s="161">
        <v>752951646.62</v>
      </c>
      <c r="O25" s="161">
        <v>758881542.20999992</v>
      </c>
      <c r="P25" s="161">
        <v>763988513.30000007</v>
      </c>
      <c r="Q25" s="161">
        <v>768089555.83999991</v>
      </c>
      <c r="R25" s="161">
        <v>771785911.79999995</v>
      </c>
      <c r="S25" s="161">
        <v>776573396.18999994</v>
      </c>
      <c r="T25" s="161">
        <v>780736908.50999987</v>
      </c>
      <c r="U25" s="161">
        <v>784500316.79999995</v>
      </c>
      <c r="V25" s="161">
        <v>787135188.56999993</v>
      </c>
      <c r="W25" s="149"/>
      <c r="X25" s="161">
        <v>787135188.56999993</v>
      </c>
      <c r="Y25" s="145"/>
      <c r="Z25" s="145"/>
      <c r="AX25" s="141" t="s">
        <v>232</v>
      </c>
      <c r="AY25" s="141">
        <v>1993</v>
      </c>
      <c r="AZ25" s="141">
        <v>354802095.54000002</v>
      </c>
      <c r="BA25" s="141">
        <v>763365383.53999996</v>
      </c>
      <c r="BB25" s="141">
        <v>1012577753.75</v>
      </c>
      <c r="BC25" s="141">
        <v>1194931327.3099999</v>
      </c>
      <c r="BD25" s="141">
        <v>1302669617.9000001</v>
      </c>
      <c r="BE25" s="141">
        <v>1376842658.5699999</v>
      </c>
      <c r="BF25" s="141">
        <v>1426446983.9300001</v>
      </c>
      <c r="BG25" s="141">
        <v>1460081532.27</v>
      </c>
      <c r="BH25" s="141">
        <v>1486164189.9200001</v>
      </c>
      <c r="BI25" s="141">
        <v>1505498182.8499999</v>
      </c>
      <c r="BJ25" s="141">
        <v>1517909114.77</v>
      </c>
      <c r="BK25" s="141">
        <v>1530822322.54</v>
      </c>
      <c r="BL25" s="141">
        <v>1541593055.6099999</v>
      </c>
      <c r="BM25" s="141">
        <v>1553016385.77</v>
      </c>
      <c r="BN25" s="141">
        <v>1563479105.3099999</v>
      </c>
      <c r="BO25" s="141">
        <v>1572063418.3599999</v>
      </c>
      <c r="BP25" s="141">
        <v>1581090741.96</v>
      </c>
      <c r="BQ25" s="141">
        <v>1589437014.72</v>
      </c>
      <c r="BR25" s="141">
        <v>1598069481.8299999</v>
      </c>
      <c r="BS25" s="141">
        <v>1606027126.9400001</v>
      </c>
      <c r="BU25" s="141">
        <v>1606027126.9400001</v>
      </c>
    </row>
    <row r="26" spans="1:73" ht="14.4" x14ac:dyDescent="0.3">
      <c r="A26" s="160" t="s">
        <v>232</v>
      </c>
      <c r="B26" s="161">
        <v>1997</v>
      </c>
      <c r="C26" s="161">
        <v>201668319.74000001</v>
      </c>
      <c r="D26" s="161">
        <v>463267319.19</v>
      </c>
      <c r="E26" s="161">
        <v>609073895.50000012</v>
      </c>
      <c r="F26" s="161">
        <v>692255807.04999995</v>
      </c>
      <c r="G26" s="161">
        <v>749157922.26999998</v>
      </c>
      <c r="H26" s="161">
        <v>782597340.36000001</v>
      </c>
      <c r="I26" s="161">
        <v>801650941.03999996</v>
      </c>
      <c r="J26" s="161">
        <v>816585714.23000002</v>
      </c>
      <c r="K26" s="161">
        <v>828976032.92999995</v>
      </c>
      <c r="L26" s="161">
        <v>839227196.99000001</v>
      </c>
      <c r="M26" s="161">
        <v>856625923.69000006</v>
      </c>
      <c r="N26" s="161">
        <v>863344975.50999999</v>
      </c>
      <c r="O26" s="161">
        <v>869912209.74000001</v>
      </c>
      <c r="P26" s="161">
        <v>877372377.74000001</v>
      </c>
      <c r="Q26" s="161">
        <v>883509928.24000001</v>
      </c>
      <c r="R26" s="161">
        <v>888684426.37</v>
      </c>
      <c r="S26" s="161">
        <v>893967785.81999993</v>
      </c>
      <c r="T26" s="161">
        <v>899695296.68999994</v>
      </c>
      <c r="U26" s="161">
        <v>904050865.43999994</v>
      </c>
      <c r="V26" s="149"/>
      <c r="W26" s="149"/>
      <c r="X26" s="161">
        <v>904050865.43999994</v>
      </c>
      <c r="Y26" s="145"/>
      <c r="Z26" s="145"/>
      <c r="AX26" s="141" t="s">
        <v>232</v>
      </c>
      <c r="AY26" s="141">
        <v>1994</v>
      </c>
      <c r="AZ26" s="141">
        <v>356767985.73000002</v>
      </c>
      <c r="BA26" s="141">
        <v>745863374.44000006</v>
      </c>
      <c r="BB26" s="141">
        <v>1014624020.72</v>
      </c>
      <c r="BC26" s="141">
        <v>1188913993.3800001</v>
      </c>
      <c r="BD26" s="141">
        <v>1296595847.3699999</v>
      </c>
      <c r="BE26" s="141">
        <v>1372384444.54</v>
      </c>
      <c r="BF26" s="141">
        <v>1418672064.6900001</v>
      </c>
      <c r="BG26" s="141">
        <v>1452883742.71</v>
      </c>
      <c r="BH26" s="141">
        <v>1477491484.3599999</v>
      </c>
      <c r="BI26" s="141">
        <v>1492403359.45</v>
      </c>
      <c r="BJ26" s="141">
        <v>1511016101.7</v>
      </c>
      <c r="BK26" s="141">
        <v>1522832447.4300001</v>
      </c>
      <c r="BL26" s="141">
        <v>1535228403.48</v>
      </c>
      <c r="BM26" s="141">
        <v>1547472170.9400001</v>
      </c>
      <c r="BN26" s="141">
        <v>1559103694.5899999</v>
      </c>
      <c r="BO26" s="141">
        <v>1568088234.8299999</v>
      </c>
      <c r="BP26" s="141">
        <v>1577043036.8299999</v>
      </c>
      <c r="BQ26" s="141">
        <v>1585341021.72</v>
      </c>
      <c r="BR26" s="141">
        <v>1592046339.77</v>
      </c>
      <c r="BU26" s="141">
        <v>1592046339.77</v>
      </c>
    </row>
    <row r="27" spans="1:73" ht="14.4" x14ac:dyDescent="0.3">
      <c r="A27" s="160" t="s">
        <v>232</v>
      </c>
      <c r="B27" s="161">
        <v>1998</v>
      </c>
      <c r="C27" s="161">
        <v>226045367.58000001</v>
      </c>
      <c r="D27" s="161">
        <v>533417325.08999997</v>
      </c>
      <c r="E27" s="161">
        <v>706510081.25</v>
      </c>
      <c r="F27" s="161">
        <v>807948398.47000003</v>
      </c>
      <c r="G27" s="161">
        <v>878763409.81000006</v>
      </c>
      <c r="H27" s="161">
        <v>917990785</v>
      </c>
      <c r="I27" s="161">
        <v>945491772.91999996</v>
      </c>
      <c r="J27" s="161">
        <v>966837965.7700001</v>
      </c>
      <c r="K27" s="161">
        <v>986772303.49000001</v>
      </c>
      <c r="L27" s="161">
        <v>1003449141.89</v>
      </c>
      <c r="M27" s="161">
        <v>1015381098.89</v>
      </c>
      <c r="N27" s="161">
        <v>1025096817.99</v>
      </c>
      <c r="O27" s="161">
        <v>1032293855.1</v>
      </c>
      <c r="P27" s="161">
        <v>1039489922.0799999</v>
      </c>
      <c r="Q27" s="161">
        <v>1046719408.09</v>
      </c>
      <c r="R27" s="161">
        <v>1054078507.36</v>
      </c>
      <c r="S27" s="161">
        <v>1059912821.23</v>
      </c>
      <c r="T27" s="161">
        <v>1065630035.78</v>
      </c>
      <c r="U27" s="149"/>
      <c r="V27" s="149"/>
      <c r="W27" s="149"/>
      <c r="X27" s="161">
        <v>1065630035.78</v>
      </c>
      <c r="Y27" s="145"/>
      <c r="Z27" s="145"/>
      <c r="AX27" s="141" t="s">
        <v>232</v>
      </c>
      <c r="AY27" s="141">
        <v>1995</v>
      </c>
      <c r="AZ27" s="141">
        <v>321047967.33999997</v>
      </c>
      <c r="BA27" s="141">
        <v>740297892.09000003</v>
      </c>
      <c r="BB27" s="141">
        <v>975005496.00999999</v>
      </c>
      <c r="BC27" s="141">
        <v>1137776831.52</v>
      </c>
      <c r="BD27" s="141">
        <v>1237049784.77</v>
      </c>
      <c r="BE27" s="141">
        <v>1306096187.8099999</v>
      </c>
      <c r="BF27" s="141">
        <v>1353434259.1700001</v>
      </c>
      <c r="BG27" s="141">
        <v>1387831341.23</v>
      </c>
      <c r="BH27" s="141">
        <v>1410773158.1900001</v>
      </c>
      <c r="BI27" s="141">
        <v>1430336096.8399999</v>
      </c>
      <c r="BJ27" s="141">
        <v>1447737649.8</v>
      </c>
      <c r="BK27" s="141">
        <v>1465072159.4300001</v>
      </c>
      <c r="BL27" s="141">
        <v>1481528973.01</v>
      </c>
      <c r="BM27" s="141">
        <v>1493276155.6800001</v>
      </c>
      <c r="BN27" s="141">
        <v>1504644997.5</v>
      </c>
      <c r="BO27" s="141">
        <v>1514596724.3099999</v>
      </c>
      <c r="BP27" s="141">
        <v>1523271480.6900001</v>
      </c>
      <c r="BQ27" s="141">
        <v>1535757740.9100001</v>
      </c>
      <c r="BU27" s="141">
        <v>1535757740.9100001</v>
      </c>
    </row>
    <row r="28" spans="1:73" ht="14.4" x14ac:dyDescent="0.3">
      <c r="A28" s="160" t="s">
        <v>232</v>
      </c>
      <c r="B28" s="161">
        <v>1999</v>
      </c>
      <c r="C28" s="161">
        <v>270363010.29999995</v>
      </c>
      <c r="D28" s="161">
        <v>594707429.0999999</v>
      </c>
      <c r="E28" s="161">
        <v>757804078.31000006</v>
      </c>
      <c r="F28" s="161">
        <v>834769484.84000003</v>
      </c>
      <c r="G28" s="161">
        <v>782838656.46000004</v>
      </c>
      <c r="H28" s="161">
        <v>827456819.45999992</v>
      </c>
      <c r="I28" s="161">
        <v>854183653.2700001</v>
      </c>
      <c r="J28" s="161">
        <v>881835968</v>
      </c>
      <c r="K28" s="161">
        <v>899218410.28000009</v>
      </c>
      <c r="L28" s="161">
        <v>911522235.03999996</v>
      </c>
      <c r="M28" s="161">
        <v>921233294.38999987</v>
      </c>
      <c r="N28" s="161">
        <v>876633109.70000005</v>
      </c>
      <c r="O28" s="161">
        <v>886211837.49000001</v>
      </c>
      <c r="P28" s="161">
        <v>895581220.13999999</v>
      </c>
      <c r="Q28" s="161">
        <v>904307175.8299998</v>
      </c>
      <c r="R28" s="161">
        <v>911210139.89999986</v>
      </c>
      <c r="S28" s="161">
        <v>919559420.43000007</v>
      </c>
      <c r="T28" s="149"/>
      <c r="U28" s="149"/>
      <c r="V28" s="149"/>
      <c r="W28" s="149"/>
      <c r="X28" s="161">
        <v>919559420.43000007</v>
      </c>
      <c r="Y28" s="145"/>
      <c r="Z28" s="145"/>
      <c r="AX28" s="141" t="s">
        <v>232</v>
      </c>
      <c r="AY28" s="141">
        <v>1996</v>
      </c>
      <c r="AZ28" s="141">
        <v>349745826.79000002</v>
      </c>
      <c r="BA28" s="141">
        <v>785141123.40999997</v>
      </c>
      <c r="BB28" s="141">
        <v>1037132428.21</v>
      </c>
      <c r="BC28" s="141">
        <v>1194202814.1600001</v>
      </c>
      <c r="BD28" s="141">
        <v>1294001045.6300001</v>
      </c>
      <c r="BE28" s="141">
        <v>1359677144.3399999</v>
      </c>
      <c r="BF28" s="141">
        <v>1403455179.55</v>
      </c>
      <c r="BG28" s="141">
        <v>1435045707.8199999</v>
      </c>
      <c r="BH28" s="141">
        <v>1457703851.73</v>
      </c>
      <c r="BI28" s="141">
        <v>1479406384.4300001</v>
      </c>
      <c r="BJ28" s="141">
        <v>1496815623.5799999</v>
      </c>
      <c r="BK28" s="141">
        <v>1512361086.0699999</v>
      </c>
      <c r="BL28" s="141">
        <v>1525664285.1800001</v>
      </c>
      <c r="BM28" s="141">
        <v>1539039116.04</v>
      </c>
      <c r="BN28" s="141">
        <v>1550419104.8900001</v>
      </c>
      <c r="BO28" s="141">
        <v>1560830551.5799999</v>
      </c>
      <c r="BP28" s="141">
        <v>1571274514.9100001</v>
      </c>
      <c r="BU28" s="141">
        <v>1571274514.9100001</v>
      </c>
    </row>
    <row r="29" spans="1:73" ht="14.4" x14ac:dyDescent="0.3">
      <c r="A29" s="160" t="s">
        <v>232</v>
      </c>
      <c r="B29" s="161">
        <v>2000</v>
      </c>
      <c r="C29" s="161">
        <v>218101583.86000001</v>
      </c>
      <c r="D29" s="161">
        <v>508490280.50999999</v>
      </c>
      <c r="E29" s="161">
        <v>653411355.78999996</v>
      </c>
      <c r="F29" s="161">
        <v>624854493.05999994</v>
      </c>
      <c r="G29" s="161">
        <v>692107534.78000009</v>
      </c>
      <c r="H29" s="161">
        <v>737600635.10000002</v>
      </c>
      <c r="I29" s="161">
        <v>766938886.63</v>
      </c>
      <c r="J29" s="161">
        <v>784806533.18999994</v>
      </c>
      <c r="K29" s="161">
        <v>804246492.18999994</v>
      </c>
      <c r="L29" s="161">
        <v>817343220.44999993</v>
      </c>
      <c r="M29" s="161">
        <v>761592487.70999992</v>
      </c>
      <c r="N29" s="161">
        <v>772653834.96000004</v>
      </c>
      <c r="O29" s="161">
        <v>784085371.83000004</v>
      </c>
      <c r="P29" s="161">
        <v>794991397.6500001</v>
      </c>
      <c r="Q29" s="161">
        <v>804893660.38000011</v>
      </c>
      <c r="R29" s="161">
        <v>811795608.01000011</v>
      </c>
      <c r="S29" s="149"/>
      <c r="T29" s="149"/>
      <c r="U29" s="149"/>
      <c r="V29" s="149"/>
      <c r="W29" s="149"/>
      <c r="X29" s="161">
        <v>811795608.01000011</v>
      </c>
      <c r="Y29" s="145"/>
      <c r="Z29" s="145"/>
      <c r="AX29" s="141" t="s">
        <v>232</v>
      </c>
      <c r="AY29" s="141">
        <v>1997</v>
      </c>
      <c r="AZ29" s="141">
        <v>404582700.26999998</v>
      </c>
      <c r="BA29" s="141">
        <v>918859662.00999999</v>
      </c>
      <c r="BB29" s="141">
        <v>1202360834.9000001</v>
      </c>
      <c r="BC29" s="141">
        <v>1377393602.1400001</v>
      </c>
      <c r="BD29" s="141">
        <v>1490325598.1099999</v>
      </c>
      <c r="BE29" s="141">
        <v>1564984671.77</v>
      </c>
      <c r="BF29" s="141">
        <v>1617685560.55</v>
      </c>
      <c r="BG29" s="141">
        <v>1654551217.0699999</v>
      </c>
      <c r="BH29" s="141">
        <v>1682236811.4200001</v>
      </c>
      <c r="BI29" s="141">
        <v>1705695495.05</v>
      </c>
      <c r="BJ29" s="141">
        <v>1735834217.8900001</v>
      </c>
      <c r="BK29" s="141">
        <v>1752627613.72</v>
      </c>
      <c r="BL29" s="141">
        <v>1768031194.3099999</v>
      </c>
      <c r="BM29" s="141">
        <v>1783282067.6700001</v>
      </c>
      <c r="BN29" s="141">
        <v>1796460931.47</v>
      </c>
      <c r="BO29" s="141">
        <v>1808387949.5999999</v>
      </c>
      <c r="BU29" s="141">
        <v>1808387949.5999999</v>
      </c>
    </row>
    <row r="30" spans="1:73" ht="14.4" x14ac:dyDescent="0.3">
      <c r="A30" s="160" t="s">
        <v>232</v>
      </c>
      <c r="B30" s="161">
        <v>2001</v>
      </c>
      <c r="C30" s="161">
        <v>207363497.41999999</v>
      </c>
      <c r="D30" s="161">
        <v>462649432.83000004</v>
      </c>
      <c r="E30" s="161">
        <v>596746993.82000005</v>
      </c>
      <c r="F30" s="161">
        <v>662897949.76999998</v>
      </c>
      <c r="G30" s="161">
        <v>694419863.6099999</v>
      </c>
      <c r="H30" s="161">
        <v>710395727.13999999</v>
      </c>
      <c r="I30" s="161">
        <v>725596255.54999995</v>
      </c>
      <c r="J30" s="161">
        <v>736450804.13999999</v>
      </c>
      <c r="K30" s="161">
        <v>733616287.55999994</v>
      </c>
      <c r="L30" s="161">
        <v>660374502.78999996</v>
      </c>
      <c r="M30" s="161">
        <v>636400833.43999994</v>
      </c>
      <c r="N30" s="161">
        <v>645851187.47000003</v>
      </c>
      <c r="O30" s="161">
        <v>658041226.74000001</v>
      </c>
      <c r="P30" s="161">
        <v>667593182.52999997</v>
      </c>
      <c r="Q30" s="161">
        <v>672685519.48999989</v>
      </c>
      <c r="R30" s="149"/>
      <c r="S30" s="149"/>
      <c r="T30" s="149"/>
      <c r="U30" s="149"/>
      <c r="V30" s="149"/>
      <c r="W30" s="149"/>
      <c r="X30" s="161">
        <v>672685519.48999989</v>
      </c>
      <c r="Y30" s="145"/>
      <c r="Z30" s="145"/>
      <c r="AX30" s="141" t="s">
        <v>232</v>
      </c>
      <c r="AY30" s="141">
        <v>1998</v>
      </c>
      <c r="AZ30" s="141">
        <v>445060628.30000001</v>
      </c>
      <c r="BA30" s="141">
        <v>1046688923.21</v>
      </c>
      <c r="BB30" s="141">
        <v>1402500825.1199999</v>
      </c>
      <c r="BC30" s="141">
        <v>1620862656.01</v>
      </c>
      <c r="BD30" s="141">
        <v>1768765283.72</v>
      </c>
      <c r="BE30" s="141">
        <v>1865689054.78</v>
      </c>
      <c r="BF30" s="141">
        <v>1932008276.8900001</v>
      </c>
      <c r="BG30" s="141">
        <v>1981605180.4200001</v>
      </c>
      <c r="BH30" s="141">
        <v>2028269889.8599999</v>
      </c>
      <c r="BI30" s="141">
        <v>2066542916.22</v>
      </c>
      <c r="BJ30" s="141">
        <v>2097470560.98</v>
      </c>
      <c r="BK30" s="141">
        <v>2121459816.02</v>
      </c>
      <c r="BL30" s="141">
        <v>2139533144.23</v>
      </c>
      <c r="BM30" s="141">
        <v>2159032589.0700002</v>
      </c>
      <c r="BN30" s="141">
        <v>2176658885.5</v>
      </c>
      <c r="BU30" s="141">
        <v>2176658885.5</v>
      </c>
    </row>
    <row r="31" spans="1:73" ht="14.4" x14ac:dyDescent="0.3">
      <c r="A31" s="160" t="s">
        <v>232</v>
      </c>
      <c r="B31" s="161">
        <v>2002</v>
      </c>
      <c r="C31" s="161">
        <v>156574758.41</v>
      </c>
      <c r="D31" s="161">
        <v>363422893.47999996</v>
      </c>
      <c r="E31" s="161">
        <v>483465019.91000003</v>
      </c>
      <c r="F31" s="161">
        <v>559876798.18000007</v>
      </c>
      <c r="G31" s="161">
        <v>607672478.24000001</v>
      </c>
      <c r="H31" s="161">
        <v>638341591.84000003</v>
      </c>
      <c r="I31" s="161">
        <v>661252971.92000008</v>
      </c>
      <c r="J31" s="161">
        <v>677991178.77999997</v>
      </c>
      <c r="K31" s="161">
        <v>693495232.48999989</v>
      </c>
      <c r="L31" s="161">
        <v>705026505.53999996</v>
      </c>
      <c r="M31" s="161">
        <v>717168450.83000004</v>
      </c>
      <c r="N31" s="161">
        <v>723961296.59000003</v>
      </c>
      <c r="O31" s="161">
        <v>729972505.87000012</v>
      </c>
      <c r="P31" s="161">
        <v>735588194.82999992</v>
      </c>
      <c r="Q31" s="149"/>
      <c r="R31" s="149"/>
      <c r="S31" s="149"/>
      <c r="T31" s="149"/>
      <c r="U31" s="149"/>
      <c r="V31" s="149"/>
      <c r="W31" s="149"/>
      <c r="X31" s="161">
        <v>735588194.82999992</v>
      </c>
      <c r="Y31" s="145"/>
      <c r="Z31" s="145"/>
      <c r="AX31" s="141" t="s">
        <v>232</v>
      </c>
      <c r="AY31" s="141">
        <v>1999</v>
      </c>
      <c r="AZ31" s="141">
        <v>503536008.22000003</v>
      </c>
      <c r="BA31" s="141">
        <v>1162857086.5699999</v>
      </c>
      <c r="BB31" s="141">
        <v>1535952053.74</v>
      </c>
      <c r="BC31" s="141">
        <v>1732654189.77</v>
      </c>
      <c r="BD31" s="141">
        <v>1767966454.1700001</v>
      </c>
      <c r="BE31" s="141">
        <v>1874577620.02</v>
      </c>
      <c r="BF31" s="141">
        <v>1946720886.01</v>
      </c>
      <c r="BG31" s="141">
        <v>2008370530.52</v>
      </c>
      <c r="BH31" s="141">
        <v>2045703066.55</v>
      </c>
      <c r="BI31" s="141">
        <v>2079871569.99</v>
      </c>
      <c r="BJ31" s="141">
        <v>2106923943.3699999</v>
      </c>
      <c r="BK31" s="141">
        <v>2076117337.04</v>
      </c>
      <c r="BL31" s="141">
        <v>2100262381.74</v>
      </c>
      <c r="BM31" s="141">
        <v>2124145849.96</v>
      </c>
      <c r="BU31" s="141">
        <v>2124145849.96</v>
      </c>
    </row>
    <row r="32" spans="1:73" ht="14.4" x14ac:dyDescent="0.3">
      <c r="A32" s="160" t="s">
        <v>232</v>
      </c>
      <c r="B32" s="161">
        <v>2003</v>
      </c>
      <c r="C32" s="161">
        <v>124253413.05999999</v>
      </c>
      <c r="D32" s="161">
        <v>279150387.25</v>
      </c>
      <c r="E32" s="161">
        <v>367103379.57999998</v>
      </c>
      <c r="F32" s="161">
        <v>429940998.19</v>
      </c>
      <c r="G32" s="161">
        <v>467064087.50999999</v>
      </c>
      <c r="H32" s="161">
        <v>490408757.99999994</v>
      </c>
      <c r="I32" s="161">
        <v>506328039.76000005</v>
      </c>
      <c r="J32" s="161">
        <v>518420820.62</v>
      </c>
      <c r="K32" s="161">
        <v>528673345.86000001</v>
      </c>
      <c r="L32" s="161">
        <v>534252384.10000002</v>
      </c>
      <c r="M32" s="161">
        <v>542051463.30000007</v>
      </c>
      <c r="N32" s="161">
        <v>552674362.52999997</v>
      </c>
      <c r="O32" s="161">
        <v>557027372.66000009</v>
      </c>
      <c r="P32" s="149"/>
      <c r="Q32" s="149"/>
      <c r="R32" s="149"/>
      <c r="S32" s="149"/>
      <c r="T32" s="149"/>
      <c r="U32" s="149"/>
      <c r="V32" s="149"/>
      <c r="W32" s="149"/>
      <c r="X32" s="161">
        <v>557027372.66000009</v>
      </c>
      <c r="Y32" s="145"/>
      <c r="Z32" s="145"/>
      <c r="AX32" s="141" t="s">
        <v>232</v>
      </c>
      <c r="AY32" s="141">
        <v>2000</v>
      </c>
      <c r="AZ32" s="141">
        <v>439657621.64999998</v>
      </c>
      <c r="BA32" s="141">
        <v>1059015764.51</v>
      </c>
      <c r="BB32" s="141">
        <v>1399118690.3199999</v>
      </c>
      <c r="BC32" s="141">
        <v>1499198287.03</v>
      </c>
      <c r="BD32" s="141">
        <v>1650219811.8699999</v>
      </c>
      <c r="BE32" s="141">
        <v>1748244165.0999999</v>
      </c>
      <c r="BF32" s="141">
        <v>1819269858.6900001</v>
      </c>
      <c r="BG32" s="141">
        <v>1870315341.01</v>
      </c>
      <c r="BH32" s="141">
        <v>1906095259.9400001</v>
      </c>
      <c r="BI32" s="141">
        <v>1936015888.51</v>
      </c>
      <c r="BJ32" s="141">
        <v>1894689566.25</v>
      </c>
      <c r="BK32" s="141">
        <v>1912286435.0699999</v>
      </c>
      <c r="BL32" s="141">
        <v>1937232332.77</v>
      </c>
      <c r="BU32" s="141">
        <v>1937232332.77</v>
      </c>
    </row>
    <row r="33" spans="1:73" ht="14.4" x14ac:dyDescent="0.3">
      <c r="A33" s="160" t="s">
        <v>232</v>
      </c>
      <c r="B33" s="161">
        <v>2004</v>
      </c>
      <c r="C33" s="161">
        <v>98451418.5</v>
      </c>
      <c r="D33" s="161">
        <v>223064635.98000002</v>
      </c>
      <c r="E33" s="161">
        <v>290280706.43000007</v>
      </c>
      <c r="F33" s="161">
        <v>332796812.63</v>
      </c>
      <c r="G33" s="161">
        <v>361301545.91000003</v>
      </c>
      <c r="H33" s="161">
        <v>380147309.94000006</v>
      </c>
      <c r="I33" s="161">
        <v>392186202.29999995</v>
      </c>
      <c r="J33" s="161">
        <v>403296845.63</v>
      </c>
      <c r="K33" s="161">
        <v>411468611.65999997</v>
      </c>
      <c r="L33" s="161">
        <v>421949581.76999998</v>
      </c>
      <c r="M33" s="161">
        <v>427251517.17999995</v>
      </c>
      <c r="N33" s="161">
        <v>430974175.29999995</v>
      </c>
      <c r="O33" s="149"/>
      <c r="P33" s="149"/>
      <c r="Q33" s="149"/>
      <c r="R33" s="149"/>
      <c r="S33" s="149"/>
      <c r="T33" s="149"/>
      <c r="U33" s="149"/>
      <c r="V33" s="149"/>
      <c r="W33" s="149"/>
      <c r="X33" s="161">
        <v>430974175.29999995</v>
      </c>
      <c r="Y33" s="145"/>
      <c r="Z33" s="145"/>
      <c r="AX33" s="141" t="s">
        <v>232</v>
      </c>
      <c r="AY33" s="141">
        <v>2001</v>
      </c>
      <c r="AZ33" s="141">
        <v>445933840.5</v>
      </c>
      <c r="BA33" s="141">
        <v>1051559493.26</v>
      </c>
      <c r="BB33" s="141">
        <v>1398187386.4000001</v>
      </c>
      <c r="BC33" s="141">
        <v>1599273414.3699999</v>
      </c>
      <c r="BD33" s="141">
        <v>1710231553.8699999</v>
      </c>
      <c r="BE33" s="141">
        <v>1784511040.6099999</v>
      </c>
      <c r="BF33" s="141">
        <v>1839096281.54</v>
      </c>
      <c r="BG33" s="141">
        <v>1880790102.4300001</v>
      </c>
      <c r="BH33" s="141">
        <v>1897888963.02</v>
      </c>
      <c r="BI33" s="141">
        <v>1840941766.24</v>
      </c>
      <c r="BJ33" s="141">
        <v>1799481247.51</v>
      </c>
      <c r="BK33" s="141">
        <v>1821583595.6500001</v>
      </c>
      <c r="BU33" s="141">
        <v>1821583595.6500001</v>
      </c>
    </row>
    <row r="34" spans="1:73" ht="14.4" x14ac:dyDescent="0.3">
      <c r="A34" s="160" t="s">
        <v>232</v>
      </c>
      <c r="B34" s="161">
        <v>2005</v>
      </c>
      <c r="C34" s="161">
        <v>77040857.679999992</v>
      </c>
      <c r="D34" s="161">
        <v>180512596.05000001</v>
      </c>
      <c r="E34" s="161">
        <v>232649496.79999998</v>
      </c>
      <c r="F34" s="161">
        <v>266343149.62</v>
      </c>
      <c r="G34" s="161">
        <v>284088931.63</v>
      </c>
      <c r="H34" s="161">
        <v>293796153.76999998</v>
      </c>
      <c r="I34" s="161">
        <v>303190737.56</v>
      </c>
      <c r="J34" s="161">
        <v>317148301.96000004</v>
      </c>
      <c r="K34" s="161">
        <v>325414608.98000002</v>
      </c>
      <c r="L34" s="161">
        <v>331219654.56000006</v>
      </c>
      <c r="M34" s="161">
        <v>335685191.2700001</v>
      </c>
      <c r="N34" s="149"/>
      <c r="O34" s="149"/>
      <c r="P34" s="149"/>
      <c r="Q34" s="149"/>
      <c r="R34" s="149"/>
      <c r="S34" s="149"/>
      <c r="T34" s="149"/>
      <c r="U34" s="149"/>
      <c r="V34" s="149"/>
      <c r="W34" s="149"/>
      <c r="X34" s="161">
        <v>335685191.2700001</v>
      </c>
      <c r="Y34" s="145"/>
      <c r="Z34" s="145"/>
      <c r="AX34" s="141" t="s">
        <v>232</v>
      </c>
      <c r="AY34" s="141">
        <v>2002</v>
      </c>
      <c r="AZ34" s="141">
        <v>370161327.41000003</v>
      </c>
      <c r="BA34" s="141">
        <v>895631176.83000004</v>
      </c>
      <c r="BB34" s="141">
        <v>1213025461.21</v>
      </c>
      <c r="BC34" s="141">
        <v>1410189119.46</v>
      </c>
      <c r="BD34" s="141">
        <v>1532805221.0799999</v>
      </c>
      <c r="BE34" s="141">
        <v>1610887509.9200001</v>
      </c>
      <c r="BF34" s="141">
        <v>1675444682.02</v>
      </c>
      <c r="BG34" s="141">
        <v>1718582439.8199999</v>
      </c>
      <c r="BH34" s="141">
        <v>1755560438.5699999</v>
      </c>
      <c r="BI34" s="141">
        <v>1782971701.8</v>
      </c>
      <c r="BJ34" s="141">
        <v>1810628991.79</v>
      </c>
      <c r="BU34" s="141">
        <v>1810628991.79</v>
      </c>
    </row>
    <row r="35" spans="1:73" ht="14.4" x14ac:dyDescent="0.3">
      <c r="A35" s="160" t="s">
        <v>232</v>
      </c>
      <c r="B35" s="161">
        <v>2006</v>
      </c>
      <c r="C35" s="161">
        <v>76804784.49000001</v>
      </c>
      <c r="D35" s="161">
        <v>182661067.02000001</v>
      </c>
      <c r="E35" s="161">
        <v>235495024.23999998</v>
      </c>
      <c r="F35" s="161">
        <v>264985691.28</v>
      </c>
      <c r="G35" s="161">
        <v>281947871.65000004</v>
      </c>
      <c r="H35" s="161">
        <v>297706982.90999997</v>
      </c>
      <c r="I35" s="161">
        <v>308745561.39000005</v>
      </c>
      <c r="J35" s="161">
        <v>319246780.87</v>
      </c>
      <c r="K35" s="161">
        <v>324886089.27999997</v>
      </c>
      <c r="L35" s="161">
        <v>331251320.90999997</v>
      </c>
      <c r="M35" s="149"/>
      <c r="N35" s="149"/>
      <c r="O35" s="149"/>
      <c r="P35" s="149"/>
      <c r="Q35" s="149"/>
      <c r="R35" s="149"/>
      <c r="S35" s="149"/>
      <c r="T35" s="149"/>
      <c r="U35" s="149"/>
      <c r="V35" s="149"/>
      <c r="W35" s="149"/>
      <c r="X35" s="161">
        <v>331251320.90999997</v>
      </c>
      <c r="Y35" s="145"/>
      <c r="Z35" s="145"/>
      <c r="AX35" s="141" t="s">
        <v>232</v>
      </c>
      <c r="AY35" s="141">
        <v>2003</v>
      </c>
      <c r="AZ35" s="141">
        <v>287426990.95999998</v>
      </c>
      <c r="BA35" s="141">
        <v>663549158.05999994</v>
      </c>
      <c r="BB35" s="141">
        <v>883410835.14999998</v>
      </c>
      <c r="BC35" s="141">
        <v>1026501996.58</v>
      </c>
      <c r="BD35" s="141">
        <v>1112465765.9400001</v>
      </c>
      <c r="BE35" s="141">
        <v>1170891474.5899999</v>
      </c>
      <c r="BF35" s="141">
        <v>1211142512.72</v>
      </c>
      <c r="BG35" s="141">
        <v>1240215569.96</v>
      </c>
      <c r="BH35" s="141">
        <v>1265289286.1300001</v>
      </c>
      <c r="BI35" s="141">
        <v>1281931469.02</v>
      </c>
      <c r="BU35" s="141">
        <v>1281931469.02</v>
      </c>
    </row>
    <row r="36" spans="1:73" ht="14.4" x14ac:dyDescent="0.3">
      <c r="A36" s="160" t="s">
        <v>232</v>
      </c>
      <c r="B36" s="161">
        <v>2007</v>
      </c>
      <c r="C36" s="161">
        <v>82890912.650000006</v>
      </c>
      <c r="D36" s="161">
        <v>191790089.45999998</v>
      </c>
      <c r="E36" s="161">
        <v>254332807.60999998</v>
      </c>
      <c r="F36" s="161">
        <v>291306530.09000003</v>
      </c>
      <c r="G36" s="161">
        <v>314958577.15000004</v>
      </c>
      <c r="H36" s="161">
        <v>336814662.76999998</v>
      </c>
      <c r="I36" s="161">
        <v>351659815.61000001</v>
      </c>
      <c r="J36" s="161">
        <v>364542711.49000001</v>
      </c>
      <c r="K36" s="161">
        <v>372137560.93000001</v>
      </c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149"/>
      <c r="W36" s="149"/>
      <c r="X36" s="161">
        <v>372137560.93000001</v>
      </c>
      <c r="Y36" s="145"/>
      <c r="Z36" s="145"/>
      <c r="AX36" s="141" t="s">
        <v>232</v>
      </c>
      <c r="AY36" s="141">
        <v>2004</v>
      </c>
      <c r="AZ36" s="141">
        <v>222977540.49000001</v>
      </c>
      <c r="BA36" s="141">
        <v>505282013.17000002</v>
      </c>
      <c r="BB36" s="141">
        <v>665347351.63999999</v>
      </c>
      <c r="BC36" s="141">
        <v>765703823.35000002</v>
      </c>
      <c r="BD36" s="141">
        <v>828849836.84000003</v>
      </c>
      <c r="BE36" s="141">
        <v>871599578.48000002</v>
      </c>
      <c r="BF36" s="141">
        <v>902121564.33000004</v>
      </c>
      <c r="BG36" s="141">
        <v>925814620.50999999</v>
      </c>
      <c r="BH36" s="141">
        <v>945666504.25999999</v>
      </c>
      <c r="BU36" s="141">
        <v>945666504.25999999</v>
      </c>
    </row>
    <row r="37" spans="1:73" ht="14.4" x14ac:dyDescent="0.3">
      <c r="A37" s="160" t="s">
        <v>232</v>
      </c>
      <c r="B37" s="161">
        <v>2008</v>
      </c>
      <c r="C37" s="161">
        <v>80549145.819999993</v>
      </c>
      <c r="D37" s="161">
        <v>193653716.60999998</v>
      </c>
      <c r="E37" s="161">
        <v>257891326.84</v>
      </c>
      <c r="F37" s="161">
        <v>298735684.39999998</v>
      </c>
      <c r="G37" s="161">
        <v>324152273.98000002</v>
      </c>
      <c r="H37" s="161">
        <v>346376505.88999999</v>
      </c>
      <c r="I37" s="161">
        <v>359614399.57000005</v>
      </c>
      <c r="J37" s="161">
        <v>369218976.42000008</v>
      </c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61">
        <v>369218976.42000008</v>
      </c>
      <c r="Y37" s="145"/>
      <c r="Z37" s="145"/>
      <c r="AX37" s="141" t="s">
        <v>232</v>
      </c>
      <c r="AY37" s="141">
        <v>2005</v>
      </c>
      <c r="AZ37" s="141">
        <v>142140026.25999999</v>
      </c>
      <c r="BA37" s="141">
        <v>334212612.88</v>
      </c>
      <c r="BB37" s="141">
        <v>433206088.18000001</v>
      </c>
      <c r="BC37" s="141">
        <v>499406656.37</v>
      </c>
      <c r="BD37" s="141">
        <v>538095293.72000003</v>
      </c>
      <c r="BE37" s="141">
        <v>562901102.00999999</v>
      </c>
      <c r="BF37" s="141">
        <v>584770365.05999994</v>
      </c>
      <c r="BG37" s="141">
        <v>600330562.76999998</v>
      </c>
      <c r="BU37" s="141">
        <v>600330562.76999998</v>
      </c>
    </row>
    <row r="38" spans="1:73" ht="14.4" x14ac:dyDescent="0.3">
      <c r="A38" s="160" t="s">
        <v>232</v>
      </c>
      <c r="B38" s="161">
        <v>2009</v>
      </c>
      <c r="C38" s="161">
        <v>74334697.960000008</v>
      </c>
      <c r="D38" s="161">
        <v>171954221.78999999</v>
      </c>
      <c r="E38" s="161">
        <v>234812985.97</v>
      </c>
      <c r="F38" s="161">
        <v>270010408.93000001</v>
      </c>
      <c r="G38" s="161">
        <v>296487959.55000001</v>
      </c>
      <c r="H38" s="161">
        <v>313654075.55000001</v>
      </c>
      <c r="I38" s="161">
        <v>324370070.31999999</v>
      </c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61">
        <v>324370070.31999999</v>
      </c>
      <c r="Y38" s="145"/>
      <c r="Z38" s="145"/>
      <c r="AX38" s="141" t="s">
        <v>232</v>
      </c>
      <c r="AY38" s="141">
        <v>2006</v>
      </c>
      <c r="AZ38" s="141">
        <v>131044271.91</v>
      </c>
      <c r="BA38" s="141">
        <v>312220828.45999998</v>
      </c>
      <c r="BB38" s="141">
        <v>407901301.35000002</v>
      </c>
      <c r="BC38" s="141">
        <v>464711267.04000002</v>
      </c>
      <c r="BD38" s="141">
        <v>500018545.69999999</v>
      </c>
      <c r="BE38" s="141">
        <v>527647230.41000003</v>
      </c>
      <c r="BF38" s="141">
        <v>549175820.96000004</v>
      </c>
      <c r="BU38" s="141">
        <v>549175820.96000004</v>
      </c>
    </row>
    <row r="39" spans="1:73" ht="14.4" x14ac:dyDescent="0.3">
      <c r="A39" s="160" t="s">
        <v>232</v>
      </c>
      <c r="B39" s="161">
        <v>2010</v>
      </c>
      <c r="C39" s="161">
        <v>76516895.920000002</v>
      </c>
      <c r="D39" s="161">
        <v>186282852.92000002</v>
      </c>
      <c r="E39" s="161">
        <v>252594952.45999998</v>
      </c>
      <c r="F39" s="161">
        <v>301164176.50999999</v>
      </c>
      <c r="G39" s="161">
        <v>331587085.92000002</v>
      </c>
      <c r="H39" s="161">
        <v>349727198.74000001</v>
      </c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61">
        <v>349727198.74000001</v>
      </c>
      <c r="Y39" s="145"/>
      <c r="Z39" s="145"/>
      <c r="AX39" s="141" t="s">
        <v>232</v>
      </c>
      <c r="AY39" s="141">
        <v>2007</v>
      </c>
      <c r="AZ39" s="141">
        <v>132970279.84999999</v>
      </c>
      <c r="BA39" s="141">
        <v>306237682.49000001</v>
      </c>
      <c r="BB39" s="141">
        <v>408383533.63</v>
      </c>
      <c r="BC39" s="141">
        <v>468878630.19</v>
      </c>
      <c r="BD39" s="141">
        <v>507476720.29000002</v>
      </c>
      <c r="BE39" s="141">
        <v>540213840.66999996</v>
      </c>
      <c r="BU39" s="141">
        <v>540213840.66999996</v>
      </c>
    </row>
    <row r="40" spans="1:73" ht="14.4" x14ac:dyDescent="0.3">
      <c r="A40" s="160" t="s">
        <v>232</v>
      </c>
      <c r="B40" s="161">
        <v>2011</v>
      </c>
      <c r="C40" s="161">
        <v>75269408.219999999</v>
      </c>
      <c r="D40" s="161">
        <v>173592923.08000001</v>
      </c>
      <c r="E40" s="161">
        <v>233851245.84999999</v>
      </c>
      <c r="F40" s="161">
        <v>268707054.44</v>
      </c>
      <c r="G40" s="161">
        <v>291053013.20999998</v>
      </c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149"/>
      <c r="W40" s="149"/>
      <c r="X40" s="161">
        <v>291053013.20999998</v>
      </c>
      <c r="Y40" s="145"/>
      <c r="Z40" s="145"/>
      <c r="AX40" s="141" t="s">
        <v>232</v>
      </c>
      <c r="AY40" s="141">
        <v>2008</v>
      </c>
      <c r="AZ40" s="141">
        <v>120597624.23999999</v>
      </c>
      <c r="BA40" s="141">
        <v>287598149.75999999</v>
      </c>
      <c r="BB40" s="141">
        <v>388020825.52999997</v>
      </c>
      <c r="BC40" s="141">
        <v>448691773.25999999</v>
      </c>
      <c r="BD40" s="141">
        <v>488721367.41000003</v>
      </c>
      <c r="BU40" s="141">
        <v>488721367.41000003</v>
      </c>
    </row>
    <row r="41" spans="1:73" ht="14.4" x14ac:dyDescent="0.3">
      <c r="A41" s="160" t="s">
        <v>232</v>
      </c>
      <c r="B41" s="161">
        <v>2012</v>
      </c>
      <c r="C41" s="161">
        <v>60574204.080000006</v>
      </c>
      <c r="D41" s="161">
        <v>143890787.09</v>
      </c>
      <c r="E41" s="161">
        <v>194859112.85000002</v>
      </c>
      <c r="F41" s="161">
        <v>225010791.73000002</v>
      </c>
      <c r="G41" s="149"/>
      <c r="H41" s="149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49"/>
      <c r="T41" s="149"/>
      <c r="U41" s="149"/>
      <c r="V41" s="149"/>
      <c r="W41" s="149"/>
      <c r="X41" s="161">
        <v>225010791.73000002</v>
      </c>
      <c r="Y41" s="145"/>
      <c r="Z41" s="145"/>
      <c r="AX41" s="141" t="s">
        <v>232</v>
      </c>
      <c r="AY41" s="141">
        <v>2009</v>
      </c>
      <c r="AZ41" s="141">
        <v>108673010.33</v>
      </c>
      <c r="BA41" s="141">
        <v>257750894.83000001</v>
      </c>
      <c r="BB41" s="141">
        <v>350379418.99000001</v>
      </c>
      <c r="BC41" s="141">
        <v>406372776.06999999</v>
      </c>
      <c r="BU41" s="141">
        <v>406372776.06999999</v>
      </c>
    </row>
    <row r="42" spans="1:73" ht="14.4" x14ac:dyDescent="0.3">
      <c r="A42" s="160" t="s">
        <v>232</v>
      </c>
      <c r="B42" s="161">
        <v>2013</v>
      </c>
      <c r="C42" s="161">
        <v>57743594.420000009</v>
      </c>
      <c r="D42" s="161">
        <v>139643655.56</v>
      </c>
      <c r="E42" s="161">
        <v>186414262.56</v>
      </c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61">
        <v>186414262.56</v>
      </c>
      <c r="Y42" s="145"/>
      <c r="Z42" s="145"/>
      <c r="AX42" s="141" t="s">
        <v>232</v>
      </c>
      <c r="AY42" s="141">
        <v>2010</v>
      </c>
      <c r="AZ42" s="141">
        <v>110361866.83</v>
      </c>
      <c r="BA42" s="141">
        <v>267509281.81999999</v>
      </c>
      <c r="BB42" s="141">
        <v>362307818.19999999</v>
      </c>
      <c r="BU42" s="141">
        <v>362307818.19999999</v>
      </c>
    </row>
    <row r="43" spans="1:73" ht="14.4" x14ac:dyDescent="0.3">
      <c r="A43" s="160" t="s">
        <v>232</v>
      </c>
      <c r="B43" s="161">
        <v>2014</v>
      </c>
      <c r="C43" s="161">
        <v>49049697.330000006</v>
      </c>
      <c r="D43" s="161">
        <v>121217965.53</v>
      </c>
      <c r="E43" s="149"/>
      <c r="F43" s="149"/>
      <c r="G43" s="149"/>
      <c r="H43" s="149"/>
      <c r="I43" s="149"/>
      <c r="J43" s="149"/>
      <c r="K43" s="149"/>
      <c r="L43" s="149"/>
      <c r="M43" s="149"/>
      <c r="N43" s="149"/>
      <c r="O43" s="149"/>
      <c r="P43" s="149"/>
      <c r="Q43" s="149"/>
      <c r="R43" s="149"/>
      <c r="S43" s="149"/>
      <c r="T43" s="149"/>
      <c r="U43" s="149"/>
      <c r="V43" s="149"/>
      <c r="W43" s="149"/>
      <c r="X43" s="161">
        <v>121217965.53</v>
      </c>
      <c r="Y43" s="145"/>
      <c r="Z43" s="145"/>
      <c r="AX43" s="141" t="s">
        <v>232</v>
      </c>
      <c r="AY43" s="141">
        <v>2011</v>
      </c>
      <c r="AZ43" s="141">
        <v>107077284.15000001</v>
      </c>
      <c r="BA43" s="141">
        <v>251447077.75999999</v>
      </c>
      <c r="BU43" s="141">
        <v>251447077.75999999</v>
      </c>
    </row>
    <row r="44" spans="1:73" ht="14.4" x14ac:dyDescent="0.3">
      <c r="A44" s="160" t="s">
        <v>232</v>
      </c>
      <c r="B44" s="161">
        <v>2015</v>
      </c>
      <c r="C44" s="161">
        <v>42652151.909999996</v>
      </c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61">
        <v>42652151.909999996</v>
      </c>
      <c r="Y44" s="145"/>
      <c r="Z44" s="145"/>
      <c r="AX44" s="141" t="s">
        <v>232</v>
      </c>
      <c r="AY44" s="141">
        <v>2012</v>
      </c>
      <c r="AZ44" s="141">
        <v>95945814.590000004</v>
      </c>
      <c r="BU44" s="141">
        <v>95945814.590000004</v>
      </c>
    </row>
    <row r="45" spans="1:73" ht="14.4" x14ac:dyDescent="0.3">
      <c r="A45" s="160" t="s">
        <v>233</v>
      </c>
      <c r="B45" s="161">
        <v>1995</v>
      </c>
      <c r="C45" s="161">
        <v>148367539.01999998</v>
      </c>
      <c r="D45" s="161">
        <v>347859617.94</v>
      </c>
      <c r="E45" s="161">
        <v>456438331.19</v>
      </c>
      <c r="F45" s="161">
        <v>525697912.03999996</v>
      </c>
      <c r="G45" s="161">
        <v>571230025.75</v>
      </c>
      <c r="H45" s="161">
        <v>605938344.63000011</v>
      </c>
      <c r="I45" s="161">
        <v>628918395.40999997</v>
      </c>
      <c r="J45" s="161">
        <v>648584424.39999998</v>
      </c>
      <c r="K45" s="161">
        <v>661134881.07999992</v>
      </c>
      <c r="L45" s="161">
        <v>671061270.90999997</v>
      </c>
      <c r="M45" s="161">
        <v>680161214.88999987</v>
      </c>
      <c r="N45" s="161">
        <v>688622036.81999993</v>
      </c>
      <c r="O45" s="161">
        <v>698199468.74000001</v>
      </c>
      <c r="P45" s="161">
        <v>704078376.04999995</v>
      </c>
      <c r="Q45" s="161">
        <v>711155685.14999998</v>
      </c>
      <c r="R45" s="161">
        <v>715700588.1500001</v>
      </c>
      <c r="S45" s="161">
        <v>719664662.87000012</v>
      </c>
      <c r="T45" s="161">
        <v>723354514.94000006</v>
      </c>
      <c r="U45" s="161">
        <v>728148387.23000002</v>
      </c>
      <c r="V45" s="161">
        <v>732704855.88000011</v>
      </c>
      <c r="W45" s="161">
        <v>736581337.1400001</v>
      </c>
      <c r="X45" s="161">
        <v>736581337.1400001</v>
      </c>
      <c r="Y45" s="145"/>
      <c r="Z45" s="145"/>
    </row>
    <row r="46" spans="1:73" ht="14.4" x14ac:dyDescent="0.3">
      <c r="A46" s="160" t="s">
        <v>233</v>
      </c>
      <c r="B46" s="161">
        <v>1996</v>
      </c>
      <c r="C46" s="161">
        <v>170878252.12</v>
      </c>
      <c r="D46" s="161">
        <v>382805146.90999997</v>
      </c>
      <c r="E46" s="161">
        <v>504029745.48000002</v>
      </c>
      <c r="F46" s="161">
        <v>579955422</v>
      </c>
      <c r="G46" s="161">
        <v>631583269.23000002</v>
      </c>
      <c r="H46" s="161">
        <v>669156646.3499999</v>
      </c>
      <c r="I46" s="161">
        <v>692973350.31000006</v>
      </c>
      <c r="J46" s="161">
        <v>712527025.69000006</v>
      </c>
      <c r="K46" s="161">
        <v>726453277.33999991</v>
      </c>
      <c r="L46" s="161">
        <v>738412164.06000006</v>
      </c>
      <c r="M46" s="161">
        <v>748359496.75</v>
      </c>
      <c r="N46" s="161">
        <v>758610719.88000011</v>
      </c>
      <c r="O46" s="161">
        <v>765969567.10000002</v>
      </c>
      <c r="P46" s="161">
        <v>774243266.13</v>
      </c>
      <c r="Q46" s="161">
        <v>781521096.99000001</v>
      </c>
      <c r="R46" s="161">
        <v>788235141.21000004</v>
      </c>
      <c r="S46" s="161">
        <v>793874514.32999992</v>
      </c>
      <c r="T46" s="161">
        <v>800110177.36000001</v>
      </c>
      <c r="U46" s="161">
        <v>805772059.5999999</v>
      </c>
      <c r="V46" s="161">
        <v>812978537.38</v>
      </c>
      <c r="W46" s="149"/>
      <c r="X46" s="161">
        <v>812978537.38</v>
      </c>
      <c r="Y46" s="145"/>
      <c r="Z46" s="145"/>
    </row>
    <row r="47" spans="1:73" ht="14.4" x14ac:dyDescent="0.3">
      <c r="A47" s="160" t="s">
        <v>233</v>
      </c>
      <c r="B47" s="161">
        <v>1997</v>
      </c>
      <c r="C47" s="161">
        <v>202964473.63</v>
      </c>
      <c r="D47" s="161">
        <v>455702385.88999999</v>
      </c>
      <c r="E47" s="161">
        <v>593403105.93000007</v>
      </c>
      <c r="F47" s="161">
        <v>685259002.92000008</v>
      </c>
      <c r="G47" s="161">
        <v>741290142.04999995</v>
      </c>
      <c r="H47" s="161">
        <v>782510808.75999999</v>
      </c>
      <c r="I47" s="161">
        <v>816158251.86000001</v>
      </c>
      <c r="J47" s="161">
        <v>838071096.14999998</v>
      </c>
      <c r="K47" s="161">
        <v>853367294.64999998</v>
      </c>
      <c r="L47" s="161">
        <v>866576787.90999997</v>
      </c>
      <c r="M47" s="161">
        <v>879323043.96000004</v>
      </c>
      <c r="N47" s="161">
        <v>889402048.97000003</v>
      </c>
      <c r="O47" s="161">
        <v>898238395.33000004</v>
      </c>
      <c r="P47" s="161">
        <v>906029100.69000006</v>
      </c>
      <c r="Q47" s="161">
        <v>913064444.18000007</v>
      </c>
      <c r="R47" s="161">
        <v>919813447.25999999</v>
      </c>
      <c r="S47" s="161">
        <v>926525371.8499999</v>
      </c>
      <c r="T47" s="161">
        <v>933411699.53999996</v>
      </c>
      <c r="U47" s="161">
        <v>940465581.37000012</v>
      </c>
      <c r="V47" s="149"/>
      <c r="W47" s="149"/>
      <c r="X47" s="161">
        <v>940465581.37000012</v>
      </c>
      <c r="Y47" s="145"/>
      <c r="Z47" s="145"/>
    </row>
    <row r="48" spans="1:73" ht="14.4" x14ac:dyDescent="0.3">
      <c r="A48" s="160" t="s">
        <v>233</v>
      </c>
      <c r="B48" s="161">
        <v>1998</v>
      </c>
      <c r="C48" s="161">
        <v>219019293.75999999</v>
      </c>
      <c r="D48" s="161">
        <v>513301436.09999996</v>
      </c>
      <c r="E48" s="161">
        <v>696026715.39999998</v>
      </c>
      <c r="F48" s="161">
        <v>812924713.96000004</v>
      </c>
      <c r="G48" s="161">
        <v>890039002.93000007</v>
      </c>
      <c r="H48" s="161">
        <v>947909295.50999999</v>
      </c>
      <c r="I48" s="161">
        <v>986734013.9000001</v>
      </c>
      <c r="J48" s="161">
        <v>1015026601.8399999</v>
      </c>
      <c r="K48" s="161">
        <v>1041725317.1300001</v>
      </c>
      <c r="L48" s="161">
        <v>1063404595.96</v>
      </c>
      <c r="M48" s="161">
        <v>1082521248.4100001</v>
      </c>
      <c r="N48" s="161">
        <v>1097202766.3699999</v>
      </c>
      <c r="O48" s="161">
        <v>1108220427.71</v>
      </c>
      <c r="P48" s="161">
        <v>1120535127.0699999</v>
      </c>
      <c r="Q48" s="161">
        <v>1130946080.1300001</v>
      </c>
      <c r="R48" s="161">
        <v>1142879244.8800001</v>
      </c>
      <c r="S48" s="161">
        <v>1152614249.96</v>
      </c>
      <c r="T48" s="161">
        <v>1161889799.99</v>
      </c>
      <c r="U48" s="149"/>
      <c r="V48" s="149"/>
      <c r="W48" s="149"/>
      <c r="X48" s="161">
        <v>1161889799.99</v>
      </c>
      <c r="Y48" s="145"/>
      <c r="Z48" s="145"/>
    </row>
    <row r="49" spans="1:26" ht="14.4" x14ac:dyDescent="0.3">
      <c r="A49" s="160" t="s">
        <v>233</v>
      </c>
      <c r="B49" s="161">
        <v>1999</v>
      </c>
      <c r="C49" s="161">
        <v>233185376.00999999</v>
      </c>
      <c r="D49" s="161">
        <v>568164167.47000003</v>
      </c>
      <c r="E49" s="161">
        <v>778144493.8499999</v>
      </c>
      <c r="F49" s="161">
        <v>897865518.07000017</v>
      </c>
      <c r="G49" s="161">
        <v>985085309.06000006</v>
      </c>
      <c r="H49" s="161">
        <v>1047061459.4200001</v>
      </c>
      <c r="I49" s="161">
        <v>1092450098.4000001</v>
      </c>
      <c r="J49" s="161">
        <v>1126350233.1199999</v>
      </c>
      <c r="K49" s="161">
        <v>1146219867.4099998</v>
      </c>
      <c r="L49" s="161">
        <v>1168090730.96</v>
      </c>
      <c r="M49" s="161">
        <v>1185453245.78</v>
      </c>
      <c r="N49" s="161">
        <v>1199289147.99</v>
      </c>
      <c r="O49" s="161">
        <v>1213863144.9000001</v>
      </c>
      <c r="P49" s="161">
        <v>1228355115.01</v>
      </c>
      <c r="Q49" s="161">
        <v>1241167066.47</v>
      </c>
      <c r="R49" s="161">
        <v>1256456247.9300001</v>
      </c>
      <c r="S49" s="161">
        <v>1267271317.27</v>
      </c>
      <c r="T49" s="149"/>
      <c r="U49" s="149"/>
      <c r="V49" s="149"/>
      <c r="W49" s="149"/>
      <c r="X49" s="161">
        <v>1267271317.27</v>
      </c>
      <c r="Y49" s="145"/>
      <c r="Z49" s="145"/>
    </row>
    <row r="50" spans="1:26" ht="14.4" x14ac:dyDescent="0.3">
      <c r="A50" s="160" t="s">
        <v>233</v>
      </c>
      <c r="B50" s="161">
        <v>2000</v>
      </c>
      <c r="C50" s="161">
        <v>221565337.06999999</v>
      </c>
      <c r="D50" s="161">
        <v>550640287.90999997</v>
      </c>
      <c r="E50" s="161">
        <v>745887705.35000002</v>
      </c>
      <c r="F50" s="161">
        <v>874494546.18000007</v>
      </c>
      <c r="G50" s="161">
        <v>958303218.79000008</v>
      </c>
      <c r="H50" s="161">
        <v>1010871556</v>
      </c>
      <c r="I50" s="161">
        <v>1052410804.5999999</v>
      </c>
      <c r="J50" s="161">
        <v>1085556274.79</v>
      </c>
      <c r="K50" s="161">
        <v>1101859860.9099998</v>
      </c>
      <c r="L50" s="161">
        <v>1118666333.0599999</v>
      </c>
      <c r="M50" s="161">
        <v>1133061164.8900001</v>
      </c>
      <c r="N50" s="161">
        <v>1139569126.6700001</v>
      </c>
      <c r="O50" s="161">
        <v>1153080945.49</v>
      </c>
      <c r="P50" s="161">
        <v>1169441798.05</v>
      </c>
      <c r="Q50" s="161">
        <v>1180144344.5799999</v>
      </c>
      <c r="R50" s="161">
        <v>1187733511.8199999</v>
      </c>
      <c r="S50" s="149"/>
      <c r="T50" s="149"/>
      <c r="U50" s="149"/>
      <c r="V50" s="149"/>
      <c r="W50" s="149"/>
      <c r="X50" s="161">
        <v>1187733511.8199999</v>
      </c>
      <c r="Y50" s="145"/>
      <c r="Z50" s="145"/>
    </row>
    <row r="51" spans="1:26" ht="14.4" x14ac:dyDescent="0.3">
      <c r="A51" s="160" t="s">
        <v>233</v>
      </c>
      <c r="B51" s="161">
        <v>2001</v>
      </c>
      <c r="C51" s="161">
        <v>238659302.15000001</v>
      </c>
      <c r="D51" s="161">
        <v>589063255.29999995</v>
      </c>
      <c r="E51" s="161">
        <v>801812223.22000003</v>
      </c>
      <c r="F51" s="161">
        <v>937103098.23000002</v>
      </c>
      <c r="G51" s="161">
        <v>1016695014.6099999</v>
      </c>
      <c r="H51" s="161">
        <v>1075131871.9400001</v>
      </c>
      <c r="I51" s="161">
        <v>1114610860.1700001</v>
      </c>
      <c r="J51" s="161">
        <v>1145539033.71</v>
      </c>
      <c r="K51" s="161">
        <v>1165519472.8599999</v>
      </c>
      <c r="L51" s="161">
        <v>1181850088.4299998</v>
      </c>
      <c r="M51" s="161">
        <v>1164330038.1199999</v>
      </c>
      <c r="N51" s="161">
        <v>1176999825.1500001</v>
      </c>
      <c r="O51" s="161">
        <v>1192075441.9400001</v>
      </c>
      <c r="P51" s="161">
        <v>1209802711.5900002</v>
      </c>
      <c r="Q51" s="161">
        <v>1221019289.03</v>
      </c>
      <c r="R51" s="149"/>
      <c r="S51" s="149"/>
      <c r="T51" s="149"/>
      <c r="U51" s="149"/>
      <c r="V51" s="149"/>
      <c r="W51" s="149"/>
      <c r="X51" s="161">
        <v>1221019289.03</v>
      </c>
      <c r="Y51" s="145"/>
      <c r="Z51" s="145"/>
    </row>
    <row r="52" spans="1:26" ht="14.4" x14ac:dyDescent="0.3">
      <c r="A52" s="160" t="s">
        <v>233</v>
      </c>
      <c r="B52" s="161">
        <v>2002</v>
      </c>
      <c r="C52" s="161">
        <v>213783517.21000001</v>
      </c>
      <c r="D52" s="161">
        <v>532757416.22000003</v>
      </c>
      <c r="E52" s="161">
        <v>730492605.10000002</v>
      </c>
      <c r="F52" s="161">
        <v>851618944.27999997</v>
      </c>
      <c r="G52" s="161">
        <v>926947672.32000005</v>
      </c>
      <c r="H52" s="161">
        <v>974527623.83000004</v>
      </c>
      <c r="I52" s="161">
        <v>1016336506.9000001</v>
      </c>
      <c r="J52" s="161">
        <v>1042892499.96</v>
      </c>
      <c r="K52" s="161">
        <v>1064201054.5500001</v>
      </c>
      <c r="L52" s="161">
        <v>1080119893.0700002</v>
      </c>
      <c r="M52" s="161">
        <v>1095708839.1600001</v>
      </c>
      <c r="N52" s="161">
        <v>1111004626.53</v>
      </c>
      <c r="O52" s="161">
        <v>1125287579.5900002</v>
      </c>
      <c r="P52" s="161">
        <v>1134971109.6399999</v>
      </c>
      <c r="Q52" s="149"/>
      <c r="R52" s="149"/>
      <c r="S52" s="149"/>
      <c r="T52" s="149"/>
      <c r="U52" s="149"/>
      <c r="V52" s="149"/>
      <c r="W52" s="149"/>
      <c r="X52" s="161">
        <v>1134971109.6399999</v>
      </c>
      <c r="Y52" s="145"/>
      <c r="Z52" s="145"/>
    </row>
    <row r="53" spans="1:26" ht="14.4" x14ac:dyDescent="0.3">
      <c r="A53" s="160" t="s">
        <v>233</v>
      </c>
      <c r="B53" s="161">
        <v>2003</v>
      </c>
      <c r="C53" s="161">
        <v>163246534.31999999</v>
      </c>
      <c r="D53" s="161">
        <v>384810992.36000001</v>
      </c>
      <c r="E53" s="161">
        <v>516911031.21000004</v>
      </c>
      <c r="F53" s="161">
        <v>597226266.80999994</v>
      </c>
      <c r="G53" s="161">
        <v>646086048.48000002</v>
      </c>
      <c r="H53" s="161">
        <v>681265439.22000003</v>
      </c>
      <c r="I53" s="161">
        <v>705615562.33999991</v>
      </c>
      <c r="J53" s="161">
        <v>722627857.85000002</v>
      </c>
      <c r="K53" s="161">
        <v>737488943.81999993</v>
      </c>
      <c r="L53" s="161">
        <v>748627124.42999995</v>
      </c>
      <c r="M53" s="161">
        <v>760551534.83000004</v>
      </c>
      <c r="N53" s="161">
        <v>770121381.22000003</v>
      </c>
      <c r="O53" s="161">
        <v>777683901.29999995</v>
      </c>
      <c r="P53" s="149"/>
      <c r="Q53" s="149"/>
      <c r="R53" s="149"/>
      <c r="S53" s="149"/>
      <c r="T53" s="149"/>
      <c r="U53" s="149"/>
      <c r="V53" s="149"/>
      <c r="W53" s="149"/>
      <c r="X53" s="161">
        <v>777683901.29999995</v>
      </c>
      <c r="Y53" s="145"/>
      <c r="Z53" s="145"/>
    </row>
    <row r="54" spans="1:26" ht="14.4" x14ac:dyDescent="0.3">
      <c r="A54" s="160" t="s">
        <v>233</v>
      </c>
      <c r="B54" s="161">
        <v>2004</v>
      </c>
      <c r="C54" s="161">
        <v>124815653.18000001</v>
      </c>
      <c r="D54" s="161">
        <v>282882320.20000005</v>
      </c>
      <c r="E54" s="161">
        <v>375810890.16999996</v>
      </c>
      <c r="F54" s="161">
        <v>433748884.70999998</v>
      </c>
      <c r="G54" s="161">
        <v>468402829.52999997</v>
      </c>
      <c r="H54" s="161">
        <v>492299184.33000004</v>
      </c>
      <c r="I54" s="161">
        <v>509884730.01999998</v>
      </c>
      <c r="J54" s="161">
        <v>522438003.60000002</v>
      </c>
      <c r="K54" s="161">
        <v>534536162.22000003</v>
      </c>
      <c r="L54" s="161">
        <v>545278744.18000007</v>
      </c>
      <c r="M54" s="161">
        <v>554006451.03999996</v>
      </c>
      <c r="N54" s="161">
        <v>562482962.06999993</v>
      </c>
      <c r="O54" s="149"/>
      <c r="P54" s="149"/>
      <c r="Q54" s="149"/>
      <c r="R54" s="149"/>
      <c r="S54" s="149"/>
      <c r="T54" s="149"/>
      <c r="U54" s="149"/>
      <c r="V54" s="149"/>
      <c r="W54" s="149"/>
      <c r="X54" s="161">
        <v>562482962.06999993</v>
      </c>
      <c r="Y54" s="145"/>
      <c r="Z54" s="145"/>
    </row>
    <row r="55" spans="1:26" ht="14.4" x14ac:dyDescent="0.3">
      <c r="A55" s="160" t="s">
        <v>233</v>
      </c>
      <c r="B55" s="161">
        <v>2005</v>
      </c>
      <c r="C55" s="161">
        <v>65911105.489999995</v>
      </c>
      <c r="D55" s="161">
        <v>155526239.74000001</v>
      </c>
      <c r="E55" s="161">
        <v>203101081.80000001</v>
      </c>
      <c r="F55" s="161">
        <v>236675304.12</v>
      </c>
      <c r="G55" s="161">
        <v>257513048.70999998</v>
      </c>
      <c r="H55" s="161">
        <v>270717557.55000001</v>
      </c>
      <c r="I55" s="161">
        <v>283200748.09000003</v>
      </c>
      <c r="J55" s="161">
        <v>290626750.43000001</v>
      </c>
      <c r="K55" s="161">
        <v>298900934.71999997</v>
      </c>
      <c r="L55" s="161">
        <v>304071101.56999999</v>
      </c>
      <c r="M55" s="161">
        <v>308569401.15999997</v>
      </c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61">
        <v>308569401.15999997</v>
      </c>
      <c r="Y55" s="145"/>
      <c r="Z55" s="145"/>
    </row>
    <row r="56" spans="1:26" ht="14.4" x14ac:dyDescent="0.3">
      <c r="A56" s="160" t="s">
        <v>233</v>
      </c>
      <c r="B56" s="161">
        <v>2006</v>
      </c>
      <c r="C56" s="161">
        <v>54426475.109999999</v>
      </c>
      <c r="D56" s="161">
        <v>129480981.28</v>
      </c>
      <c r="E56" s="161">
        <v>172141763.97999999</v>
      </c>
      <c r="F56" s="161">
        <v>199302162.31</v>
      </c>
      <c r="G56" s="161">
        <v>217266372.98000002</v>
      </c>
      <c r="H56" s="161">
        <v>229125669.64000002</v>
      </c>
      <c r="I56" s="161">
        <v>239607633.5</v>
      </c>
      <c r="J56" s="161">
        <v>246997680.25999999</v>
      </c>
      <c r="K56" s="161">
        <v>251921166.99000001</v>
      </c>
      <c r="L56" s="161">
        <v>256225088.23000002</v>
      </c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61">
        <v>256225088.23000002</v>
      </c>
      <c r="Y56" s="145"/>
      <c r="Z56" s="145"/>
    </row>
    <row r="57" spans="1:26" ht="14.4" x14ac:dyDescent="0.3">
      <c r="A57" s="160" t="s">
        <v>233</v>
      </c>
      <c r="B57" s="161">
        <v>2007</v>
      </c>
      <c r="C57" s="161">
        <v>50082097.170000002</v>
      </c>
      <c r="D57" s="161">
        <v>114295771.33</v>
      </c>
      <c r="E57" s="161">
        <v>153613048.72</v>
      </c>
      <c r="F57" s="161">
        <v>177063066.42000002</v>
      </c>
      <c r="G57" s="161">
        <v>191974212.54000002</v>
      </c>
      <c r="H57" s="161">
        <v>202789931.44999999</v>
      </c>
      <c r="I57" s="161">
        <v>210560019.92000002</v>
      </c>
      <c r="J57" s="161">
        <v>216847059.38999999</v>
      </c>
      <c r="K57" s="161">
        <v>222748339.44</v>
      </c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61">
        <v>222748339.44</v>
      </c>
      <c r="Y57" s="145"/>
      <c r="Z57" s="145"/>
    </row>
    <row r="58" spans="1:26" ht="14.4" x14ac:dyDescent="0.3">
      <c r="A58" s="160" t="s">
        <v>233</v>
      </c>
      <c r="B58" s="161">
        <v>2008</v>
      </c>
      <c r="C58" s="161">
        <v>40057059.329999998</v>
      </c>
      <c r="D58" s="161">
        <v>94001456.900000006</v>
      </c>
      <c r="E58" s="161">
        <v>130253625.44999999</v>
      </c>
      <c r="F58" s="161">
        <v>150092577.57999998</v>
      </c>
      <c r="G58" s="161">
        <v>164687251.09999999</v>
      </c>
      <c r="H58" s="161">
        <v>174671850.31</v>
      </c>
      <c r="I58" s="161">
        <v>181010415.03999999</v>
      </c>
      <c r="J58" s="161">
        <v>184287397.06999999</v>
      </c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61">
        <v>184287397.06999999</v>
      </c>
      <c r="Y58" s="145"/>
      <c r="Z58" s="145"/>
    </row>
    <row r="59" spans="1:26" ht="14.4" x14ac:dyDescent="0.3">
      <c r="A59" s="160" t="s">
        <v>233</v>
      </c>
      <c r="B59" s="161">
        <v>2009</v>
      </c>
      <c r="C59" s="161">
        <v>34202291.899999999</v>
      </c>
      <c r="D59" s="161">
        <v>85527539.030000001</v>
      </c>
      <c r="E59" s="161">
        <v>115117897.74000001</v>
      </c>
      <c r="F59" s="161">
        <v>135906298.94999999</v>
      </c>
      <c r="G59" s="161">
        <v>152927298.49000001</v>
      </c>
      <c r="H59" s="161">
        <v>161641464.35000002</v>
      </c>
      <c r="I59" s="161">
        <v>168255694.93000001</v>
      </c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61">
        <v>168255694.93000001</v>
      </c>
      <c r="Y59" s="145"/>
      <c r="Z59" s="145"/>
    </row>
    <row r="60" spans="1:26" ht="14.4" x14ac:dyDescent="0.3">
      <c r="A60" s="160" t="s">
        <v>233</v>
      </c>
      <c r="B60" s="161">
        <v>2010</v>
      </c>
      <c r="C60" s="161">
        <v>33774411.660000004</v>
      </c>
      <c r="D60" s="161">
        <v>80886038.260000005</v>
      </c>
      <c r="E60" s="161">
        <v>109259352.41</v>
      </c>
      <c r="F60" s="161">
        <v>128097822.40000001</v>
      </c>
      <c r="G60" s="161">
        <v>139599150.65000001</v>
      </c>
      <c r="H60" s="161">
        <v>147615751.60000002</v>
      </c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49"/>
      <c r="V60" s="149"/>
      <c r="W60" s="149"/>
      <c r="X60" s="161">
        <v>147615751.60000002</v>
      </c>
      <c r="Y60" s="145"/>
      <c r="Z60" s="145"/>
    </row>
    <row r="61" spans="1:26" ht="14.4" x14ac:dyDescent="0.3">
      <c r="A61" s="160" t="s">
        <v>233</v>
      </c>
      <c r="B61" s="161">
        <v>2011</v>
      </c>
      <c r="C61" s="161">
        <v>31645418.740000002</v>
      </c>
      <c r="D61" s="161">
        <v>76949187.900000006</v>
      </c>
      <c r="E61" s="161">
        <v>104116784.72</v>
      </c>
      <c r="F61" s="161">
        <v>119493467.88</v>
      </c>
      <c r="G61" s="161">
        <v>130781034.94</v>
      </c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61">
        <v>130781034.94</v>
      </c>
      <c r="Y61" s="145"/>
      <c r="Z61" s="145"/>
    </row>
    <row r="62" spans="1:26" ht="14.4" x14ac:dyDescent="0.3">
      <c r="A62" s="160" t="s">
        <v>233</v>
      </c>
      <c r="B62" s="161">
        <v>2012</v>
      </c>
      <c r="C62" s="161">
        <v>35222266.149999999</v>
      </c>
      <c r="D62" s="161">
        <v>83325460.930000007</v>
      </c>
      <c r="E62" s="161">
        <v>111327813.24000001</v>
      </c>
      <c r="F62" s="161">
        <v>128272793.77</v>
      </c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61">
        <v>128272793.77</v>
      </c>
      <c r="Y62" s="145"/>
      <c r="Z62" s="145"/>
    </row>
    <row r="63" spans="1:26" ht="14.4" x14ac:dyDescent="0.3">
      <c r="A63" s="160" t="s">
        <v>233</v>
      </c>
      <c r="B63" s="161">
        <v>2013</v>
      </c>
      <c r="C63" s="161">
        <v>34926236.420000002</v>
      </c>
      <c r="D63" s="161">
        <v>79919425.530000001</v>
      </c>
      <c r="E63" s="161">
        <v>104724355.50999999</v>
      </c>
      <c r="F63" s="149"/>
      <c r="G63" s="149"/>
      <c r="H63" s="149"/>
      <c r="I63" s="149"/>
      <c r="J63" s="149"/>
      <c r="K63" s="149"/>
      <c r="L63" s="149"/>
      <c r="M63" s="149"/>
      <c r="N63" s="149"/>
      <c r="O63" s="149"/>
      <c r="P63" s="149"/>
      <c r="Q63" s="149"/>
      <c r="R63" s="149"/>
      <c r="S63" s="149"/>
      <c r="T63" s="149"/>
      <c r="U63" s="149"/>
      <c r="V63" s="149"/>
      <c r="W63" s="149"/>
      <c r="X63" s="161">
        <v>104724355.50999999</v>
      </c>
      <c r="Y63" s="145"/>
      <c r="Z63" s="145"/>
    </row>
    <row r="64" spans="1:26" ht="14.4" x14ac:dyDescent="0.3">
      <c r="A64" s="160" t="s">
        <v>233</v>
      </c>
      <c r="B64" s="161">
        <v>2014</v>
      </c>
      <c r="C64" s="161">
        <v>32447175.719999999</v>
      </c>
      <c r="D64" s="161">
        <v>79754599.760000005</v>
      </c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49"/>
      <c r="V64" s="149"/>
      <c r="W64" s="149"/>
      <c r="X64" s="161">
        <v>79754599.760000005</v>
      </c>
      <c r="Y64" s="145"/>
      <c r="Z64" s="145"/>
    </row>
    <row r="65" spans="1:26" ht="14.4" x14ac:dyDescent="0.3">
      <c r="A65" s="160" t="s">
        <v>233</v>
      </c>
      <c r="B65" s="161">
        <v>2015</v>
      </c>
      <c r="C65" s="161">
        <v>29073337.57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61">
        <v>29073337.57</v>
      </c>
      <c r="Y65" s="145"/>
      <c r="Z65" s="145"/>
    </row>
    <row r="66" spans="1:26" ht="14.4" x14ac:dyDescent="0.3">
      <c r="A66" s="160" t="s">
        <v>234</v>
      </c>
      <c r="B66" s="161">
        <v>1995</v>
      </c>
      <c r="C66" s="161">
        <v>0</v>
      </c>
      <c r="D66" s="161">
        <v>0</v>
      </c>
      <c r="E66" s="161">
        <v>0</v>
      </c>
      <c r="F66" s="161">
        <v>0</v>
      </c>
      <c r="G66" s="161">
        <v>0</v>
      </c>
      <c r="H66" s="161">
        <v>0</v>
      </c>
      <c r="I66" s="161">
        <v>0</v>
      </c>
      <c r="J66" s="161">
        <v>0</v>
      </c>
      <c r="K66" s="161">
        <v>0</v>
      </c>
      <c r="L66" s="161">
        <v>0</v>
      </c>
      <c r="M66" s="161">
        <v>0</v>
      </c>
      <c r="N66" s="161">
        <v>0</v>
      </c>
      <c r="O66" s="161">
        <v>0</v>
      </c>
      <c r="P66" s="161">
        <v>29404.720000000001</v>
      </c>
      <c r="Q66" s="161">
        <v>167012.12</v>
      </c>
      <c r="R66" s="161">
        <v>333108.68999999994</v>
      </c>
      <c r="S66" s="161">
        <v>415597.94000000006</v>
      </c>
      <c r="T66" s="161">
        <v>649860.15</v>
      </c>
      <c r="U66" s="161">
        <v>720125.01</v>
      </c>
      <c r="V66" s="161">
        <v>800224.65</v>
      </c>
      <c r="W66" s="161">
        <v>880254.26</v>
      </c>
      <c r="X66" s="161">
        <v>880254.26</v>
      </c>
      <c r="Y66" s="145"/>
      <c r="Z66" s="145"/>
    </row>
    <row r="67" spans="1:26" ht="14.4" x14ac:dyDescent="0.3">
      <c r="A67" s="160" t="s">
        <v>234</v>
      </c>
      <c r="B67" s="161">
        <v>1996</v>
      </c>
      <c r="C67" s="161">
        <v>0</v>
      </c>
      <c r="D67" s="161">
        <v>0</v>
      </c>
      <c r="E67" s="161">
        <v>0</v>
      </c>
      <c r="F67" s="161">
        <v>0</v>
      </c>
      <c r="G67" s="161">
        <v>0</v>
      </c>
      <c r="H67" s="161">
        <v>0</v>
      </c>
      <c r="I67" s="161">
        <v>0</v>
      </c>
      <c r="J67" s="161">
        <v>0</v>
      </c>
      <c r="K67" s="161">
        <v>0</v>
      </c>
      <c r="L67" s="161">
        <v>0</v>
      </c>
      <c r="M67" s="161">
        <v>0</v>
      </c>
      <c r="N67" s="161">
        <v>0</v>
      </c>
      <c r="O67" s="161">
        <v>0</v>
      </c>
      <c r="P67" s="161">
        <v>0</v>
      </c>
      <c r="Q67" s="161">
        <v>0</v>
      </c>
      <c r="R67" s="161">
        <v>0</v>
      </c>
      <c r="S67" s="161">
        <v>0</v>
      </c>
      <c r="T67" s="161">
        <v>0</v>
      </c>
      <c r="U67" s="161">
        <v>0</v>
      </c>
      <c r="V67" s="161">
        <v>0</v>
      </c>
      <c r="W67" s="149"/>
      <c r="X67" s="161">
        <v>0</v>
      </c>
      <c r="Y67" s="145"/>
      <c r="Z67" s="145"/>
    </row>
    <row r="68" spans="1:26" ht="14.4" x14ac:dyDescent="0.3">
      <c r="A68" s="160" t="s">
        <v>234</v>
      </c>
      <c r="B68" s="161">
        <v>1997</v>
      </c>
      <c r="C68" s="161">
        <v>0</v>
      </c>
      <c r="D68" s="161">
        <v>0</v>
      </c>
      <c r="E68" s="161">
        <v>0</v>
      </c>
      <c r="F68" s="161">
        <v>0</v>
      </c>
      <c r="G68" s="161">
        <v>0</v>
      </c>
      <c r="H68" s="161">
        <v>0</v>
      </c>
      <c r="I68" s="161">
        <v>0</v>
      </c>
      <c r="J68" s="161">
        <v>0</v>
      </c>
      <c r="K68" s="161">
        <v>0</v>
      </c>
      <c r="L68" s="161">
        <v>0</v>
      </c>
      <c r="M68" s="161">
        <v>0</v>
      </c>
      <c r="N68" s="161">
        <v>0</v>
      </c>
      <c r="O68" s="161">
        <v>0</v>
      </c>
      <c r="P68" s="161">
        <v>0</v>
      </c>
      <c r="Q68" s="161">
        <v>0</v>
      </c>
      <c r="R68" s="161">
        <v>0</v>
      </c>
      <c r="S68" s="161">
        <v>0</v>
      </c>
      <c r="T68" s="161">
        <v>0</v>
      </c>
      <c r="U68" s="161">
        <v>0</v>
      </c>
      <c r="V68" s="149"/>
      <c r="W68" s="149"/>
      <c r="X68" s="161">
        <v>0</v>
      </c>
      <c r="Y68" s="145"/>
      <c r="Z68" s="145"/>
    </row>
    <row r="69" spans="1:26" ht="14.4" x14ac:dyDescent="0.3">
      <c r="A69" s="160" t="s">
        <v>234</v>
      </c>
      <c r="B69" s="161">
        <v>1998</v>
      </c>
      <c r="C69" s="161">
        <v>0</v>
      </c>
      <c r="D69" s="161">
        <v>0</v>
      </c>
      <c r="E69" s="161">
        <v>0</v>
      </c>
      <c r="F69" s="161">
        <v>0</v>
      </c>
      <c r="G69" s="161">
        <v>0</v>
      </c>
      <c r="H69" s="161">
        <v>0</v>
      </c>
      <c r="I69" s="161">
        <v>0</v>
      </c>
      <c r="J69" s="161">
        <v>0</v>
      </c>
      <c r="K69" s="161">
        <v>0</v>
      </c>
      <c r="L69" s="161">
        <v>0</v>
      </c>
      <c r="M69" s="161">
        <v>0</v>
      </c>
      <c r="N69" s="161">
        <v>0</v>
      </c>
      <c r="O69" s="161">
        <v>0</v>
      </c>
      <c r="P69" s="161">
        <v>250</v>
      </c>
      <c r="Q69" s="161">
        <v>250</v>
      </c>
      <c r="R69" s="161">
        <v>250</v>
      </c>
      <c r="S69" s="161">
        <v>250</v>
      </c>
      <c r="T69" s="161">
        <v>250</v>
      </c>
      <c r="U69" s="149"/>
      <c r="V69" s="149"/>
      <c r="W69" s="149"/>
      <c r="X69" s="161">
        <v>250</v>
      </c>
      <c r="Y69" s="145"/>
      <c r="Z69" s="145"/>
    </row>
    <row r="70" spans="1:26" ht="14.4" x14ac:dyDescent="0.3">
      <c r="A70" s="160" t="s">
        <v>234</v>
      </c>
      <c r="B70" s="161">
        <v>1999</v>
      </c>
      <c r="C70" s="161">
        <v>0</v>
      </c>
      <c r="D70" s="161">
        <v>0</v>
      </c>
      <c r="E70" s="161">
        <v>0</v>
      </c>
      <c r="F70" s="161">
        <v>0</v>
      </c>
      <c r="G70" s="161">
        <v>0</v>
      </c>
      <c r="H70" s="161">
        <v>0</v>
      </c>
      <c r="I70" s="161">
        <v>0</v>
      </c>
      <c r="J70" s="161">
        <v>0</v>
      </c>
      <c r="K70" s="161">
        <v>0</v>
      </c>
      <c r="L70" s="161">
        <v>0</v>
      </c>
      <c r="M70" s="161">
        <v>0</v>
      </c>
      <c r="N70" s="161">
        <v>0</v>
      </c>
      <c r="O70" s="161">
        <v>0</v>
      </c>
      <c r="P70" s="161">
        <v>0</v>
      </c>
      <c r="Q70" s="161">
        <v>0</v>
      </c>
      <c r="R70" s="161">
        <v>0</v>
      </c>
      <c r="S70" s="161">
        <v>0</v>
      </c>
      <c r="T70" s="149"/>
      <c r="U70" s="149"/>
      <c r="V70" s="149"/>
      <c r="W70" s="149"/>
      <c r="X70" s="161">
        <v>0</v>
      </c>
      <c r="Y70" s="145"/>
      <c r="Z70" s="145"/>
    </row>
    <row r="71" spans="1:26" ht="14.4" x14ac:dyDescent="0.3">
      <c r="A71" s="160" t="s">
        <v>234</v>
      </c>
      <c r="B71" s="161">
        <v>2000</v>
      </c>
      <c r="C71" s="161">
        <v>4449.22</v>
      </c>
      <c r="D71" s="161">
        <v>83426.33</v>
      </c>
      <c r="E71" s="161">
        <v>182396.99</v>
      </c>
      <c r="F71" s="161">
        <v>200796.75</v>
      </c>
      <c r="G71" s="161">
        <v>346893.14</v>
      </c>
      <c r="H71" s="161">
        <v>356893.14</v>
      </c>
      <c r="I71" s="161">
        <v>357260.64</v>
      </c>
      <c r="J71" s="161">
        <v>357260.64</v>
      </c>
      <c r="K71" s="161">
        <v>357260.64</v>
      </c>
      <c r="L71" s="161">
        <v>357260.64</v>
      </c>
      <c r="M71" s="161">
        <v>357260.64</v>
      </c>
      <c r="N71" s="161">
        <v>357260.64</v>
      </c>
      <c r="O71" s="161">
        <v>357260.64</v>
      </c>
      <c r="P71" s="161">
        <v>357260.64</v>
      </c>
      <c r="Q71" s="161">
        <v>357260.64</v>
      </c>
      <c r="R71" s="161">
        <v>357260.64</v>
      </c>
      <c r="S71" s="149"/>
      <c r="T71" s="149"/>
      <c r="U71" s="149"/>
      <c r="V71" s="149"/>
      <c r="W71" s="149"/>
      <c r="X71" s="161">
        <v>357260.64</v>
      </c>
      <c r="Y71" s="145"/>
      <c r="Z71" s="145"/>
    </row>
    <row r="72" spans="1:26" ht="14.4" x14ac:dyDescent="0.3">
      <c r="A72" s="160" t="s">
        <v>234</v>
      </c>
      <c r="B72" s="161">
        <v>2001</v>
      </c>
      <c r="C72" s="161">
        <v>62272.409999999996</v>
      </c>
      <c r="D72" s="161">
        <v>202783.1</v>
      </c>
      <c r="E72" s="161">
        <v>336146.64</v>
      </c>
      <c r="F72" s="161">
        <v>389466.37</v>
      </c>
      <c r="G72" s="161">
        <v>465399.12</v>
      </c>
      <c r="H72" s="161">
        <v>567242.73</v>
      </c>
      <c r="I72" s="161">
        <v>728607.53999999992</v>
      </c>
      <c r="J72" s="161">
        <v>804853.86</v>
      </c>
      <c r="K72" s="161">
        <v>889878</v>
      </c>
      <c r="L72" s="161">
        <v>962869.83</v>
      </c>
      <c r="M72" s="161">
        <v>1041373.15</v>
      </c>
      <c r="N72" s="161">
        <v>1123822.8699999999</v>
      </c>
      <c r="O72" s="161">
        <v>1209207.08</v>
      </c>
      <c r="P72" s="161">
        <v>1299125</v>
      </c>
      <c r="Q72" s="161">
        <v>1398172.7</v>
      </c>
      <c r="R72" s="149"/>
      <c r="S72" s="149"/>
      <c r="T72" s="149"/>
      <c r="U72" s="149"/>
      <c r="V72" s="149"/>
      <c r="W72" s="149"/>
      <c r="X72" s="161">
        <v>1398172.7</v>
      </c>
      <c r="Y72" s="145"/>
      <c r="Z72" s="145"/>
    </row>
    <row r="73" spans="1:26" ht="14.4" x14ac:dyDescent="0.3">
      <c r="A73" s="160" t="s">
        <v>234</v>
      </c>
      <c r="B73" s="161">
        <v>2002</v>
      </c>
      <c r="C73" s="161">
        <v>121495.91</v>
      </c>
      <c r="D73" s="161">
        <v>575520.21</v>
      </c>
      <c r="E73" s="161">
        <v>918487.9</v>
      </c>
      <c r="F73" s="161">
        <v>1145085.4000000001</v>
      </c>
      <c r="G73" s="161">
        <v>1405347.9100000001</v>
      </c>
      <c r="H73" s="161">
        <v>1560320.29</v>
      </c>
      <c r="I73" s="161">
        <v>1928668.5999999999</v>
      </c>
      <c r="J73" s="161">
        <v>2194823.65</v>
      </c>
      <c r="K73" s="161">
        <v>2469135.4299999997</v>
      </c>
      <c r="L73" s="161">
        <v>3052951.34</v>
      </c>
      <c r="M73" s="161">
        <v>3456360.35</v>
      </c>
      <c r="N73" s="161">
        <v>3720980.16</v>
      </c>
      <c r="O73" s="161">
        <v>3746054.41</v>
      </c>
      <c r="P73" s="161">
        <v>3783742.27</v>
      </c>
      <c r="Q73" s="149"/>
      <c r="R73" s="149"/>
      <c r="S73" s="149"/>
      <c r="T73" s="149"/>
      <c r="U73" s="149"/>
      <c r="V73" s="149"/>
      <c r="W73" s="149"/>
      <c r="X73" s="161">
        <v>3783742.27</v>
      </c>
      <c r="Y73" s="145"/>
      <c r="Z73" s="145"/>
    </row>
    <row r="74" spans="1:26" ht="14.4" x14ac:dyDescent="0.3">
      <c r="A74" s="160" t="s">
        <v>234</v>
      </c>
      <c r="B74" s="161">
        <v>2003</v>
      </c>
      <c r="C74" s="161">
        <v>787624.95</v>
      </c>
      <c r="D74" s="161">
        <v>3152864.77</v>
      </c>
      <c r="E74" s="161">
        <v>4242663.0699999994</v>
      </c>
      <c r="F74" s="161">
        <v>5221377.97</v>
      </c>
      <c r="G74" s="161">
        <v>6065696.7000000002</v>
      </c>
      <c r="H74" s="161">
        <v>7217105.3900000006</v>
      </c>
      <c r="I74" s="161">
        <v>9003640.9499999993</v>
      </c>
      <c r="J74" s="161">
        <v>10070094.26</v>
      </c>
      <c r="K74" s="161">
        <v>11158330.950000001</v>
      </c>
      <c r="L74" s="161">
        <v>11782245.289999999</v>
      </c>
      <c r="M74" s="161">
        <v>13143533.699999999</v>
      </c>
      <c r="N74" s="161">
        <v>13633948.850000001</v>
      </c>
      <c r="O74" s="161">
        <v>14152273.540000001</v>
      </c>
      <c r="P74" s="149"/>
      <c r="Q74" s="149"/>
      <c r="R74" s="149"/>
      <c r="S74" s="149"/>
      <c r="T74" s="149"/>
      <c r="U74" s="149"/>
      <c r="V74" s="149"/>
      <c r="W74" s="149"/>
      <c r="X74" s="161">
        <v>14152273.540000001</v>
      </c>
      <c r="Y74" s="145"/>
      <c r="Z74" s="145"/>
    </row>
    <row r="75" spans="1:26" ht="14.4" x14ac:dyDescent="0.3">
      <c r="A75" s="160" t="s">
        <v>234</v>
      </c>
      <c r="B75" s="161">
        <v>2004</v>
      </c>
      <c r="C75" s="161">
        <v>3582242.6500000004</v>
      </c>
      <c r="D75" s="161">
        <v>11116932.300000001</v>
      </c>
      <c r="E75" s="161">
        <v>16146020.670000002</v>
      </c>
      <c r="F75" s="161">
        <v>20818582.600000001</v>
      </c>
      <c r="G75" s="161">
        <v>26377140</v>
      </c>
      <c r="H75" s="161">
        <v>31369807.689999998</v>
      </c>
      <c r="I75" s="161">
        <v>36132413.329999998</v>
      </c>
      <c r="J75" s="161">
        <v>38805008.859999999</v>
      </c>
      <c r="K75" s="161">
        <v>39575977.829999998</v>
      </c>
      <c r="L75" s="161">
        <v>42458133.590000004</v>
      </c>
      <c r="M75" s="161">
        <v>43087416.990000002</v>
      </c>
      <c r="N75" s="161">
        <v>43098806.640000001</v>
      </c>
      <c r="O75" s="149"/>
      <c r="P75" s="149"/>
      <c r="Q75" s="149"/>
      <c r="R75" s="149"/>
      <c r="S75" s="149"/>
      <c r="T75" s="149"/>
      <c r="U75" s="149"/>
      <c r="V75" s="149"/>
      <c r="W75" s="149"/>
      <c r="X75" s="161">
        <v>43098806.640000001</v>
      </c>
      <c r="Y75" s="145"/>
      <c r="Z75" s="145"/>
    </row>
    <row r="76" spans="1:26" ht="14.4" x14ac:dyDescent="0.3">
      <c r="A76" s="160" t="s">
        <v>234</v>
      </c>
      <c r="B76" s="161">
        <v>2005</v>
      </c>
      <c r="C76" s="161">
        <v>5992156.3799999999</v>
      </c>
      <c r="D76" s="161">
        <v>16522721.42</v>
      </c>
      <c r="E76" s="161">
        <v>23901326.040000003</v>
      </c>
      <c r="F76" s="161">
        <v>30264320.849999998</v>
      </c>
      <c r="G76" s="161">
        <v>38614966.090000004</v>
      </c>
      <c r="H76" s="161">
        <v>40973617.600000009</v>
      </c>
      <c r="I76" s="161">
        <v>46148001.210000008</v>
      </c>
      <c r="J76" s="161">
        <v>50142284.45000001</v>
      </c>
      <c r="K76" s="161">
        <v>52859949.390000008</v>
      </c>
      <c r="L76" s="161">
        <v>51952138.760000005</v>
      </c>
      <c r="M76" s="161">
        <v>48158549.670000009</v>
      </c>
      <c r="N76" s="149"/>
      <c r="O76" s="149"/>
      <c r="P76" s="149"/>
      <c r="Q76" s="149"/>
      <c r="R76" s="149"/>
      <c r="S76" s="149"/>
      <c r="T76" s="149"/>
      <c r="U76" s="149"/>
      <c r="V76" s="149"/>
      <c r="W76" s="149"/>
      <c r="X76" s="161">
        <v>48158549.670000009</v>
      </c>
      <c r="Y76" s="145"/>
      <c r="Z76" s="145"/>
    </row>
    <row r="77" spans="1:26" ht="14.4" x14ac:dyDescent="0.3">
      <c r="A77" s="160" t="s">
        <v>234</v>
      </c>
      <c r="B77" s="161">
        <v>2006</v>
      </c>
      <c r="C77" s="161">
        <v>7532996.3899999997</v>
      </c>
      <c r="D77" s="161">
        <v>21198865.369999997</v>
      </c>
      <c r="E77" s="161">
        <v>33666061.950000003</v>
      </c>
      <c r="F77" s="161">
        <v>42874420.189999998</v>
      </c>
      <c r="G77" s="161">
        <v>49398303.859999992</v>
      </c>
      <c r="H77" s="161">
        <v>61720877.379999995</v>
      </c>
      <c r="I77" s="161">
        <v>66531461.339999996</v>
      </c>
      <c r="J77" s="161">
        <v>77483948.010000005</v>
      </c>
      <c r="K77" s="161">
        <v>82175583.650000006</v>
      </c>
      <c r="L77" s="161">
        <v>77474523.550000012</v>
      </c>
      <c r="M77" s="149"/>
      <c r="N77" s="149"/>
      <c r="O77" s="149"/>
      <c r="P77" s="149"/>
      <c r="Q77" s="149"/>
      <c r="R77" s="149"/>
      <c r="S77" s="149"/>
      <c r="T77" s="149"/>
      <c r="U77" s="149"/>
      <c r="V77" s="149"/>
      <c r="W77" s="149"/>
      <c r="X77" s="161">
        <v>77474523.550000012</v>
      </c>
      <c r="Y77" s="145"/>
      <c r="Z77" s="145"/>
    </row>
    <row r="78" spans="1:26" ht="14.4" x14ac:dyDescent="0.3">
      <c r="A78" s="160" t="s">
        <v>234</v>
      </c>
      <c r="B78" s="161">
        <v>2007</v>
      </c>
      <c r="C78" s="161">
        <v>11512883.549999999</v>
      </c>
      <c r="D78" s="161">
        <v>35345388.280000001</v>
      </c>
      <c r="E78" s="161">
        <v>51916384.259999998</v>
      </c>
      <c r="F78" s="161">
        <v>61775383.760000005</v>
      </c>
      <c r="G78" s="161">
        <v>69996990.840000004</v>
      </c>
      <c r="H78" s="161">
        <v>84124562.939999998</v>
      </c>
      <c r="I78" s="161">
        <v>96804530.679999992</v>
      </c>
      <c r="J78" s="161">
        <v>100065946.66000001</v>
      </c>
      <c r="K78" s="161">
        <v>98997062.730000004</v>
      </c>
      <c r="L78" s="149"/>
      <c r="M78" s="149"/>
      <c r="N78" s="149"/>
      <c r="O78" s="149"/>
      <c r="P78" s="149"/>
      <c r="Q78" s="149"/>
      <c r="R78" s="149"/>
      <c r="S78" s="149"/>
      <c r="T78" s="149"/>
      <c r="U78" s="149"/>
      <c r="V78" s="149"/>
      <c r="W78" s="149"/>
      <c r="X78" s="161">
        <v>98997062.730000004</v>
      </c>
      <c r="Y78" s="145"/>
      <c r="Z78" s="145"/>
    </row>
    <row r="79" spans="1:26" ht="14.4" x14ac:dyDescent="0.3">
      <c r="A79" s="160" t="s">
        <v>234</v>
      </c>
      <c r="B79" s="161">
        <v>2008</v>
      </c>
      <c r="C79" s="161">
        <v>7474470.7599999998</v>
      </c>
      <c r="D79" s="161">
        <v>24554562.010000002</v>
      </c>
      <c r="E79" s="161">
        <v>41614544.140000001</v>
      </c>
      <c r="F79" s="161">
        <v>54500674.390000001</v>
      </c>
      <c r="G79" s="161">
        <v>68668399.840000004</v>
      </c>
      <c r="H79" s="161">
        <v>78504775.080000013</v>
      </c>
      <c r="I79" s="161">
        <v>88897955.780000001</v>
      </c>
      <c r="J79" s="161">
        <v>92603455.86999999</v>
      </c>
      <c r="K79" s="149"/>
      <c r="L79" s="149"/>
      <c r="M79" s="149"/>
      <c r="N79" s="149"/>
      <c r="O79" s="149"/>
      <c r="P79" s="149"/>
      <c r="Q79" s="149"/>
      <c r="R79" s="149"/>
      <c r="S79" s="149"/>
      <c r="T79" s="149"/>
      <c r="U79" s="149"/>
      <c r="V79" s="149"/>
      <c r="W79" s="149"/>
      <c r="X79" s="161">
        <v>92603455.86999999</v>
      </c>
      <c r="Y79" s="145"/>
      <c r="Z79" s="145"/>
    </row>
    <row r="80" spans="1:26" ht="14.4" x14ac:dyDescent="0.3">
      <c r="A80" s="160" t="s">
        <v>234</v>
      </c>
      <c r="B80" s="161">
        <v>2009</v>
      </c>
      <c r="C80" s="161">
        <v>8169381.8500000006</v>
      </c>
      <c r="D80" s="161">
        <v>33963885.889999993</v>
      </c>
      <c r="E80" s="161">
        <v>56199636.93</v>
      </c>
      <c r="F80" s="161">
        <v>80123121.629999995</v>
      </c>
      <c r="G80" s="161">
        <v>100489820.38</v>
      </c>
      <c r="H80" s="161">
        <v>111669698.36</v>
      </c>
      <c r="I80" s="161">
        <v>124600721.68000001</v>
      </c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  <c r="V80" s="149"/>
      <c r="W80" s="149"/>
      <c r="X80" s="161">
        <v>124600721.68000001</v>
      </c>
      <c r="Y80" s="145"/>
      <c r="Z80" s="145"/>
    </row>
    <row r="81" spans="1:73" ht="14.4" x14ac:dyDescent="0.3">
      <c r="A81" s="160" t="s">
        <v>234</v>
      </c>
      <c r="B81" s="161">
        <v>2010</v>
      </c>
      <c r="C81" s="161">
        <v>14144145.760000002</v>
      </c>
      <c r="D81" s="161">
        <v>46785283.850000001</v>
      </c>
      <c r="E81" s="161">
        <v>79393907.340000004</v>
      </c>
      <c r="F81" s="161">
        <v>107001447.61</v>
      </c>
      <c r="G81" s="161">
        <v>139026528.49000001</v>
      </c>
      <c r="H81" s="161">
        <v>150467897.17000002</v>
      </c>
      <c r="I81" s="149"/>
      <c r="J81" s="149"/>
      <c r="K81" s="149"/>
      <c r="L81" s="149"/>
      <c r="M81" s="149"/>
      <c r="N81" s="149"/>
      <c r="O81" s="149"/>
      <c r="P81" s="149"/>
      <c r="Q81" s="149"/>
      <c r="R81" s="149"/>
      <c r="S81" s="149"/>
      <c r="T81" s="149"/>
      <c r="U81" s="149"/>
      <c r="V81" s="149"/>
      <c r="W81" s="149"/>
      <c r="X81" s="161">
        <v>150467897.17000002</v>
      </c>
      <c r="Y81" s="145"/>
      <c r="Z81" s="145"/>
    </row>
    <row r="82" spans="1:73" ht="14.4" x14ac:dyDescent="0.3">
      <c r="A82" s="160" t="s">
        <v>234</v>
      </c>
      <c r="B82" s="161">
        <v>2011</v>
      </c>
      <c r="C82" s="161">
        <v>18290098.739999998</v>
      </c>
      <c r="D82" s="161">
        <v>58216880.209999993</v>
      </c>
      <c r="E82" s="161">
        <v>99757926.789999992</v>
      </c>
      <c r="F82" s="161">
        <v>138933977.24000001</v>
      </c>
      <c r="G82" s="161">
        <v>150510185.08000001</v>
      </c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149"/>
      <c r="W82" s="149"/>
      <c r="X82" s="161">
        <v>150510185.08000001</v>
      </c>
      <c r="Y82" s="145"/>
      <c r="Z82" s="145"/>
    </row>
    <row r="83" spans="1:73" ht="14.4" x14ac:dyDescent="0.3">
      <c r="A83" s="160" t="s">
        <v>234</v>
      </c>
      <c r="B83" s="161">
        <v>2012</v>
      </c>
      <c r="C83" s="161">
        <v>19876004.68</v>
      </c>
      <c r="D83" s="161">
        <v>67912627.390000001</v>
      </c>
      <c r="E83" s="161">
        <v>120111940.39</v>
      </c>
      <c r="F83" s="161">
        <v>155826872.93000001</v>
      </c>
      <c r="G83" s="149"/>
      <c r="H83" s="149"/>
      <c r="I83" s="149"/>
      <c r="J83" s="149"/>
      <c r="K83" s="149"/>
      <c r="L83" s="149"/>
      <c r="M83" s="149"/>
      <c r="N83" s="149"/>
      <c r="O83" s="149"/>
      <c r="P83" s="149"/>
      <c r="Q83" s="149"/>
      <c r="R83" s="149"/>
      <c r="S83" s="149"/>
      <c r="T83" s="149"/>
      <c r="U83" s="149"/>
      <c r="V83" s="149"/>
      <c r="W83" s="149"/>
      <c r="X83" s="161">
        <v>155826872.93000001</v>
      </c>
      <c r="Y83" s="145"/>
      <c r="Z83" s="145"/>
    </row>
    <row r="84" spans="1:73" ht="14.4" x14ac:dyDescent="0.3">
      <c r="A84" s="160" t="s">
        <v>234</v>
      </c>
      <c r="B84" s="161">
        <v>2013</v>
      </c>
      <c r="C84" s="161">
        <v>16502974.959999999</v>
      </c>
      <c r="D84" s="161">
        <v>59997108.660000004</v>
      </c>
      <c r="E84" s="161">
        <v>93888104.409999996</v>
      </c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149"/>
      <c r="Q84" s="149"/>
      <c r="R84" s="149"/>
      <c r="S84" s="149"/>
      <c r="T84" s="149"/>
      <c r="U84" s="149"/>
      <c r="V84" s="149"/>
      <c r="W84" s="149"/>
      <c r="X84" s="161">
        <v>93888104.409999996</v>
      </c>
      <c r="Y84" s="145"/>
      <c r="Z84" s="145"/>
    </row>
    <row r="85" spans="1:73" ht="14.4" x14ac:dyDescent="0.3">
      <c r="A85" s="160" t="s">
        <v>234</v>
      </c>
      <c r="B85" s="161">
        <v>2014</v>
      </c>
      <c r="C85" s="161">
        <v>6557809.3300000001</v>
      </c>
      <c r="D85" s="161">
        <v>19574975.989999998</v>
      </c>
      <c r="E85" s="149"/>
      <c r="F85" s="149"/>
      <c r="G85" s="149"/>
      <c r="H85" s="149"/>
      <c r="I85" s="149"/>
      <c r="J85" s="149"/>
      <c r="K85" s="149"/>
      <c r="L85" s="149"/>
      <c r="M85" s="149"/>
      <c r="N85" s="149"/>
      <c r="O85" s="149"/>
      <c r="P85" s="149"/>
      <c r="Q85" s="149"/>
      <c r="R85" s="149"/>
      <c r="S85" s="149"/>
      <c r="T85" s="149"/>
      <c r="U85" s="149"/>
      <c r="V85" s="149"/>
      <c r="W85" s="149"/>
      <c r="X85" s="161">
        <v>19574975.989999998</v>
      </c>
      <c r="Y85" s="145"/>
      <c r="Z85" s="145"/>
    </row>
    <row r="86" spans="1:73" ht="14.4" x14ac:dyDescent="0.3">
      <c r="A86" s="160" t="s">
        <v>234</v>
      </c>
      <c r="B86" s="161">
        <v>2015</v>
      </c>
      <c r="C86" s="161">
        <v>2750379.7399999998</v>
      </c>
      <c r="D86" s="149"/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149"/>
      <c r="Q86" s="149"/>
      <c r="R86" s="149"/>
      <c r="S86" s="149"/>
      <c r="T86" s="149"/>
      <c r="U86" s="149"/>
      <c r="V86" s="149"/>
      <c r="W86" s="149"/>
      <c r="X86" s="161">
        <v>2750379.7399999998</v>
      </c>
      <c r="Y86" s="145"/>
      <c r="Z86" s="145"/>
    </row>
    <row r="87" spans="1:73" ht="14.4" x14ac:dyDescent="0.3">
      <c r="A87" s="160" t="s">
        <v>235</v>
      </c>
      <c r="B87" s="161">
        <v>1995</v>
      </c>
      <c r="C87" s="161">
        <v>78407494.239999995</v>
      </c>
      <c r="D87" s="161">
        <v>183435596.68000001</v>
      </c>
      <c r="E87" s="161">
        <v>321686689.34000003</v>
      </c>
      <c r="F87" s="161">
        <v>438503663.70999998</v>
      </c>
      <c r="G87" s="161">
        <v>515817889.40999997</v>
      </c>
      <c r="H87" s="161">
        <v>568728216.38999999</v>
      </c>
      <c r="I87" s="161">
        <v>597127836.38</v>
      </c>
      <c r="J87" s="161">
        <v>613901668.00999999</v>
      </c>
      <c r="K87" s="161">
        <v>624806726.46000004</v>
      </c>
      <c r="L87" s="161">
        <v>629830848.62</v>
      </c>
      <c r="M87" s="161">
        <v>633256799.16999996</v>
      </c>
      <c r="N87" s="161">
        <v>635026484.70000005</v>
      </c>
      <c r="O87" s="161">
        <v>636759848.47000003</v>
      </c>
      <c r="P87" s="161">
        <v>637100708.39999998</v>
      </c>
      <c r="Q87" s="161">
        <v>637222669.08000004</v>
      </c>
      <c r="R87" s="161">
        <v>637775040.98000002</v>
      </c>
      <c r="S87" s="161">
        <v>637894265.61000001</v>
      </c>
      <c r="T87" s="161">
        <v>637965178.85000002</v>
      </c>
      <c r="U87" s="161">
        <v>637935074.41000009</v>
      </c>
      <c r="V87" s="161">
        <v>637960009.38999999</v>
      </c>
      <c r="W87" s="161">
        <v>638404461.75</v>
      </c>
      <c r="X87" s="161">
        <v>638404461.75</v>
      </c>
      <c r="Y87" s="146" t="s">
        <v>228</v>
      </c>
      <c r="Z87" s="146"/>
      <c r="AA87" s="148">
        <v>0</v>
      </c>
      <c r="AB87" s="148">
        <v>0</v>
      </c>
      <c r="AC87" s="148">
        <v>0</v>
      </c>
      <c r="AD87" s="148">
        <v>0</v>
      </c>
      <c r="AE87" s="148">
        <v>0</v>
      </c>
      <c r="AF87" s="148">
        <v>0</v>
      </c>
      <c r="AG87" s="148">
        <v>0</v>
      </c>
      <c r="AH87" s="148">
        <v>0</v>
      </c>
      <c r="AI87" s="148">
        <v>13722.72</v>
      </c>
      <c r="AJ87" s="148">
        <v>27756.720000000001</v>
      </c>
      <c r="AK87" s="148">
        <v>43921.15</v>
      </c>
      <c r="AL87" s="148">
        <v>62447.35</v>
      </c>
      <c r="AM87" s="148">
        <v>78975.850000000006</v>
      </c>
      <c r="AN87" s="148">
        <v>95845.25</v>
      </c>
      <c r="AO87" s="148">
        <v>109459.9</v>
      </c>
      <c r="AP87" s="148">
        <v>115334.44</v>
      </c>
      <c r="AQ87" s="148">
        <v>146357.07</v>
      </c>
      <c r="AR87" s="148">
        <v>159897.10999999999</v>
      </c>
      <c r="AS87" s="148">
        <v>175653.5</v>
      </c>
      <c r="AT87" s="148">
        <v>215696.08</v>
      </c>
      <c r="AU87" s="148">
        <v>288670.34000000003</v>
      </c>
      <c r="AV87" s="147">
        <v>288670.34000000003</v>
      </c>
      <c r="AX87" s="141" t="s">
        <v>233</v>
      </c>
      <c r="AY87" s="141">
        <v>1992</v>
      </c>
      <c r="AZ87" s="141">
        <v>0</v>
      </c>
      <c r="BA87" s="141">
        <v>0</v>
      </c>
      <c r="BB87" s="141">
        <v>0</v>
      </c>
      <c r="BC87" s="141">
        <v>0</v>
      </c>
      <c r="BD87" s="141">
        <v>0</v>
      </c>
      <c r="BE87" s="141">
        <v>0</v>
      </c>
      <c r="BF87" s="141">
        <v>0</v>
      </c>
      <c r="BG87" s="141">
        <v>0</v>
      </c>
      <c r="BH87" s="141">
        <v>13722.72</v>
      </c>
      <c r="BI87" s="141">
        <v>27756.720000000001</v>
      </c>
      <c r="BJ87" s="141">
        <v>43921.15</v>
      </c>
      <c r="BK87" s="141">
        <v>62447.35</v>
      </c>
      <c r="BL87" s="141">
        <v>78975.850000000006</v>
      </c>
      <c r="BM87" s="141">
        <v>95845.25</v>
      </c>
      <c r="BN87" s="141">
        <v>109459.9</v>
      </c>
      <c r="BO87" s="141">
        <v>115334.44</v>
      </c>
      <c r="BP87" s="141">
        <v>146357.07</v>
      </c>
      <c r="BQ87" s="141">
        <v>159897.10999999999</v>
      </c>
      <c r="BR87" s="141">
        <v>175653.5</v>
      </c>
      <c r="BS87" s="141">
        <v>215696.08</v>
      </c>
      <c r="BT87" s="141">
        <v>288670.34000000003</v>
      </c>
      <c r="BU87" s="141">
        <v>288670.34000000003</v>
      </c>
    </row>
    <row r="88" spans="1:73" ht="14.4" x14ac:dyDescent="0.3">
      <c r="A88" s="160" t="s">
        <v>235</v>
      </c>
      <c r="B88" s="161">
        <v>1996</v>
      </c>
      <c r="C88" s="161">
        <v>62787316.719999999</v>
      </c>
      <c r="D88" s="161">
        <v>147626444.45999998</v>
      </c>
      <c r="E88" s="161">
        <v>252219436.47</v>
      </c>
      <c r="F88" s="161">
        <v>367038125.63</v>
      </c>
      <c r="G88" s="161">
        <v>441023569.80999994</v>
      </c>
      <c r="H88" s="161">
        <v>493481277</v>
      </c>
      <c r="I88" s="161">
        <v>520904535.47999996</v>
      </c>
      <c r="J88" s="161">
        <v>539614618.42999995</v>
      </c>
      <c r="K88" s="161">
        <v>548132082.22000003</v>
      </c>
      <c r="L88" s="161">
        <v>551669435.87</v>
      </c>
      <c r="M88" s="161">
        <v>554105811.53999996</v>
      </c>
      <c r="N88" s="161">
        <v>556101058.91999996</v>
      </c>
      <c r="O88" s="161">
        <v>556829847.25</v>
      </c>
      <c r="P88" s="161">
        <v>557362709.88999999</v>
      </c>
      <c r="Q88" s="161">
        <v>558078293.35000002</v>
      </c>
      <c r="R88" s="161">
        <v>559281175.79999995</v>
      </c>
      <c r="S88" s="161">
        <v>559327007.13999999</v>
      </c>
      <c r="T88" s="161">
        <v>559398916.47000003</v>
      </c>
      <c r="U88" s="161">
        <v>559532705.61000001</v>
      </c>
      <c r="V88" s="161">
        <v>559870961.18000007</v>
      </c>
      <c r="W88" s="149"/>
      <c r="X88" s="161">
        <v>559870961.18000007</v>
      </c>
      <c r="Y88" s="146" t="s">
        <v>228</v>
      </c>
      <c r="Z88" s="146"/>
      <c r="AA88" s="148">
        <v>0</v>
      </c>
      <c r="AB88" s="148">
        <v>0</v>
      </c>
      <c r="AC88" s="148">
        <v>0</v>
      </c>
      <c r="AD88" s="148">
        <v>0</v>
      </c>
      <c r="AE88" s="148">
        <v>0</v>
      </c>
      <c r="AF88" s="148">
        <v>0</v>
      </c>
      <c r="AG88" s="148">
        <v>0</v>
      </c>
      <c r="AH88" s="148">
        <v>0</v>
      </c>
      <c r="AI88" s="148">
        <v>0</v>
      </c>
      <c r="AJ88" s="148">
        <v>0</v>
      </c>
      <c r="AK88" s="148">
        <v>0</v>
      </c>
      <c r="AL88" s="148">
        <v>0</v>
      </c>
      <c r="AM88" s="148">
        <v>0</v>
      </c>
      <c r="AN88" s="148">
        <v>0</v>
      </c>
      <c r="AO88" s="148">
        <v>0</v>
      </c>
      <c r="AP88" s="148">
        <v>0</v>
      </c>
      <c r="AQ88" s="148">
        <v>0</v>
      </c>
      <c r="AR88" s="148">
        <v>0</v>
      </c>
      <c r="AS88" s="148">
        <v>0</v>
      </c>
      <c r="AT88" s="148">
        <v>0</v>
      </c>
      <c r="AU88" s="148"/>
      <c r="AV88" s="147">
        <v>0</v>
      </c>
      <c r="AX88" s="141" t="s">
        <v>233</v>
      </c>
      <c r="AY88" s="141">
        <v>1993</v>
      </c>
      <c r="AZ88" s="141">
        <v>0</v>
      </c>
      <c r="BA88" s="141">
        <v>0</v>
      </c>
      <c r="BB88" s="141">
        <v>0</v>
      </c>
      <c r="BC88" s="141">
        <v>0</v>
      </c>
      <c r="BD88" s="141">
        <v>0</v>
      </c>
      <c r="BE88" s="141">
        <v>0</v>
      </c>
      <c r="BF88" s="141">
        <v>0</v>
      </c>
      <c r="BG88" s="141">
        <v>0</v>
      </c>
      <c r="BH88" s="141">
        <v>0</v>
      </c>
      <c r="BI88" s="141">
        <v>0</v>
      </c>
      <c r="BJ88" s="141">
        <v>0</v>
      </c>
      <c r="BK88" s="141">
        <v>0</v>
      </c>
      <c r="BL88" s="141">
        <v>0</v>
      </c>
      <c r="BM88" s="141">
        <v>0</v>
      </c>
      <c r="BN88" s="141">
        <v>0</v>
      </c>
      <c r="BO88" s="141">
        <v>0</v>
      </c>
      <c r="BP88" s="141">
        <v>0</v>
      </c>
      <c r="BQ88" s="141">
        <v>0</v>
      </c>
      <c r="BR88" s="141">
        <v>0</v>
      </c>
      <c r="BS88" s="141">
        <v>0</v>
      </c>
      <c r="BU88" s="141">
        <v>0</v>
      </c>
    </row>
    <row r="89" spans="1:73" ht="14.4" x14ac:dyDescent="0.3">
      <c r="A89" s="160" t="s">
        <v>235</v>
      </c>
      <c r="B89" s="161">
        <v>1997</v>
      </c>
      <c r="C89" s="161">
        <v>46649399.07</v>
      </c>
      <c r="D89" s="161">
        <v>135421162.38</v>
      </c>
      <c r="E89" s="161">
        <v>242559623.69</v>
      </c>
      <c r="F89" s="161">
        <v>339390924.90999997</v>
      </c>
      <c r="G89" s="161">
        <v>414920359.35000002</v>
      </c>
      <c r="H89" s="161">
        <v>459448038.12</v>
      </c>
      <c r="I89" s="161">
        <v>483445592.68000001</v>
      </c>
      <c r="J89" s="161">
        <v>501804208.78000003</v>
      </c>
      <c r="K89" s="161">
        <v>508456532.41999996</v>
      </c>
      <c r="L89" s="161">
        <v>512780858.69999999</v>
      </c>
      <c r="M89" s="161">
        <v>515197960.92000002</v>
      </c>
      <c r="N89" s="161">
        <v>517378779.17000002</v>
      </c>
      <c r="O89" s="161">
        <v>518617327.84000003</v>
      </c>
      <c r="P89" s="161">
        <v>519409238.93000001</v>
      </c>
      <c r="Q89" s="161">
        <v>519784867.05000001</v>
      </c>
      <c r="R89" s="161">
        <v>519994947.25999999</v>
      </c>
      <c r="S89" s="161">
        <v>519854151.57999998</v>
      </c>
      <c r="T89" s="161">
        <v>519854635.07999998</v>
      </c>
      <c r="U89" s="161">
        <v>519854962.57999998</v>
      </c>
      <c r="V89" s="149"/>
      <c r="W89" s="149"/>
      <c r="X89" s="161">
        <v>519854962.57999998</v>
      </c>
      <c r="Y89" s="146" t="s">
        <v>228</v>
      </c>
      <c r="Z89" s="146"/>
      <c r="AA89" s="148">
        <v>0</v>
      </c>
      <c r="AB89" s="148">
        <v>0</v>
      </c>
      <c r="AC89" s="148">
        <v>0</v>
      </c>
      <c r="AD89" s="148">
        <v>0</v>
      </c>
      <c r="AE89" s="148">
        <v>0</v>
      </c>
      <c r="AF89" s="148">
        <v>0</v>
      </c>
      <c r="AG89" s="148">
        <v>0</v>
      </c>
      <c r="AH89" s="148">
        <v>0</v>
      </c>
      <c r="AI89" s="148">
        <v>0</v>
      </c>
      <c r="AJ89" s="148">
        <v>0</v>
      </c>
      <c r="AK89" s="148">
        <v>0</v>
      </c>
      <c r="AL89" s="148">
        <v>0</v>
      </c>
      <c r="AM89" s="148">
        <v>0</v>
      </c>
      <c r="AN89" s="148">
        <v>0</v>
      </c>
      <c r="AO89" s="148">
        <v>0</v>
      </c>
      <c r="AP89" s="148">
        <v>0</v>
      </c>
      <c r="AQ89" s="148">
        <v>0</v>
      </c>
      <c r="AR89" s="148">
        <v>0</v>
      </c>
      <c r="AS89" s="148">
        <v>0</v>
      </c>
      <c r="AT89" s="148"/>
      <c r="AU89" s="148"/>
      <c r="AV89" s="147">
        <v>0</v>
      </c>
      <c r="AX89" s="141" t="s">
        <v>233</v>
      </c>
      <c r="AY89" s="141">
        <v>1994</v>
      </c>
      <c r="AZ89" s="141">
        <v>0</v>
      </c>
      <c r="BA89" s="141">
        <v>0</v>
      </c>
      <c r="BB89" s="141">
        <v>0</v>
      </c>
      <c r="BC89" s="141">
        <v>0</v>
      </c>
      <c r="BD89" s="141">
        <v>0</v>
      </c>
      <c r="BE89" s="141">
        <v>0</v>
      </c>
      <c r="BF89" s="141">
        <v>0</v>
      </c>
      <c r="BG89" s="141">
        <v>0</v>
      </c>
      <c r="BH89" s="141">
        <v>0</v>
      </c>
      <c r="BI89" s="141">
        <v>0</v>
      </c>
      <c r="BJ89" s="141">
        <v>0</v>
      </c>
      <c r="BK89" s="141">
        <v>0</v>
      </c>
      <c r="BL89" s="141">
        <v>0</v>
      </c>
      <c r="BM89" s="141">
        <v>0</v>
      </c>
      <c r="BN89" s="141">
        <v>0</v>
      </c>
      <c r="BO89" s="141">
        <v>0</v>
      </c>
      <c r="BP89" s="141">
        <v>0</v>
      </c>
      <c r="BQ89" s="141">
        <v>0</v>
      </c>
      <c r="BR89" s="141">
        <v>0</v>
      </c>
      <c r="BU89" s="141">
        <v>0</v>
      </c>
    </row>
    <row r="90" spans="1:73" ht="14.4" x14ac:dyDescent="0.3">
      <c r="A90" s="160" t="s">
        <v>235</v>
      </c>
      <c r="B90" s="161">
        <v>1998</v>
      </c>
      <c r="C90" s="161">
        <v>49528536.470000006</v>
      </c>
      <c r="D90" s="161">
        <v>136434757.66000003</v>
      </c>
      <c r="E90" s="161">
        <v>235228483.38000003</v>
      </c>
      <c r="F90" s="161">
        <v>347394721.06999999</v>
      </c>
      <c r="G90" s="161">
        <v>415590871.09999996</v>
      </c>
      <c r="H90" s="161">
        <v>471094884.37</v>
      </c>
      <c r="I90" s="161">
        <v>505246013.38999999</v>
      </c>
      <c r="J90" s="161">
        <v>517635643.10000002</v>
      </c>
      <c r="K90" s="161">
        <v>528394737.88999999</v>
      </c>
      <c r="L90" s="161">
        <v>534792101.17999995</v>
      </c>
      <c r="M90" s="161">
        <v>537431855.75999999</v>
      </c>
      <c r="N90" s="161">
        <v>539177311.49000001</v>
      </c>
      <c r="O90" s="161">
        <v>539045021.27999997</v>
      </c>
      <c r="P90" s="161">
        <v>540686532.86000001</v>
      </c>
      <c r="Q90" s="161">
        <v>540906590.50999999</v>
      </c>
      <c r="R90" s="161">
        <v>540937839.82000005</v>
      </c>
      <c r="S90" s="161">
        <v>540947639.43999994</v>
      </c>
      <c r="T90" s="161">
        <v>540971607.66999996</v>
      </c>
      <c r="U90" s="149"/>
      <c r="V90" s="149"/>
      <c r="W90" s="149"/>
      <c r="X90" s="161">
        <v>540971607.66999996</v>
      </c>
      <c r="Y90" s="146" t="s">
        <v>228</v>
      </c>
      <c r="Z90" s="146"/>
      <c r="AA90" s="148">
        <v>0</v>
      </c>
      <c r="AB90" s="148">
        <v>0</v>
      </c>
      <c r="AC90" s="148">
        <v>0</v>
      </c>
      <c r="AD90" s="148">
        <v>0</v>
      </c>
      <c r="AE90" s="148">
        <v>0</v>
      </c>
      <c r="AF90" s="148">
        <v>0</v>
      </c>
      <c r="AG90" s="148">
        <v>0</v>
      </c>
      <c r="AH90" s="148">
        <v>0</v>
      </c>
      <c r="AI90" s="148">
        <v>0</v>
      </c>
      <c r="AJ90" s="148">
        <v>0</v>
      </c>
      <c r="AK90" s="148">
        <v>0</v>
      </c>
      <c r="AL90" s="148">
        <v>0</v>
      </c>
      <c r="AM90" s="148">
        <v>0</v>
      </c>
      <c r="AN90" s="148">
        <v>29404.720000000001</v>
      </c>
      <c r="AO90" s="148">
        <v>167012.12</v>
      </c>
      <c r="AP90" s="148">
        <v>333108.69</v>
      </c>
      <c r="AQ90" s="148">
        <v>415597.94</v>
      </c>
      <c r="AR90" s="148">
        <v>649860.15</v>
      </c>
      <c r="AS90" s="148"/>
      <c r="AT90" s="148"/>
      <c r="AU90" s="148"/>
      <c r="AV90" s="147">
        <v>649860.15</v>
      </c>
      <c r="AX90" s="141" t="s">
        <v>233</v>
      </c>
      <c r="AY90" s="141">
        <v>1995</v>
      </c>
      <c r="AZ90" s="141">
        <v>0</v>
      </c>
      <c r="BA90" s="141">
        <v>0</v>
      </c>
      <c r="BB90" s="141">
        <v>0</v>
      </c>
      <c r="BC90" s="141">
        <v>0</v>
      </c>
      <c r="BD90" s="141">
        <v>0</v>
      </c>
      <c r="BE90" s="141">
        <v>0</v>
      </c>
      <c r="BF90" s="141">
        <v>0</v>
      </c>
      <c r="BG90" s="141">
        <v>0</v>
      </c>
      <c r="BH90" s="141">
        <v>0</v>
      </c>
      <c r="BI90" s="141">
        <v>0</v>
      </c>
      <c r="BJ90" s="141">
        <v>0</v>
      </c>
      <c r="BK90" s="141">
        <v>0</v>
      </c>
      <c r="BL90" s="141">
        <v>0</v>
      </c>
      <c r="BM90" s="141">
        <v>29404.720000000001</v>
      </c>
      <c r="BN90" s="141">
        <v>167012.12</v>
      </c>
      <c r="BO90" s="141">
        <v>333108.69</v>
      </c>
      <c r="BP90" s="141">
        <v>415597.94</v>
      </c>
      <c r="BQ90" s="141">
        <v>649860.15</v>
      </c>
      <c r="BU90" s="141">
        <v>649860.15</v>
      </c>
    </row>
    <row r="91" spans="1:73" ht="14.4" x14ac:dyDescent="0.3">
      <c r="A91" s="160" t="s">
        <v>235</v>
      </c>
      <c r="B91" s="161">
        <v>1999</v>
      </c>
      <c r="C91" s="161">
        <v>58509544.039999999</v>
      </c>
      <c r="D91" s="161">
        <v>154974885.57999998</v>
      </c>
      <c r="E91" s="161">
        <v>260154751.25</v>
      </c>
      <c r="F91" s="161">
        <v>367102408.92000002</v>
      </c>
      <c r="G91" s="161">
        <v>453094624.32999998</v>
      </c>
      <c r="H91" s="161">
        <v>518204690.74000001</v>
      </c>
      <c r="I91" s="161">
        <v>562026109.65999997</v>
      </c>
      <c r="J91" s="161">
        <v>587268111.81999993</v>
      </c>
      <c r="K91" s="161">
        <v>602175651.82999992</v>
      </c>
      <c r="L91" s="161">
        <v>611388001.00999999</v>
      </c>
      <c r="M91" s="161">
        <v>621360755.23000002</v>
      </c>
      <c r="N91" s="161">
        <v>625264873.57999992</v>
      </c>
      <c r="O91" s="161">
        <v>626351471.89999998</v>
      </c>
      <c r="P91" s="161">
        <v>626872258.84000003</v>
      </c>
      <c r="Q91" s="161">
        <v>627238261.52999997</v>
      </c>
      <c r="R91" s="161">
        <v>627577578.78999996</v>
      </c>
      <c r="S91" s="161">
        <v>628223423</v>
      </c>
      <c r="T91" s="149"/>
      <c r="U91" s="149"/>
      <c r="V91" s="149"/>
      <c r="W91" s="149"/>
      <c r="X91" s="161">
        <v>628223423</v>
      </c>
      <c r="Y91" s="146" t="s">
        <v>228</v>
      </c>
      <c r="Z91" s="146"/>
      <c r="AA91" s="148">
        <v>0</v>
      </c>
      <c r="AB91" s="148">
        <v>0</v>
      </c>
      <c r="AC91" s="148">
        <v>0</v>
      </c>
      <c r="AD91" s="148">
        <v>0</v>
      </c>
      <c r="AE91" s="148">
        <v>0</v>
      </c>
      <c r="AF91" s="148">
        <v>0</v>
      </c>
      <c r="AG91" s="148">
        <v>0</v>
      </c>
      <c r="AH91" s="148">
        <v>0</v>
      </c>
      <c r="AI91" s="148">
        <v>0</v>
      </c>
      <c r="AJ91" s="148">
        <v>0</v>
      </c>
      <c r="AK91" s="148">
        <v>0</v>
      </c>
      <c r="AL91" s="148">
        <v>0</v>
      </c>
      <c r="AM91" s="148">
        <v>0</v>
      </c>
      <c r="AN91" s="148">
        <v>0</v>
      </c>
      <c r="AO91" s="148">
        <v>0</v>
      </c>
      <c r="AP91" s="148">
        <v>0</v>
      </c>
      <c r="AQ91" s="148">
        <v>0</v>
      </c>
      <c r="AR91" s="148"/>
      <c r="AS91" s="148"/>
      <c r="AT91" s="148"/>
      <c r="AU91" s="148"/>
      <c r="AV91" s="147">
        <v>0</v>
      </c>
      <c r="AX91" s="141" t="s">
        <v>233</v>
      </c>
      <c r="AY91" s="141">
        <v>1996</v>
      </c>
      <c r="AZ91" s="141">
        <v>0</v>
      </c>
      <c r="BA91" s="141">
        <v>0</v>
      </c>
      <c r="BB91" s="141">
        <v>0</v>
      </c>
      <c r="BC91" s="141">
        <v>0</v>
      </c>
      <c r="BD91" s="141">
        <v>0</v>
      </c>
      <c r="BE91" s="141">
        <v>0</v>
      </c>
      <c r="BF91" s="141">
        <v>0</v>
      </c>
      <c r="BG91" s="141">
        <v>0</v>
      </c>
      <c r="BH91" s="141">
        <v>0</v>
      </c>
      <c r="BI91" s="141">
        <v>0</v>
      </c>
      <c r="BJ91" s="141">
        <v>0</v>
      </c>
      <c r="BK91" s="141">
        <v>0</v>
      </c>
      <c r="BL91" s="141">
        <v>0</v>
      </c>
      <c r="BM91" s="141">
        <v>0</v>
      </c>
      <c r="BN91" s="141">
        <v>0</v>
      </c>
      <c r="BO91" s="141">
        <v>0</v>
      </c>
      <c r="BP91" s="141">
        <v>0</v>
      </c>
      <c r="BU91" s="141">
        <v>0</v>
      </c>
    </row>
    <row r="92" spans="1:73" ht="14.4" x14ac:dyDescent="0.3">
      <c r="A92" s="160" t="s">
        <v>235</v>
      </c>
      <c r="B92" s="161">
        <v>2000</v>
      </c>
      <c r="C92" s="161">
        <v>48828643.620000005</v>
      </c>
      <c r="D92" s="161">
        <v>114302180.18000001</v>
      </c>
      <c r="E92" s="161">
        <v>196486881.65000001</v>
      </c>
      <c r="F92" s="161">
        <v>288483999.08999997</v>
      </c>
      <c r="G92" s="161">
        <v>363237499.05999994</v>
      </c>
      <c r="H92" s="161">
        <v>411370309.41999996</v>
      </c>
      <c r="I92" s="161">
        <v>439652346.19999999</v>
      </c>
      <c r="J92" s="161">
        <v>453472819.47000003</v>
      </c>
      <c r="K92" s="161">
        <v>461030461.59000003</v>
      </c>
      <c r="L92" s="161">
        <v>464847819.68000001</v>
      </c>
      <c r="M92" s="161">
        <v>467311807.62</v>
      </c>
      <c r="N92" s="161">
        <v>471203514.24000001</v>
      </c>
      <c r="O92" s="161">
        <v>472325184.25</v>
      </c>
      <c r="P92" s="161">
        <v>473358331.46999997</v>
      </c>
      <c r="Q92" s="161">
        <v>473489718.84000003</v>
      </c>
      <c r="R92" s="161">
        <v>473724622.10000002</v>
      </c>
      <c r="S92" s="149"/>
      <c r="T92" s="149"/>
      <c r="U92" s="149"/>
      <c r="V92" s="149"/>
      <c r="W92" s="149"/>
      <c r="X92" s="161">
        <v>473724622.10000002</v>
      </c>
      <c r="Y92" s="146" t="s">
        <v>228</v>
      </c>
      <c r="Z92" s="146"/>
      <c r="AA92" s="148">
        <v>0</v>
      </c>
      <c r="AB92" s="148">
        <v>0</v>
      </c>
      <c r="AC92" s="148">
        <v>0</v>
      </c>
      <c r="AD92" s="148">
        <v>0</v>
      </c>
      <c r="AE92" s="148">
        <v>0</v>
      </c>
      <c r="AF92" s="148">
        <v>0</v>
      </c>
      <c r="AG92" s="148">
        <v>0</v>
      </c>
      <c r="AH92" s="148">
        <v>0</v>
      </c>
      <c r="AI92" s="148">
        <v>0</v>
      </c>
      <c r="AJ92" s="148">
        <v>0</v>
      </c>
      <c r="AK92" s="148">
        <v>0</v>
      </c>
      <c r="AL92" s="148">
        <v>0</v>
      </c>
      <c r="AM92" s="148">
        <v>0</v>
      </c>
      <c r="AN92" s="148">
        <v>0</v>
      </c>
      <c r="AO92" s="148">
        <v>0</v>
      </c>
      <c r="AP92" s="148">
        <v>0</v>
      </c>
      <c r="AQ92" s="148"/>
      <c r="AR92" s="148"/>
      <c r="AS92" s="148"/>
      <c r="AT92" s="148"/>
      <c r="AU92" s="148"/>
      <c r="AV92" s="147">
        <v>0</v>
      </c>
      <c r="AX92" s="141" t="s">
        <v>233</v>
      </c>
      <c r="AY92" s="141">
        <v>1997</v>
      </c>
      <c r="AZ92" s="141">
        <v>0</v>
      </c>
      <c r="BA92" s="141">
        <v>0</v>
      </c>
      <c r="BB92" s="141">
        <v>0</v>
      </c>
      <c r="BC92" s="141">
        <v>0</v>
      </c>
      <c r="BD92" s="141">
        <v>0</v>
      </c>
      <c r="BE92" s="141">
        <v>0</v>
      </c>
      <c r="BF92" s="141">
        <v>0</v>
      </c>
      <c r="BG92" s="141">
        <v>0</v>
      </c>
      <c r="BH92" s="141">
        <v>0</v>
      </c>
      <c r="BI92" s="141">
        <v>0</v>
      </c>
      <c r="BJ92" s="141">
        <v>0</v>
      </c>
      <c r="BK92" s="141">
        <v>0</v>
      </c>
      <c r="BL92" s="141">
        <v>0</v>
      </c>
      <c r="BM92" s="141">
        <v>0</v>
      </c>
      <c r="BN92" s="141">
        <v>0</v>
      </c>
      <c r="BO92" s="141">
        <v>0</v>
      </c>
      <c r="BU92" s="141">
        <v>0</v>
      </c>
    </row>
    <row r="93" spans="1:73" ht="14.4" x14ac:dyDescent="0.3">
      <c r="A93" s="160" t="s">
        <v>235</v>
      </c>
      <c r="B93" s="161">
        <v>2001</v>
      </c>
      <c r="C93" s="161">
        <v>38012641.640000001</v>
      </c>
      <c r="D93" s="161">
        <v>82977492.230000004</v>
      </c>
      <c r="E93" s="161">
        <v>148168284.37</v>
      </c>
      <c r="F93" s="161">
        <v>215272135.58000001</v>
      </c>
      <c r="G93" s="161">
        <v>264834774.50999999</v>
      </c>
      <c r="H93" s="161">
        <v>297032987.33999997</v>
      </c>
      <c r="I93" s="161">
        <v>317690858.08000004</v>
      </c>
      <c r="J93" s="161">
        <v>333211848.82999998</v>
      </c>
      <c r="K93" s="161">
        <v>338081619.45999998</v>
      </c>
      <c r="L93" s="161">
        <v>342612599.94</v>
      </c>
      <c r="M93" s="161">
        <v>348226281.04000002</v>
      </c>
      <c r="N93" s="161">
        <v>348907944.81999999</v>
      </c>
      <c r="O93" s="161">
        <v>348961525.63</v>
      </c>
      <c r="P93" s="161">
        <v>348954447.30000001</v>
      </c>
      <c r="Q93" s="161">
        <v>349035336.00999999</v>
      </c>
      <c r="R93" s="149"/>
      <c r="S93" s="149"/>
      <c r="T93" s="149"/>
      <c r="U93" s="149"/>
      <c r="V93" s="149"/>
      <c r="W93" s="149"/>
      <c r="X93" s="161">
        <v>349035336.00999999</v>
      </c>
      <c r="Y93" s="146" t="s">
        <v>228</v>
      </c>
      <c r="Z93" s="146"/>
      <c r="AA93" s="148">
        <v>0</v>
      </c>
      <c r="AB93" s="148">
        <v>0</v>
      </c>
      <c r="AC93" s="148">
        <v>0</v>
      </c>
      <c r="AD93" s="148">
        <v>0</v>
      </c>
      <c r="AE93" s="148">
        <v>0</v>
      </c>
      <c r="AF93" s="148">
        <v>0</v>
      </c>
      <c r="AG93" s="148">
        <v>0</v>
      </c>
      <c r="AH93" s="148">
        <v>0</v>
      </c>
      <c r="AI93" s="148">
        <v>0</v>
      </c>
      <c r="AJ93" s="148">
        <v>0</v>
      </c>
      <c r="AK93" s="148">
        <v>0</v>
      </c>
      <c r="AL93" s="148">
        <v>0</v>
      </c>
      <c r="AM93" s="148">
        <v>0</v>
      </c>
      <c r="AN93" s="148">
        <v>250</v>
      </c>
      <c r="AO93" s="148">
        <v>250</v>
      </c>
      <c r="AP93" s="148"/>
      <c r="AQ93" s="148"/>
      <c r="AR93" s="148"/>
      <c r="AS93" s="148"/>
      <c r="AT93" s="148"/>
      <c r="AU93" s="148"/>
      <c r="AV93" s="147">
        <v>250</v>
      </c>
      <c r="AX93" s="141" t="s">
        <v>233</v>
      </c>
      <c r="AY93" s="141">
        <v>1998</v>
      </c>
      <c r="AZ93" s="141">
        <v>0</v>
      </c>
      <c r="BA93" s="141">
        <v>0</v>
      </c>
      <c r="BB93" s="141">
        <v>0</v>
      </c>
      <c r="BC93" s="141">
        <v>0</v>
      </c>
      <c r="BD93" s="141">
        <v>0</v>
      </c>
      <c r="BE93" s="141">
        <v>0</v>
      </c>
      <c r="BF93" s="141">
        <v>0</v>
      </c>
      <c r="BG93" s="141">
        <v>0</v>
      </c>
      <c r="BH93" s="141">
        <v>0</v>
      </c>
      <c r="BI93" s="141">
        <v>0</v>
      </c>
      <c r="BJ93" s="141">
        <v>0</v>
      </c>
      <c r="BK93" s="141">
        <v>0</v>
      </c>
      <c r="BL93" s="141">
        <v>0</v>
      </c>
      <c r="BM93" s="141">
        <v>250</v>
      </c>
      <c r="BN93" s="141">
        <v>250</v>
      </c>
      <c r="BU93" s="141">
        <v>250</v>
      </c>
    </row>
    <row r="94" spans="1:73" ht="14.4" x14ac:dyDescent="0.3">
      <c r="A94" s="160" t="s">
        <v>235</v>
      </c>
      <c r="B94" s="161">
        <v>2002</v>
      </c>
      <c r="C94" s="161">
        <v>26819822.869999997</v>
      </c>
      <c r="D94" s="161">
        <v>68201993.269999996</v>
      </c>
      <c r="E94" s="161">
        <v>125055699.34</v>
      </c>
      <c r="F94" s="161">
        <v>196964129.94</v>
      </c>
      <c r="G94" s="161">
        <v>244833670.03999999</v>
      </c>
      <c r="H94" s="161">
        <v>274173549.07999998</v>
      </c>
      <c r="I94" s="161">
        <v>289186721.19</v>
      </c>
      <c r="J94" s="161">
        <v>295154475.84999996</v>
      </c>
      <c r="K94" s="161">
        <v>297457629.24000001</v>
      </c>
      <c r="L94" s="161">
        <v>298960902.35000002</v>
      </c>
      <c r="M94" s="161">
        <v>300584387.52999997</v>
      </c>
      <c r="N94" s="161">
        <v>301690724.65000004</v>
      </c>
      <c r="O94" s="161">
        <v>302768194.90000004</v>
      </c>
      <c r="P94" s="161">
        <v>302839788.71000004</v>
      </c>
      <c r="Q94" s="149"/>
      <c r="R94" s="149"/>
      <c r="S94" s="149"/>
      <c r="T94" s="149"/>
      <c r="U94" s="149"/>
      <c r="V94" s="149"/>
      <c r="W94" s="149"/>
      <c r="X94" s="161">
        <v>302839788.71000004</v>
      </c>
      <c r="Y94" s="146" t="s">
        <v>228</v>
      </c>
      <c r="Z94" s="146"/>
      <c r="AA94" s="148">
        <v>0</v>
      </c>
      <c r="AB94" s="148">
        <v>0</v>
      </c>
      <c r="AC94" s="148">
        <v>0</v>
      </c>
      <c r="AD94" s="148">
        <v>0</v>
      </c>
      <c r="AE94" s="148">
        <v>0</v>
      </c>
      <c r="AF94" s="148">
        <v>0</v>
      </c>
      <c r="AG94" s="148">
        <v>0</v>
      </c>
      <c r="AH94" s="148">
        <v>0</v>
      </c>
      <c r="AI94" s="148">
        <v>0</v>
      </c>
      <c r="AJ94" s="148">
        <v>0</v>
      </c>
      <c r="AK94" s="148">
        <v>0</v>
      </c>
      <c r="AL94" s="148">
        <v>0</v>
      </c>
      <c r="AM94" s="148">
        <v>0</v>
      </c>
      <c r="AN94" s="148">
        <v>0</v>
      </c>
      <c r="AO94" s="148"/>
      <c r="AP94" s="148"/>
      <c r="AQ94" s="148"/>
      <c r="AR94" s="148"/>
      <c r="AS94" s="148"/>
      <c r="AT94" s="148"/>
      <c r="AU94" s="148"/>
      <c r="AV94" s="147">
        <v>0</v>
      </c>
      <c r="AX94" s="141" t="s">
        <v>233</v>
      </c>
      <c r="AY94" s="141">
        <v>1999</v>
      </c>
      <c r="AZ94" s="141">
        <v>0</v>
      </c>
      <c r="BA94" s="141">
        <v>0</v>
      </c>
      <c r="BB94" s="141">
        <v>0</v>
      </c>
      <c r="BC94" s="141">
        <v>0</v>
      </c>
      <c r="BD94" s="141">
        <v>0</v>
      </c>
      <c r="BE94" s="141">
        <v>0</v>
      </c>
      <c r="BF94" s="141">
        <v>0</v>
      </c>
      <c r="BG94" s="141">
        <v>0</v>
      </c>
      <c r="BH94" s="141">
        <v>0</v>
      </c>
      <c r="BI94" s="141">
        <v>0</v>
      </c>
      <c r="BJ94" s="141">
        <v>0</v>
      </c>
      <c r="BK94" s="141">
        <v>0</v>
      </c>
      <c r="BL94" s="141">
        <v>0</v>
      </c>
      <c r="BM94" s="141">
        <v>0</v>
      </c>
      <c r="BU94" s="141">
        <v>0</v>
      </c>
    </row>
    <row r="95" spans="1:73" ht="14.4" x14ac:dyDescent="0.3">
      <c r="A95" s="160" t="s">
        <v>235</v>
      </c>
      <c r="B95" s="161">
        <v>2003</v>
      </c>
      <c r="C95" s="161">
        <v>23879341.560000002</v>
      </c>
      <c r="D95" s="161">
        <v>59646288.439999998</v>
      </c>
      <c r="E95" s="161">
        <v>114642136.97999999</v>
      </c>
      <c r="F95" s="161">
        <v>182833552.36000001</v>
      </c>
      <c r="G95" s="161">
        <v>217368810.78999999</v>
      </c>
      <c r="H95" s="161">
        <v>246707717.76000002</v>
      </c>
      <c r="I95" s="161">
        <v>257454291.01999998</v>
      </c>
      <c r="J95" s="161">
        <v>267667413.53999999</v>
      </c>
      <c r="K95" s="161">
        <v>272096288.43000001</v>
      </c>
      <c r="L95" s="161">
        <v>277139044.16999996</v>
      </c>
      <c r="M95" s="161">
        <v>279555582.28999996</v>
      </c>
      <c r="N95" s="161">
        <v>279548331.28999996</v>
      </c>
      <c r="O95" s="161">
        <v>279650845.84999996</v>
      </c>
      <c r="P95" s="149"/>
      <c r="Q95" s="149"/>
      <c r="R95" s="149"/>
      <c r="S95" s="149"/>
      <c r="T95" s="149"/>
      <c r="U95" s="149"/>
      <c r="V95" s="149"/>
      <c r="W95" s="149"/>
      <c r="X95" s="161">
        <v>279650845.84999996</v>
      </c>
      <c r="Y95" s="146" t="s">
        <v>228</v>
      </c>
      <c r="Z95" s="145"/>
      <c r="AA95" s="140">
        <v>4449.22</v>
      </c>
      <c r="AB95" s="140">
        <v>83426.33</v>
      </c>
      <c r="AC95" s="140">
        <v>182396.99</v>
      </c>
      <c r="AD95" s="140">
        <v>200796.75</v>
      </c>
      <c r="AE95" s="140">
        <v>346893.14</v>
      </c>
      <c r="AF95" s="140">
        <v>356893.14</v>
      </c>
      <c r="AG95" s="140">
        <v>357260.64</v>
      </c>
      <c r="AH95" s="140">
        <v>357260.64</v>
      </c>
      <c r="AI95" s="140">
        <v>357260.64</v>
      </c>
      <c r="AJ95" s="140">
        <v>357260.64</v>
      </c>
      <c r="AK95" s="140">
        <v>357260.64</v>
      </c>
      <c r="AL95" s="140">
        <v>357260.64</v>
      </c>
      <c r="AM95" s="140">
        <v>357260.64</v>
      </c>
      <c r="AN95" s="140"/>
      <c r="AO95" s="140"/>
      <c r="AP95" s="140"/>
      <c r="AQ95" s="140"/>
      <c r="AR95" s="140"/>
      <c r="AS95" s="140"/>
      <c r="AT95" s="140"/>
      <c r="AU95" s="140"/>
      <c r="AV95" s="144">
        <v>357260.64</v>
      </c>
      <c r="AX95" s="141" t="s">
        <v>233</v>
      </c>
      <c r="AY95" s="141">
        <v>2000</v>
      </c>
      <c r="AZ95" s="141">
        <v>4449.22</v>
      </c>
      <c r="BA95" s="141">
        <v>83426.33</v>
      </c>
      <c r="BB95" s="141">
        <v>182396.99</v>
      </c>
      <c r="BC95" s="141">
        <v>200796.75</v>
      </c>
      <c r="BD95" s="141">
        <v>346893.14</v>
      </c>
      <c r="BE95" s="141">
        <v>356893.14</v>
      </c>
      <c r="BF95" s="141">
        <v>357260.64</v>
      </c>
      <c r="BG95" s="141">
        <v>357260.64</v>
      </c>
      <c r="BH95" s="141">
        <v>357260.64</v>
      </c>
      <c r="BI95" s="141">
        <v>357260.64</v>
      </c>
      <c r="BJ95" s="141">
        <v>357260.64</v>
      </c>
      <c r="BK95" s="141">
        <v>357260.64</v>
      </c>
      <c r="BL95" s="141">
        <v>357260.64</v>
      </c>
      <c r="BU95" s="141">
        <v>357260.64</v>
      </c>
    </row>
    <row r="96" spans="1:73" ht="14.4" x14ac:dyDescent="0.3">
      <c r="A96" s="160" t="s">
        <v>235</v>
      </c>
      <c r="B96" s="161">
        <v>2004</v>
      </c>
      <c r="C96" s="161">
        <v>16597837.82</v>
      </c>
      <c r="D96" s="161">
        <v>58035198.420000002</v>
      </c>
      <c r="E96" s="161">
        <v>113074535.08</v>
      </c>
      <c r="F96" s="161">
        <v>172981622.30000001</v>
      </c>
      <c r="G96" s="161">
        <v>223332891.28</v>
      </c>
      <c r="H96" s="161">
        <v>239255353.66999999</v>
      </c>
      <c r="I96" s="161">
        <v>246775244.31999999</v>
      </c>
      <c r="J96" s="161">
        <v>252059082.25999999</v>
      </c>
      <c r="K96" s="161">
        <v>253262944.19999999</v>
      </c>
      <c r="L96" s="161">
        <v>256406308.93000001</v>
      </c>
      <c r="M96" s="161">
        <v>257416622.56</v>
      </c>
      <c r="N96" s="161">
        <v>257931163.28</v>
      </c>
      <c r="O96" s="149"/>
      <c r="P96" s="149"/>
      <c r="Q96" s="149"/>
      <c r="R96" s="149"/>
      <c r="S96" s="149"/>
      <c r="T96" s="149"/>
      <c r="U96" s="149"/>
      <c r="V96" s="149"/>
      <c r="W96" s="149"/>
      <c r="X96" s="161">
        <v>257931163.28</v>
      </c>
      <c r="Y96" s="145"/>
      <c r="Z96" s="145"/>
      <c r="AX96" s="141" t="s">
        <v>233</v>
      </c>
      <c r="AY96" s="141">
        <v>2001</v>
      </c>
      <c r="AZ96" s="141">
        <v>62272.41</v>
      </c>
      <c r="BA96" s="141">
        <v>202783.1</v>
      </c>
      <c r="BB96" s="141">
        <v>336146.64</v>
      </c>
      <c r="BC96" s="141">
        <v>389466.37</v>
      </c>
      <c r="BD96" s="141">
        <v>465399.12</v>
      </c>
      <c r="BE96" s="141">
        <v>567242.73</v>
      </c>
      <c r="BF96" s="141">
        <v>728607.54</v>
      </c>
      <c r="BG96" s="141">
        <v>804853.86</v>
      </c>
      <c r="BH96" s="141">
        <v>889878</v>
      </c>
      <c r="BI96" s="141">
        <v>962869.83</v>
      </c>
      <c r="BJ96" s="141">
        <v>1041373.15</v>
      </c>
      <c r="BK96" s="141">
        <v>1123822.8700000001</v>
      </c>
      <c r="BU96" s="141">
        <v>1123822.8700000001</v>
      </c>
    </row>
    <row r="97" spans="1:73" ht="14.4" x14ac:dyDescent="0.3">
      <c r="A97" s="160" t="s">
        <v>235</v>
      </c>
      <c r="B97" s="161">
        <v>2005</v>
      </c>
      <c r="C97" s="161">
        <v>13575193.709999999</v>
      </c>
      <c r="D97" s="161">
        <v>54178536.049999997</v>
      </c>
      <c r="E97" s="161">
        <v>115922815.06</v>
      </c>
      <c r="F97" s="161">
        <v>185264930.13000003</v>
      </c>
      <c r="G97" s="161">
        <v>226487830.44</v>
      </c>
      <c r="H97" s="161">
        <v>244362832.90000001</v>
      </c>
      <c r="I97" s="161">
        <v>257966366.63999999</v>
      </c>
      <c r="J97" s="161">
        <v>260358658.81</v>
      </c>
      <c r="K97" s="161">
        <v>262322333.88</v>
      </c>
      <c r="L97" s="161">
        <v>266045344.78</v>
      </c>
      <c r="M97" s="161">
        <v>266675790.13</v>
      </c>
      <c r="N97" s="149"/>
      <c r="O97" s="149"/>
      <c r="P97" s="149"/>
      <c r="Q97" s="149"/>
      <c r="R97" s="149"/>
      <c r="S97" s="149"/>
      <c r="T97" s="149"/>
      <c r="U97" s="149"/>
      <c r="V97" s="149"/>
      <c r="W97" s="149"/>
      <c r="X97" s="161">
        <v>266675790.13</v>
      </c>
      <c r="Y97" s="145"/>
      <c r="Z97" s="145"/>
      <c r="AX97" s="141" t="s">
        <v>233</v>
      </c>
      <c r="AY97" s="141">
        <v>2002</v>
      </c>
      <c r="AZ97" s="141">
        <v>121495.91</v>
      </c>
      <c r="BA97" s="141">
        <v>575520.21</v>
      </c>
      <c r="BB97" s="141">
        <v>918487.9</v>
      </c>
      <c r="BC97" s="141">
        <v>1145085.3999999999</v>
      </c>
      <c r="BD97" s="141">
        <v>1405347.91</v>
      </c>
      <c r="BE97" s="141">
        <v>1560320.29</v>
      </c>
      <c r="BF97" s="141">
        <v>1928668.6</v>
      </c>
      <c r="BG97" s="141">
        <v>2194823.65</v>
      </c>
      <c r="BH97" s="141">
        <v>2469135.4300000002</v>
      </c>
      <c r="BI97" s="141">
        <v>3052951.34</v>
      </c>
      <c r="BJ97" s="141">
        <v>3456360.35</v>
      </c>
      <c r="BU97" s="141">
        <v>3456360.35</v>
      </c>
    </row>
    <row r="98" spans="1:73" ht="14.4" x14ac:dyDescent="0.3">
      <c r="A98" s="160" t="s">
        <v>235</v>
      </c>
      <c r="B98" s="161">
        <v>2006</v>
      </c>
      <c r="C98" s="161">
        <v>17826729.609999999</v>
      </c>
      <c r="D98" s="161">
        <v>63364235.910000004</v>
      </c>
      <c r="E98" s="161">
        <v>123230900.19</v>
      </c>
      <c r="F98" s="161">
        <v>186089596.62</v>
      </c>
      <c r="G98" s="161">
        <v>221672050.77000001</v>
      </c>
      <c r="H98" s="161">
        <v>241232752.97</v>
      </c>
      <c r="I98" s="161">
        <v>252776954.97</v>
      </c>
      <c r="J98" s="161">
        <v>260351991.13</v>
      </c>
      <c r="K98" s="161">
        <v>263817937.30000001</v>
      </c>
      <c r="L98" s="161">
        <v>265466530.45000002</v>
      </c>
      <c r="M98" s="149"/>
      <c r="N98" s="149"/>
      <c r="O98" s="149"/>
      <c r="P98" s="149"/>
      <c r="Q98" s="149"/>
      <c r="R98" s="149"/>
      <c r="S98" s="149"/>
      <c r="T98" s="149"/>
      <c r="U98" s="149"/>
      <c r="V98" s="149"/>
      <c r="W98" s="149"/>
      <c r="X98" s="161">
        <v>265466530.45000002</v>
      </c>
      <c r="Y98" s="145"/>
      <c r="Z98" s="145"/>
      <c r="AX98" s="141" t="s">
        <v>233</v>
      </c>
      <c r="AY98" s="141">
        <v>2003</v>
      </c>
      <c r="AZ98" s="141">
        <v>787624.95</v>
      </c>
      <c r="BA98" s="141">
        <v>3152864.77</v>
      </c>
      <c r="BB98" s="141">
        <v>4242663.07</v>
      </c>
      <c r="BC98" s="141">
        <v>5221377.97</v>
      </c>
      <c r="BD98" s="141">
        <v>6065696.7000000002</v>
      </c>
      <c r="BE98" s="141">
        <v>7217105.3899999997</v>
      </c>
      <c r="BF98" s="141">
        <v>9003640.9499999993</v>
      </c>
      <c r="BG98" s="141">
        <v>10070094.26</v>
      </c>
      <c r="BH98" s="141">
        <v>11158330.949999999</v>
      </c>
      <c r="BI98" s="141">
        <v>11782245.289999999</v>
      </c>
      <c r="BU98" s="141">
        <v>11782245.289999999</v>
      </c>
    </row>
    <row r="99" spans="1:73" ht="14.4" x14ac:dyDescent="0.3">
      <c r="A99" s="160" t="s">
        <v>235</v>
      </c>
      <c r="B99" s="161">
        <v>2007</v>
      </c>
      <c r="C99" s="161">
        <v>20609839.059999999</v>
      </c>
      <c r="D99" s="161">
        <v>72741496.780000001</v>
      </c>
      <c r="E99" s="161">
        <v>139479401.06999999</v>
      </c>
      <c r="F99" s="161">
        <v>195355649.15000001</v>
      </c>
      <c r="G99" s="161">
        <v>237575400.5</v>
      </c>
      <c r="H99" s="161">
        <v>261920323.78999999</v>
      </c>
      <c r="I99" s="161">
        <v>270659683.75999999</v>
      </c>
      <c r="J99" s="161">
        <v>273530635.87</v>
      </c>
      <c r="K99" s="161">
        <v>274752886.26999998</v>
      </c>
      <c r="L99" s="149"/>
      <c r="M99" s="149"/>
      <c r="N99" s="149"/>
      <c r="O99" s="149"/>
      <c r="P99" s="149"/>
      <c r="Q99" s="149"/>
      <c r="R99" s="149"/>
      <c r="S99" s="149"/>
      <c r="T99" s="149"/>
      <c r="U99" s="149"/>
      <c r="V99" s="149"/>
      <c r="W99" s="149"/>
      <c r="X99" s="161">
        <v>274752886.26999998</v>
      </c>
      <c r="Y99" s="145"/>
      <c r="Z99" s="145"/>
      <c r="AX99" s="141" t="s">
        <v>233</v>
      </c>
      <c r="AY99" s="141">
        <v>2004</v>
      </c>
      <c r="AZ99" s="141">
        <v>3582242.65</v>
      </c>
      <c r="BA99" s="141">
        <v>11116932.300000001</v>
      </c>
      <c r="BB99" s="141">
        <v>16146020.67</v>
      </c>
      <c r="BC99" s="141">
        <v>20818582.600000001</v>
      </c>
      <c r="BD99" s="141">
        <v>26377140</v>
      </c>
      <c r="BE99" s="141">
        <v>31369807.690000001</v>
      </c>
      <c r="BF99" s="141">
        <v>36132413.329999998</v>
      </c>
      <c r="BG99" s="141">
        <v>38805008.859999999</v>
      </c>
      <c r="BH99" s="141">
        <v>39575977.829999998</v>
      </c>
      <c r="BU99" s="141">
        <v>39575977.829999998</v>
      </c>
    </row>
    <row r="100" spans="1:73" ht="14.4" x14ac:dyDescent="0.3">
      <c r="A100" s="160" t="s">
        <v>235</v>
      </c>
      <c r="B100" s="161">
        <v>2008</v>
      </c>
      <c r="C100" s="161">
        <v>23596461.359999999</v>
      </c>
      <c r="D100" s="161">
        <v>73705854.260000005</v>
      </c>
      <c r="E100" s="161">
        <v>138561985.84999999</v>
      </c>
      <c r="F100" s="161">
        <v>200178368.56</v>
      </c>
      <c r="G100" s="161">
        <v>250465771.42000002</v>
      </c>
      <c r="H100" s="161">
        <v>275146842.76999998</v>
      </c>
      <c r="I100" s="161">
        <v>287340075.66000003</v>
      </c>
      <c r="J100" s="161">
        <v>290523352.92000002</v>
      </c>
      <c r="K100" s="149"/>
      <c r="L100" s="149"/>
      <c r="M100" s="149"/>
      <c r="N100" s="149"/>
      <c r="O100" s="149"/>
      <c r="P100" s="149"/>
      <c r="Q100" s="149"/>
      <c r="R100" s="149"/>
      <c r="S100" s="149"/>
      <c r="T100" s="149"/>
      <c r="U100" s="149"/>
      <c r="V100" s="149"/>
      <c r="W100" s="149"/>
      <c r="X100" s="161">
        <v>290523352.92000002</v>
      </c>
      <c r="Y100" s="145"/>
      <c r="Z100" s="145"/>
      <c r="AX100" s="141" t="s">
        <v>233</v>
      </c>
      <c r="AY100" s="141">
        <v>2005</v>
      </c>
      <c r="AZ100" s="141">
        <v>5992156.3799999999</v>
      </c>
      <c r="BA100" s="141">
        <v>16522721.42</v>
      </c>
      <c r="BB100" s="141">
        <v>23901326.039999999</v>
      </c>
      <c r="BC100" s="141">
        <v>30264320.850000001</v>
      </c>
      <c r="BD100" s="141">
        <v>38614966.090000004</v>
      </c>
      <c r="BE100" s="141">
        <v>40973617.600000001</v>
      </c>
      <c r="BF100" s="141">
        <v>46148001.210000001</v>
      </c>
      <c r="BG100" s="141">
        <v>50142284.450000003</v>
      </c>
      <c r="BU100" s="141">
        <v>50142284.450000003</v>
      </c>
    </row>
    <row r="101" spans="1:73" ht="14.4" x14ac:dyDescent="0.3">
      <c r="A101" s="160" t="s">
        <v>235</v>
      </c>
      <c r="B101" s="161">
        <v>2009</v>
      </c>
      <c r="C101" s="161">
        <v>22451652.030000001</v>
      </c>
      <c r="D101" s="161">
        <v>64915763.379999995</v>
      </c>
      <c r="E101" s="161">
        <v>127555145.83</v>
      </c>
      <c r="F101" s="161">
        <v>184873621.45999998</v>
      </c>
      <c r="G101" s="161">
        <v>235268491.09999999</v>
      </c>
      <c r="H101" s="161">
        <v>256584764.41999999</v>
      </c>
      <c r="I101" s="161">
        <v>268923815.25</v>
      </c>
      <c r="J101" s="149"/>
      <c r="K101" s="149"/>
      <c r="L101" s="149"/>
      <c r="M101" s="149"/>
      <c r="N101" s="149"/>
      <c r="O101" s="149"/>
      <c r="P101" s="149"/>
      <c r="Q101" s="149"/>
      <c r="R101" s="149"/>
      <c r="S101" s="149"/>
      <c r="T101" s="149"/>
      <c r="U101" s="149"/>
      <c r="V101" s="149"/>
      <c r="W101" s="149"/>
      <c r="X101" s="161">
        <v>268923815.25</v>
      </c>
      <c r="Y101" s="145"/>
      <c r="Z101" s="145"/>
      <c r="AX101" s="141" t="s">
        <v>233</v>
      </c>
      <c r="AY101" s="141">
        <v>2006</v>
      </c>
      <c r="AZ101" s="141">
        <v>7532996.3899999997</v>
      </c>
      <c r="BA101" s="141">
        <v>21198865.370000001</v>
      </c>
      <c r="BB101" s="141">
        <v>33666061.950000003</v>
      </c>
      <c r="BC101" s="141">
        <v>42874420.189999998</v>
      </c>
      <c r="BD101" s="141">
        <v>49398303.859999999</v>
      </c>
      <c r="BE101" s="141">
        <v>61720877.380000003</v>
      </c>
      <c r="BF101" s="141">
        <v>66531461.340000004</v>
      </c>
      <c r="BU101" s="141">
        <v>66531461.340000004</v>
      </c>
    </row>
    <row r="102" spans="1:73" ht="14.4" x14ac:dyDescent="0.3">
      <c r="A102" s="160" t="s">
        <v>235</v>
      </c>
      <c r="B102" s="161">
        <v>2010</v>
      </c>
      <c r="C102" s="161">
        <v>18221383.350000001</v>
      </c>
      <c r="D102" s="161">
        <v>69886364.659999996</v>
      </c>
      <c r="E102" s="161">
        <v>131025122.52</v>
      </c>
      <c r="F102" s="161">
        <v>195086917.32000002</v>
      </c>
      <c r="G102" s="161">
        <v>241453034.78</v>
      </c>
      <c r="H102" s="161">
        <v>259411862.22999999</v>
      </c>
      <c r="I102" s="149"/>
      <c r="J102" s="149"/>
      <c r="K102" s="149"/>
      <c r="L102" s="149"/>
      <c r="M102" s="149"/>
      <c r="N102" s="149"/>
      <c r="O102" s="149"/>
      <c r="P102" s="149"/>
      <c r="Q102" s="149"/>
      <c r="R102" s="149"/>
      <c r="S102" s="149"/>
      <c r="T102" s="149"/>
      <c r="U102" s="149"/>
      <c r="V102" s="149"/>
      <c r="W102" s="149"/>
      <c r="X102" s="161">
        <v>259411862.22999999</v>
      </c>
      <c r="Y102" s="145"/>
      <c r="Z102" s="145"/>
      <c r="AX102" s="141" t="s">
        <v>233</v>
      </c>
      <c r="AY102" s="141">
        <v>2007</v>
      </c>
      <c r="AZ102" s="141">
        <v>11512883.550000001</v>
      </c>
      <c r="BA102" s="141">
        <v>35345388.280000001</v>
      </c>
      <c r="BB102" s="141">
        <v>51916384.259999998</v>
      </c>
      <c r="BC102" s="141">
        <v>61775383.759999998</v>
      </c>
      <c r="BD102" s="141">
        <v>69996990.840000004</v>
      </c>
      <c r="BE102" s="141">
        <v>84122756.609999999</v>
      </c>
      <c r="BU102" s="141">
        <v>84122756.609999999</v>
      </c>
    </row>
    <row r="103" spans="1:73" ht="14.4" x14ac:dyDescent="0.3">
      <c r="A103" s="160" t="s">
        <v>235</v>
      </c>
      <c r="B103" s="161">
        <v>2011</v>
      </c>
      <c r="C103" s="161">
        <v>17402713.030000001</v>
      </c>
      <c r="D103" s="161">
        <v>67552416.299999997</v>
      </c>
      <c r="E103" s="161">
        <v>129812983.53</v>
      </c>
      <c r="F103" s="161">
        <v>194989512.44999999</v>
      </c>
      <c r="G103" s="161">
        <v>233943305.25999999</v>
      </c>
      <c r="H103" s="149"/>
      <c r="I103" s="149"/>
      <c r="J103" s="149"/>
      <c r="K103" s="149"/>
      <c r="L103" s="149"/>
      <c r="M103" s="149"/>
      <c r="N103" s="149"/>
      <c r="O103" s="149"/>
      <c r="P103" s="149"/>
      <c r="Q103" s="149"/>
      <c r="R103" s="149"/>
      <c r="S103" s="149"/>
      <c r="T103" s="149"/>
      <c r="U103" s="149"/>
      <c r="V103" s="149"/>
      <c r="W103" s="149"/>
      <c r="X103" s="161">
        <v>233943305.25999999</v>
      </c>
      <c r="Y103" s="145"/>
      <c r="Z103" s="145"/>
      <c r="AX103" s="141" t="s">
        <v>233</v>
      </c>
      <c r="AY103" s="141">
        <v>2008</v>
      </c>
      <c r="AZ103" s="141">
        <v>7474470.7599999998</v>
      </c>
      <c r="BA103" s="141">
        <v>24554562.010000002</v>
      </c>
      <c r="BB103" s="141">
        <v>41614544.140000001</v>
      </c>
      <c r="BC103" s="141">
        <v>54500674.390000001</v>
      </c>
      <c r="BD103" s="141">
        <v>68668399.840000004</v>
      </c>
      <c r="BU103" s="141">
        <v>68668399.840000004</v>
      </c>
    </row>
    <row r="104" spans="1:73" ht="14.4" x14ac:dyDescent="0.3">
      <c r="A104" s="160" t="s">
        <v>235</v>
      </c>
      <c r="B104" s="161">
        <v>2012</v>
      </c>
      <c r="C104" s="161">
        <v>19538707.490000002</v>
      </c>
      <c r="D104" s="161">
        <v>72385854.689999998</v>
      </c>
      <c r="E104" s="161">
        <v>127327508.56</v>
      </c>
      <c r="F104" s="161">
        <v>182121762.13999999</v>
      </c>
      <c r="G104" s="149"/>
      <c r="H104" s="149"/>
      <c r="I104" s="149"/>
      <c r="J104" s="149"/>
      <c r="K104" s="149"/>
      <c r="L104" s="149"/>
      <c r="M104" s="149"/>
      <c r="N104" s="149"/>
      <c r="O104" s="149"/>
      <c r="P104" s="149"/>
      <c r="Q104" s="149"/>
      <c r="R104" s="149"/>
      <c r="S104" s="149"/>
      <c r="T104" s="149"/>
      <c r="U104" s="149"/>
      <c r="V104" s="149"/>
      <c r="W104" s="149"/>
      <c r="X104" s="161">
        <v>182121762.13999999</v>
      </c>
      <c r="Y104" s="145"/>
      <c r="Z104" s="145"/>
      <c r="AX104" s="141" t="s">
        <v>233</v>
      </c>
      <c r="AY104" s="141">
        <v>2009</v>
      </c>
      <c r="AZ104" s="141">
        <v>8169381.8499999996</v>
      </c>
      <c r="BA104" s="141">
        <v>33963885.890000001</v>
      </c>
      <c r="BB104" s="141">
        <v>56199636.93</v>
      </c>
      <c r="BC104" s="141">
        <v>80123121.629999995</v>
      </c>
      <c r="BU104" s="141">
        <v>80123121.629999995</v>
      </c>
    </row>
    <row r="105" spans="1:73" ht="14.4" x14ac:dyDescent="0.3">
      <c r="A105" s="160" t="s">
        <v>235</v>
      </c>
      <c r="B105" s="161">
        <v>2013</v>
      </c>
      <c r="C105" s="161">
        <v>23753639.010000002</v>
      </c>
      <c r="D105" s="161">
        <v>78804461.25</v>
      </c>
      <c r="E105" s="161">
        <v>131402424.7</v>
      </c>
      <c r="F105" s="149"/>
      <c r="G105" s="149"/>
      <c r="H105" s="149"/>
      <c r="I105" s="149"/>
      <c r="J105" s="149"/>
      <c r="K105" s="149"/>
      <c r="L105" s="149"/>
      <c r="M105" s="149"/>
      <c r="N105" s="149"/>
      <c r="O105" s="149"/>
      <c r="P105" s="149"/>
      <c r="Q105" s="149"/>
      <c r="R105" s="149"/>
      <c r="S105" s="149"/>
      <c r="T105" s="149"/>
      <c r="U105" s="149"/>
      <c r="V105" s="149"/>
      <c r="W105" s="149"/>
      <c r="X105" s="161">
        <v>131402424.7</v>
      </c>
      <c r="Y105" s="145"/>
      <c r="Z105" s="145"/>
      <c r="AX105" s="141" t="s">
        <v>233</v>
      </c>
      <c r="AY105" s="141">
        <v>2010</v>
      </c>
      <c r="AZ105" s="141">
        <v>14144145.76</v>
      </c>
      <c r="BA105" s="141">
        <v>46785283.850000001</v>
      </c>
      <c r="BB105" s="141">
        <v>79393907.340000004</v>
      </c>
      <c r="BU105" s="141">
        <v>79393907.340000004</v>
      </c>
    </row>
    <row r="106" spans="1:73" ht="14.4" x14ac:dyDescent="0.3">
      <c r="A106" s="160" t="s">
        <v>235</v>
      </c>
      <c r="B106" s="161">
        <v>2014</v>
      </c>
      <c r="C106" s="161">
        <v>19970219.859999999</v>
      </c>
      <c r="D106" s="161">
        <v>61255536.340000004</v>
      </c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  <c r="P106" s="149"/>
      <c r="Q106" s="149"/>
      <c r="R106" s="149"/>
      <c r="S106" s="149"/>
      <c r="T106" s="149"/>
      <c r="U106" s="149"/>
      <c r="V106" s="149"/>
      <c r="W106" s="149"/>
      <c r="X106" s="161">
        <v>61255536.340000004</v>
      </c>
      <c r="Y106" s="145"/>
      <c r="Z106" s="145"/>
      <c r="AX106" s="141" t="s">
        <v>233</v>
      </c>
      <c r="AY106" s="141">
        <v>2011</v>
      </c>
      <c r="AZ106" s="141">
        <v>18290098.739999998</v>
      </c>
      <c r="BA106" s="141">
        <v>58218686.539999999</v>
      </c>
      <c r="BU106" s="141">
        <v>58218686.539999999</v>
      </c>
    </row>
    <row r="107" spans="1:73" ht="14.4" x14ac:dyDescent="0.3">
      <c r="A107" s="160" t="s">
        <v>235</v>
      </c>
      <c r="B107" s="161">
        <v>2015</v>
      </c>
      <c r="C107" s="161">
        <v>14731825.290000001</v>
      </c>
      <c r="D107" s="149"/>
      <c r="E107" s="149"/>
      <c r="F107" s="149"/>
      <c r="G107" s="149"/>
      <c r="H107" s="149"/>
      <c r="I107" s="149"/>
      <c r="J107" s="149"/>
      <c r="K107" s="149"/>
      <c r="L107" s="149"/>
      <c r="M107" s="149"/>
      <c r="N107" s="149"/>
      <c r="O107" s="149"/>
      <c r="P107" s="149"/>
      <c r="Q107" s="149"/>
      <c r="R107" s="149"/>
      <c r="S107" s="149"/>
      <c r="T107" s="149"/>
      <c r="U107" s="149"/>
      <c r="V107" s="149"/>
      <c r="W107" s="149"/>
      <c r="X107" s="161">
        <v>14731825.290000001</v>
      </c>
      <c r="Y107" s="145"/>
      <c r="Z107" s="145"/>
      <c r="AX107" s="141" t="s">
        <v>233</v>
      </c>
      <c r="AY107" s="141">
        <v>2012</v>
      </c>
      <c r="AZ107" s="141">
        <v>19876004.68</v>
      </c>
      <c r="BU107" s="141">
        <v>19876004.68</v>
      </c>
    </row>
    <row r="108" spans="1:73" s="146" customFormat="1" ht="14.4" x14ac:dyDescent="0.3">
      <c r="A108" s="160" t="s">
        <v>236</v>
      </c>
      <c r="B108" s="161">
        <v>1995</v>
      </c>
      <c r="C108" s="161">
        <v>22332998.440000001</v>
      </c>
      <c r="D108" s="161">
        <v>71802968.760000005</v>
      </c>
      <c r="E108" s="161">
        <v>137476274.70999998</v>
      </c>
      <c r="F108" s="161">
        <v>201650359.47999999</v>
      </c>
      <c r="G108" s="161">
        <v>250133752.37999997</v>
      </c>
      <c r="H108" s="161">
        <v>284602168.49000001</v>
      </c>
      <c r="I108" s="161">
        <v>315670774.45999998</v>
      </c>
      <c r="J108" s="161">
        <v>321982025.45999998</v>
      </c>
      <c r="K108" s="161">
        <v>334635199.33999997</v>
      </c>
      <c r="L108" s="161">
        <v>348577219.15999997</v>
      </c>
      <c r="M108" s="161">
        <v>353831560.57999998</v>
      </c>
      <c r="N108" s="161">
        <v>356513590.44999999</v>
      </c>
      <c r="O108" s="161">
        <v>359301082.87</v>
      </c>
      <c r="P108" s="161">
        <v>361652373.28000003</v>
      </c>
      <c r="Q108" s="161">
        <v>362050182.25999999</v>
      </c>
      <c r="R108" s="161">
        <v>362462969.87</v>
      </c>
      <c r="S108" s="161">
        <v>362692227.56</v>
      </c>
      <c r="T108" s="161">
        <v>362834164.38</v>
      </c>
      <c r="U108" s="161">
        <v>363088484.04000002</v>
      </c>
      <c r="V108" s="161">
        <v>363169641</v>
      </c>
      <c r="W108" s="161">
        <v>363269707.54000002</v>
      </c>
      <c r="X108" s="161">
        <v>363269707.54000002</v>
      </c>
      <c r="Y108" s="145"/>
      <c r="Z108" s="145"/>
      <c r="AX108" s="146" t="s">
        <v>234</v>
      </c>
      <c r="AY108" s="146">
        <v>1992</v>
      </c>
      <c r="AZ108" s="146">
        <v>7041499414.2200003</v>
      </c>
      <c r="BA108" s="146">
        <v>7963476267.6800003</v>
      </c>
      <c r="BB108" s="146">
        <v>8544944188.4300003</v>
      </c>
      <c r="BC108" s="146">
        <v>9070795860.2900009</v>
      </c>
      <c r="BD108" s="146">
        <v>9310645558.1200008</v>
      </c>
      <c r="BE108" s="146">
        <v>9196817029.8500004</v>
      </c>
      <c r="BF108" s="146">
        <v>9255211260.2700005</v>
      </c>
      <c r="BG108" s="146">
        <v>9238898325.6399994</v>
      </c>
      <c r="BH108" s="146">
        <v>9294503966.2000008</v>
      </c>
      <c r="BI108" s="146">
        <v>9328550201.4300003</v>
      </c>
      <c r="BJ108" s="146">
        <v>9368456429.6399994</v>
      </c>
      <c r="BK108" s="146">
        <v>9383414541.8099995</v>
      </c>
      <c r="BL108" s="146">
        <v>9388424015.4799995</v>
      </c>
      <c r="BM108" s="146">
        <v>9399277845.4400005</v>
      </c>
      <c r="BN108" s="146">
        <v>9394397933.3700008</v>
      </c>
      <c r="BO108" s="146">
        <v>9397220097.5100002</v>
      </c>
      <c r="BP108" s="146">
        <v>9398279724.0300007</v>
      </c>
      <c r="BQ108" s="146">
        <v>9398728700.4599991</v>
      </c>
      <c r="BR108" s="146">
        <v>9399973048.1900005</v>
      </c>
      <c r="BS108" s="146">
        <v>9398812025.1000004</v>
      </c>
      <c r="BT108" s="146">
        <v>9400952745.7199993</v>
      </c>
      <c r="BU108" s="146">
        <v>9400952745.7199993</v>
      </c>
    </row>
    <row r="109" spans="1:73" s="146" customFormat="1" ht="14.4" x14ac:dyDescent="0.3">
      <c r="A109" s="160" t="s">
        <v>236</v>
      </c>
      <c r="B109" s="161">
        <v>1996</v>
      </c>
      <c r="C109" s="161">
        <v>16200871.369999999</v>
      </c>
      <c r="D109" s="161">
        <v>50922370.630000003</v>
      </c>
      <c r="E109" s="161">
        <v>93498012.99000001</v>
      </c>
      <c r="F109" s="161">
        <v>150632091.28</v>
      </c>
      <c r="G109" s="161">
        <v>198945991.41000003</v>
      </c>
      <c r="H109" s="161">
        <v>225189801.16999999</v>
      </c>
      <c r="I109" s="161">
        <v>236469388.5</v>
      </c>
      <c r="J109" s="161">
        <v>244401058.45000002</v>
      </c>
      <c r="K109" s="161">
        <v>260026435.07000002</v>
      </c>
      <c r="L109" s="161">
        <v>268840159.75999999</v>
      </c>
      <c r="M109" s="161">
        <v>273163929.01999998</v>
      </c>
      <c r="N109" s="161">
        <v>277723256.87</v>
      </c>
      <c r="O109" s="161">
        <v>278666704.10999995</v>
      </c>
      <c r="P109" s="161">
        <v>280518373.29999995</v>
      </c>
      <c r="Q109" s="161">
        <v>281258009.57999998</v>
      </c>
      <c r="R109" s="161">
        <v>282179465.01999998</v>
      </c>
      <c r="S109" s="161">
        <v>282892881.82999998</v>
      </c>
      <c r="T109" s="161">
        <v>283959804.63</v>
      </c>
      <c r="U109" s="161">
        <v>284394226.70999998</v>
      </c>
      <c r="V109" s="161">
        <v>285069845.38999999</v>
      </c>
      <c r="W109" s="149"/>
      <c r="X109" s="161">
        <v>285069845.38999999</v>
      </c>
      <c r="Y109" s="145"/>
      <c r="Z109" s="145"/>
      <c r="AX109" s="146" t="s">
        <v>234</v>
      </c>
      <c r="AY109" s="146">
        <v>1993</v>
      </c>
      <c r="AZ109" s="146">
        <v>108493397.81</v>
      </c>
      <c r="BA109" s="146">
        <v>281681422.22000003</v>
      </c>
      <c r="BB109" s="146">
        <v>487465735.14999998</v>
      </c>
      <c r="BC109" s="146">
        <v>669493267.53999996</v>
      </c>
      <c r="BD109" s="146">
        <v>812669075.69000006</v>
      </c>
      <c r="BE109" s="146">
        <v>905029530.88</v>
      </c>
      <c r="BF109" s="146">
        <v>958057109.19000006</v>
      </c>
      <c r="BG109" s="146">
        <v>988549860.46000004</v>
      </c>
      <c r="BH109" s="146">
        <v>1014272770.92</v>
      </c>
      <c r="BI109" s="146">
        <v>1028429256.35</v>
      </c>
      <c r="BJ109" s="146">
        <v>1034506383.98</v>
      </c>
      <c r="BK109" s="146">
        <v>1041769552.08</v>
      </c>
      <c r="BL109" s="146">
        <v>1043329579.3099999</v>
      </c>
      <c r="BM109" s="146">
        <v>1045407479.75</v>
      </c>
      <c r="BN109" s="146">
        <v>1046777798.09</v>
      </c>
      <c r="BO109" s="146">
        <v>1047507681.97</v>
      </c>
      <c r="BP109" s="146">
        <v>1047942269.39</v>
      </c>
      <c r="BQ109" s="146">
        <v>1048200352.77</v>
      </c>
      <c r="BR109" s="146">
        <v>1048249390.39</v>
      </c>
      <c r="BS109" s="146">
        <v>1048369096.1900001</v>
      </c>
      <c r="BU109" s="146">
        <v>1048369096.1900001</v>
      </c>
    </row>
    <row r="110" spans="1:73" s="146" customFormat="1" ht="14.4" x14ac:dyDescent="0.3">
      <c r="A110" s="160" t="s">
        <v>236</v>
      </c>
      <c r="B110" s="161">
        <v>1997</v>
      </c>
      <c r="C110" s="161">
        <v>16573293.540000001</v>
      </c>
      <c r="D110" s="161">
        <v>57405613.32</v>
      </c>
      <c r="E110" s="161">
        <v>124999391.25</v>
      </c>
      <c r="F110" s="161">
        <v>194789263.44</v>
      </c>
      <c r="G110" s="161">
        <v>233791810.63000003</v>
      </c>
      <c r="H110" s="161">
        <v>260950120.19999999</v>
      </c>
      <c r="I110" s="161">
        <v>281223417.96999997</v>
      </c>
      <c r="J110" s="161">
        <v>300708575.85999995</v>
      </c>
      <c r="K110" s="161">
        <v>302935469.5399999</v>
      </c>
      <c r="L110" s="161">
        <v>308045758.23999995</v>
      </c>
      <c r="M110" s="161">
        <v>308873047.45999998</v>
      </c>
      <c r="N110" s="161">
        <v>309638034.16999996</v>
      </c>
      <c r="O110" s="161">
        <v>311684069.82999998</v>
      </c>
      <c r="P110" s="161">
        <v>313199698.78999996</v>
      </c>
      <c r="Q110" s="161">
        <v>314231683.68999994</v>
      </c>
      <c r="R110" s="161">
        <v>315982152.95999998</v>
      </c>
      <c r="S110" s="161">
        <v>316900234.81999999</v>
      </c>
      <c r="T110" s="161">
        <v>317658507.12999994</v>
      </c>
      <c r="U110" s="161">
        <v>318292094.22999996</v>
      </c>
      <c r="V110" s="149"/>
      <c r="W110" s="149"/>
      <c r="X110" s="161">
        <v>318292094.22999996</v>
      </c>
      <c r="Y110" s="145"/>
      <c r="Z110" s="145"/>
      <c r="AX110" s="146" t="s">
        <v>234</v>
      </c>
      <c r="AY110" s="146">
        <v>1994</v>
      </c>
      <c r="AZ110" s="146">
        <v>121172722.47</v>
      </c>
      <c r="BA110" s="146">
        <v>321672600.11000001</v>
      </c>
      <c r="BB110" s="146">
        <v>559887319.84000003</v>
      </c>
      <c r="BC110" s="146">
        <v>776191432.17999995</v>
      </c>
      <c r="BD110" s="146">
        <v>930764089.26999998</v>
      </c>
      <c r="BE110" s="146">
        <v>1046331951.26</v>
      </c>
      <c r="BF110" s="146">
        <v>1094943489.46</v>
      </c>
      <c r="BG110" s="146">
        <v>1128776183.73</v>
      </c>
      <c r="BH110" s="146">
        <v>1148957357.51</v>
      </c>
      <c r="BI110" s="146">
        <v>1162374497.3099999</v>
      </c>
      <c r="BJ110" s="146">
        <v>1173774781.23</v>
      </c>
      <c r="BK110" s="146">
        <v>1177819842.2</v>
      </c>
      <c r="BL110" s="146">
        <v>1182340598.95</v>
      </c>
      <c r="BM110" s="146">
        <v>1184209829.0799999</v>
      </c>
      <c r="BN110" s="146">
        <v>1185111920.76</v>
      </c>
      <c r="BO110" s="146">
        <v>1185206744.03</v>
      </c>
      <c r="BP110" s="146">
        <v>1194101967.6900001</v>
      </c>
      <c r="BQ110" s="146">
        <v>1194459481.2</v>
      </c>
      <c r="BR110" s="146">
        <v>1194796659.9100001</v>
      </c>
      <c r="BU110" s="146">
        <v>1194796659.9100001</v>
      </c>
    </row>
    <row r="111" spans="1:73" s="146" customFormat="1" ht="14.4" x14ac:dyDescent="0.3">
      <c r="A111" s="160" t="s">
        <v>236</v>
      </c>
      <c r="B111" s="161">
        <v>1998</v>
      </c>
      <c r="C111" s="161">
        <v>17159976.93</v>
      </c>
      <c r="D111" s="161">
        <v>67173749.829999998</v>
      </c>
      <c r="E111" s="161">
        <v>202118453.99000001</v>
      </c>
      <c r="F111" s="161">
        <v>287847144.07000005</v>
      </c>
      <c r="G111" s="161">
        <v>332838337.72000003</v>
      </c>
      <c r="H111" s="161">
        <v>376351820.97999996</v>
      </c>
      <c r="I111" s="161">
        <v>396375499.30999994</v>
      </c>
      <c r="J111" s="161">
        <v>404495239.44999999</v>
      </c>
      <c r="K111" s="161">
        <v>416021802.78999996</v>
      </c>
      <c r="L111" s="161">
        <v>424069124.10000002</v>
      </c>
      <c r="M111" s="161">
        <v>429601909.86000001</v>
      </c>
      <c r="N111" s="161">
        <v>432655251.56999999</v>
      </c>
      <c r="O111" s="161">
        <v>434109346.38</v>
      </c>
      <c r="P111" s="161">
        <v>435757638.04000002</v>
      </c>
      <c r="Q111" s="161">
        <v>437632810.19</v>
      </c>
      <c r="R111" s="161">
        <v>439878066.54000002</v>
      </c>
      <c r="S111" s="161">
        <v>441188966.74000001</v>
      </c>
      <c r="T111" s="161">
        <v>441790170.13</v>
      </c>
      <c r="U111" s="149"/>
      <c r="V111" s="149"/>
      <c r="W111" s="149"/>
      <c r="X111" s="161">
        <v>441790170.13</v>
      </c>
      <c r="Y111" s="145"/>
      <c r="Z111" s="145"/>
      <c r="AX111" s="146" t="s">
        <v>234</v>
      </c>
      <c r="AY111" s="146">
        <v>1995</v>
      </c>
      <c r="AZ111" s="146">
        <v>100725311.59999999</v>
      </c>
      <c r="BA111" s="146">
        <v>255177499.11000001</v>
      </c>
      <c r="BB111" s="146">
        <v>457681982.51999998</v>
      </c>
      <c r="BC111" s="146">
        <v>638644981.49000001</v>
      </c>
      <c r="BD111" s="146">
        <v>764441348.52999997</v>
      </c>
      <c r="BE111" s="146">
        <v>851820091.62</v>
      </c>
      <c r="BF111" s="146">
        <v>911288317.58000004</v>
      </c>
      <c r="BG111" s="146">
        <v>934373400.21000004</v>
      </c>
      <c r="BH111" s="146">
        <v>957931632.53999996</v>
      </c>
      <c r="BI111" s="146">
        <v>976897774.51999998</v>
      </c>
      <c r="BJ111" s="146">
        <v>985578066.49000001</v>
      </c>
      <c r="BK111" s="146">
        <v>990029781.88999999</v>
      </c>
      <c r="BL111" s="146">
        <v>994550638.08000004</v>
      </c>
      <c r="BM111" s="146">
        <v>997242788.41999996</v>
      </c>
      <c r="BN111" s="146">
        <v>997762558.08000004</v>
      </c>
      <c r="BO111" s="146">
        <v>998727717.59000003</v>
      </c>
      <c r="BP111" s="146">
        <v>999076213.78999996</v>
      </c>
      <c r="BQ111" s="146">
        <v>999292134.58000004</v>
      </c>
      <c r="BU111" s="146">
        <v>999292134.58000004</v>
      </c>
    </row>
    <row r="112" spans="1:73" s="146" customFormat="1" ht="14.4" x14ac:dyDescent="0.3">
      <c r="A112" s="160" t="s">
        <v>236</v>
      </c>
      <c r="B112" s="161">
        <v>1999</v>
      </c>
      <c r="C112" s="161">
        <v>19642660.07</v>
      </c>
      <c r="D112" s="161">
        <v>105016716.97999999</v>
      </c>
      <c r="E112" s="161">
        <v>272972600.19999999</v>
      </c>
      <c r="F112" s="161">
        <v>325195628.43000007</v>
      </c>
      <c r="G112" s="161">
        <v>403937435.05000001</v>
      </c>
      <c r="H112" s="161">
        <v>451309298.58000004</v>
      </c>
      <c r="I112" s="161">
        <v>479530638.63</v>
      </c>
      <c r="J112" s="161">
        <v>499961712.37</v>
      </c>
      <c r="K112" s="161">
        <v>510230069.74000001</v>
      </c>
      <c r="L112" s="161">
        <v>518847748.91999996</v>
      </c>
      <c r="M112" s="161">
        <v>524431309.35000002</v>
      </c>
      <c r="N112" s="161">
        <v>528874804.40999997</v>
      </c>
      <c r="O112" s="161">
        <v>531520515.17000002</v>
      </c>
      <c r="P112" s="161">
        <v>533099046.53999996</v>
      </c>
      <c r="Q112" s="161">
        <v>534844007.55999994</v>
      </c>
      <c r="R112" s="161">
        <v>536091632.55999994</v>
      </c>
      <c r="S112" s="161">
        <v>537355386.79999995</v>
      </c>
      <c r="T112" s="149"/>
      <c r="U112" s="149"/>
      <c r="V112" s="149"/>
      <c r="W112" s="149"/>
      <c r="X112" s="161">
        <v>537355386.79999995</v>
      </c>
      <c r="Y112" s="145"/>
      <c r="Z112" s="145"/>
      <c r="AX112" s="146" t="s">
        <v>234</v>
      </c>
      <c r="AY112" s="146">
        <v>1996</v>
      </c>
      <c r="AZ112" s="146">
        <v>78854995.060000002</v>
      </c>
      <c r="BA112" s="146">
        <v>198235895.86000001</v>
      </c>
      <c r="BB112" s="146">
        <v>344299481.73000002</v>
      </c>
      <c r="BC112" s="146">
        <v>516231354.43000001</v>
      </c>
      <c r="BD112" s="146">
        <v>638529304.98000002</v>
      </c>
      <c r="BE112" s="146">
        <v>717222135.07000005</v>
      </c>
      <c r="BF112" s="146">
        <v>755931692.85000002</v>
      </c>
      <c r="BG112" s="146">
        <v>782573445.75</v>
      </c>
      <c r="BH112" s="146">
        <v>806716286.15999997</v>
      </c>
      <c r="BI112" s="146">
        <v>819067364.5</v>
      </c>
      <c r="BJ112" s="146">
        <v>825827509.42999995</v>
      </c>
      <c r="BK112" s="146">
        <v>832382084.65999997</v>
      </c>
      <c r="BL112" s="146">
        <v>834054320.23000002</v>
      </c>
      <c r="BM112" s="146">
        <v>836438852.05999994</v>
      </c>
      <c r="BN112" s="146">
        <v>837894071.79999995</v>
      </c>
      <c r="BO112" s="146">
        <v>840018409.69000006</v>
      </c>
      <c r="BP112" s="146">
        <v>840777657.84000003</v>
      </c>
      <c r="BU112" s="146">
        <v>840777657.84000003</v>
      </c>
    </row>
    <row r="113" spans="1:73" s="146" customFormat="1" ht="14.4" x14ac:dyDescent="0.3">
      <c r="A113" s="160" t="s">
        <v>236</v>
      </c>
      <c r="B113" s="161">
        <v>2000</v>
      </c>
      <c r="C113" s="161">
        <v>19812602.460000001</v>
      </c>
      <c r="D113" s="161">
        <v>131977331.2</v>
      </c>
      <c r="E113" s="161">
        <v>202628983.56</v>
      </c>
      <c r="F113" s="161">
        <v>306424191.36000001</v>
      </c>
      <c r="G113" s="161">
        <v>365820090.76000005</v>
      </c>
      <c r="H113" s="161">
        <v>414636484.65999997</v>
      </c>
      <c r="I113" s="161">
        <v>439769333.02000004</v>
      </c>
      <c r="J113" s="161">
        <v>456525193.03999996</v>
      </c>
      <c r="K113" s="161">
        <v>466238421.18000001</v>
      </c>
      <c r="L113" s="161">
        <v>470628960.15000004</v>
      </c>
      <c r="M113" s="161">
        <v>472924052.37</v>
      </c>
      <c r="N113" s="161">
        <v>475470899.42999995</v>
      </c>
      <c r="O113" s="161">
        <v>476912182.21999997</v>
      </c>
      <c r="P113" s="161">
        <v>476508061.50999993</v>
      </c>
      <c r="Q113" s="161">
        <v>477852949.99999994</v>
      </c>
      <c r="R113" s="161">
        <v>479077566.38999993</v>
      </c>
      <c r="S113" s="149"/>
      <c r="T113" s="149"/>
      <c r="U113" s="149"/>
      <c r="V113" s="149"/>
      <c r="W113" s="149"/>
      <c r="X113" s="161">
        <v>479077566.38999993</v>
      </c>
      <c r="Y113" s="145"/>
      <c r="Z113" s="145"/>
      <c r="AX113" s="146" t="s">
        <v>234</v>
      </c>
      <c r="AY113" s="146">
        <v>1997</v>
      </c>
      <c r="AZ113" s="146">
        <v>63172336.119999997</v>
      </c>
      <c r="BA113" s="146">
        <v>191076273.74000001</v>
      </c>
      <c r="BB113" s="146">
        <v>365660378.14999998</v>
      </c>
      <c r="BC113" s="146">
        <v>531766224.95999998</v>
      </c>
      <c r="BD113" s="146">
        <v>646298042.19000006</v>
      </c>
      <c r="BE113" s="146">
        <v>717984030.52999997</v>
      </c>
      <c r="BF113" s="146">
        <v>762254882.86000001</v>
      </c>
      <c r="BG113" s="146">
        <v>800098656.85000002</v>
      </c>
      <c r="BH113" s="146">
        <v>808977874.16999996</v>
      </c>
      <c r="BI113" s="146">
        <v>818412489.14999998</v>
      </c>
      <c r="BJ113" s="146">
        <v>821656880.59000003</v>
      </c>
      <c r="BK113" s="146">
        <v>824602685.54999995</v>
      </c>
      <c r="BL113" s="146">
        <v>827887269.88</v>
      </c>
      <c r="BM113" s="146">
        <v>830194809.92999995</v>
      </c>
      <c r="BN113" s="146">
        <v>831814922.95000005</v>
      </c>
      <c r="BO113" s="146">
        <v>833775472.42999995</v>
      </c>
      <c r="BU113" s="146">
        <v>833775472.42999995</v>
      </c>
    </row>
    <row r="114" spans="1:73" s="146" customFormat="1" ht="14.4" x14ac:dyDescent="0.3">
      <c r="A114" s="160" t="s">
        <v>236</v>
      </c>
      <c r="B114" s="161">
        <v>2001</v>
      </c>
      <c r="C114" s="161">
        <v>36193042.710000001</v>
      </c>
      <c r="D114" s="161">
        <v>93982510.620000005</v>
      </c>
      <c r="E114" s="161">
        <v>190411693.61000001</v>
      </c>
      <c r="F114" s="161">
        <v>262710306.81</v>
      </c>
      <c r="G114" s="161">
        <v>326310677.42000002</v>
      </c>
      <c r="H114" s="161">
        <v>361230453.62</v>
      </c>
      <c r="I114" s="161">
        <v>378608394.56</v>
      </c>
      <c r="J114" s="161">
        <v>388889089.48000002</v>
      </c>
      <c r="K114" s="161">
        <v>393646358</v>
      </c>
      <c r="L114" s="161">
        <v>397364104.5</v>
      </c>
      <c r="M114" s="161">
        <v>400012180.70000005</v>
      </c>
      <c r="N114" s="161">
        <v>402471477.20000005</v>
      </c>
      <c r="O114" s="161">
        <v>409979181.66000009</v>
      </c>
      <c r="P114" s="161">
        <v>410893665.99000013</v>
      </c>
      <c r="Q114" s="161">
        <v>412757124.18000007</v>
      </c>
      <c r="R114" s="149"/>
      <c r="S114" s="149"/>
      <c r="T114" s="149"/>
      <c r="U114" s="149"/>
      <c r="V114" s="149"/>
      <c r="W114" s="149"/>
      <c r="X114" s="161">
        <v>412757124.18000007</v>
      </c>
      <c r="Y114" s="145"/>
      <c r="Z114" s="145"/>
      <c r="AX114" s="146" t="s">
        <v>234</v>
      </c>
      <c r="AY114" s="146">
        <v>1998</v>
      </c>
      <c r="AZ114" s="146">
        <v>66583064.270000003</v>
      </c>
      <c r="BA114" s="146">
        <v>203031825.56999999</v>
      </c>
      <c r="BB114" s="146">
        <v>436387597.30000001</v>
      </c>
      <c r="BC114" s="146">
        <v>634239516.38999999</v>
      </c>
      <c r="BD114" s="146">
        <v>747417080.51999998</v>
      </c>
      <c r="BE114" s="146">
        <v>846406188.83000004</v>
      </c>
      <c r="BF114" s="146">
        <v>899524065.71000004</v>
      </c>
      <c r="BG114" s="146">
        <v>920024271.76999998</v>
      </c>
      <c r="BH114" s="146">
        <v>942308848.89999998</v>
      </c>
      <c r="BI114" s="146">
        <v>956752472.39999998</v>
      </c>
      <c r="BJ114" s="146">
        <v>964924520.53999996</v>
      </c>
      <c r="BK114" s="146">
        <v>969545723.27999997</v>
      </c>
      <c r="BL114" s="146">
        <v>970857095.65999997</v>
      </c>
      <c r="BM114" s="146">
        <v>974144970.89999998</v>
      </c>
      <c r="BN114" s="146">
        <v>976236900.70000005</v>
      </c>
      <c r="BU114" s="146">
        <v>976236900.70000005</v>
      </c>
    </row>
    <row r="115" spans="1:73" s="146" customFormat="1" ht="14.4" x14ac:dyDescent="0.3">
      <c r="A115" s="160" t="s">
        <v>236</v>
      </c>
      <c r="B115" s="161">
        <v>2002</v>
      </c>
      <c r="C115" s="161">
        <v>12883659.630000001</v>
      </c>
      <c r="D115" s="161">
        <v>40523051.469999999</v>
      </c>
      <c r="E115" s="161">
        <v>88149291.659999996</v>
      </c>
      <c r="F115" s="161">
        <v>140030558.77000001</v>
      </c>
      <c r="G115" s="161">
        <v>177468845.88</v>
      </c>
      <c r="H115" s="161">
        <v>194580177.70999998</v>
      </c>
      <c r="I115" s="161">
        <v>209177028.97</v>
      </c>
      <c r="J115" s="161">
        <v>212738437.06</v>
      </c>
      <c r="K115" s="161">
        <v>215746450.06</v>
      </c>
      <c r="L115" s="161">
        <v>216222609.09999999</v>
      </c>
      <c r="M115" s="161">
        <v>224610605.39999998</v>
      </c>
      <c r="N115" s="161">
        <v>225735084.84</v>
      </c>
      <c r="O115" s="161">
        <v>225783629.36000001</v>
      </c>
      <c r="P115" s="161">
        <v>225841540.67000002</v>
      </c>
      <c r="Q115" s="149"/>
      <c r="R115" s="149"/>
      <c r="S115" s="149"/>
      <c r="T115" s="149"/>
      <c r="U115" s="149"/>
      <c r="V115" s="149"/>
      <c r="W115" s="149"/>
      <c r="X115" s="161">
        <v>225841540.67000002</v>
      </c>
      <c r="Y115" s="145"/>
      <c r="Z115" s="145"/>
      <c r="AX115" s="146" t="s">
        <v>234</v>
      </c>
      <c r="AY115" s="146">
        <v>1999</v>
      </c>
      <c r="AZ115" s="146">
        <v>78043195.579999998</v>
      </c>
      <c r="BA115" s="146">
        <v>258673990.59999999</v>
      </c>
      <c r="BB115" s="146">
        <v>530504107.31999999</v>
      </c>
      <c r="BC115" s="146">
        <v>689117509.77999997</v>
      </c>
      <c r="BD115" s="146">
        <v>853797585.00999999</v>
      </c>
      <c r="BE115" s="146">
        <v>966215673.83000004</v>
      </c>
      <c r="BF115" s="146">
        <v>1037936838.55</v>
      </c>
      <c r="BG115" s="146">
        <v>1083592795.24</v>
      </c>
      <c r="BH115" s="146">
        <v>1108550305.8399999</v>
      </c>
      <c r="BI115" s="146">
        <v>1126377186.2</v>
      </c>
      <c r="BJ115" s="146">
        <v>1141933313.8499999</v>
      </c>
      <c r="BK115" s="146">
        <v>1150280927.26</v>
      </c>
      <c r="BL115" s="146">
        <v>1154013236.3399999</v>
      </c>
      <c r="BM115" s="146">
        <v>1156112554.6500001</v>
      </c>
      <c r="BU115" s="146">
        <v>1156112554.6500001</v>
      </c>
    </row>
    <row r="116" spans="1:73" s="146" customFormat="1" ht="14.4" x14ac:dyDescent="0.3">
      <c r="A116" s="160" t="s">
        <v>236</v>
      </c>
      <c r="B116" s="161">
        <v>2003</v>
      </c>
      <c r="C116" s="161">
        <v>10259730.58</v>
      </c>
      <c r="D116" s="161">
        <v>44958924.119999997</v>
      </c>
      <c r="E116" s="161">
        <v>85898882.430000007</v>
      </c>
      <c r="F116" s="161">
        <v>131737978.59999999</v>
      </c>
      <c r="G116" s="161">
        <v>167637273.55000001</v>
      </c>
      <c r="H116" s="161">
        <v>189496341.22999999</v>
      </c>
      <c r="I116" s="161">
        <v>203277138.12</v>
      </c>
      <c r="J116" s="161">
        <v>213535951.38999999</v>
      </c>
      <c r="K116" s="161">
        <v>214817922.85999998</v>
      </c>
      <c r="L116" s="161">
        <v>216367947.51000002</v>
      </c>
      <c r="M116" s="161">
        <v>218026008.45999998</v>
      </c>
      <c r="N116" s="161">
        <v>218386390.97999999</v>
      </c>
      <c r="O116" s="161">
        <v>219139152.13999999</v>
      </c>
      <c r="P116" s="149"/>
      <c r="Q116" s="149"/>
      <c r="R116" s="149"/>
      <c r="S116" s="149"/>
      <c r="T116" s="149"/>
      <c r="U116" s="149"/>
      <c r="V116" s="149"/>
      <c r="W116" s="149"/>
      <c r="X116" s="161">
        <v>219139152.13999999</v>
      </c>
      <c r="Y116" s="145"/>
      <c r="Z116" s="145"/>
      <c r="AX116" s="146" t="s">
        <v>234</v>
      </c>
      <c r="AY116" s="146">
        <v>2000</v>
      </c>
      <c r="AZ116" s="146">
        <v>68477776.629999995</v>
      </c>
      <c r="BA116" s="146">
        <v>245536502.03999999</v>
      </c>
      <c r="BB116" s="146">
        <v>397440341.17000002</v>
      </c>
      <c r="BC116" s="146">
        <v>592728470.45000005</v>
      </c>
      <c r="BD116" s="146">
        <v>726839561.80999994</v>
      </c>
      <c r="BE116" s="146">
        <v>823781251.22000003</v>
      </c>
      <c r="BF116" s="146">
        <v>877195534.11000001</v>
      </c>
      <c r="BG116" s="146">
        <v>907771783.54999995</v>
      </c>
      <c r="BH116" s="146">
        <v>925042653.80999994</v>
      </c>
      <c r="BI116" s="146">
        <v>933250550.87</v>
      </c>
      <c r="BJ116" s="146">
        <v>938009631.02999997</v>
      </c>
      <c r="BK116" s="146">
        <v>944448184.71000004</v>
      </c>
      <c r="BL116" s="146">
        <v>947011137.50999999</v>
      </c>
      <c r="BU116" s="146">
        <v>947011137.50999999</v>
      </c>
    </row>
    <row r="117" spans="1:73" ht="14.4" x14ac:dyDescent="0.3">
      <c r="A117" s="160" t="s">
        <v>236</v>
      </c>
      <c r="B117" s="161">
        <v>2004</v>
      </c>
      <c r="C117" s="161">
        <v>10807683.549999999</v>
      </c>
      <c r="D117" s="161">
        <v>36296576.050000004</v>
      </c>
      <c r="E117" s="161">
        <v>78239318.699999988</v>
      </c>
      <c r="F117" s="161">
        <v>122932789.06999999</v>
      </c>
      <c r="G117" s="161">
        <v>152941097.52000001</v>
      </c>
      <c r="H117" s="161">
        <v>169763669.66</v>
      </c>
      <c r="I117" s="161">
        <v>175120883.84</v>
      </c>
      <c r="J117" s="161">
        <v>181855810.22999999</v>
      </c>
      <c r="K117" s="161">
        <v>184281908.5</v>
      </c>
      <c r="L117" s="161">
        <v>185006768.51999998</v>
      </c>
      <c r="M117" s="161">
        <v>186763008.42000002</v>
      </c>
      <c r="N117" s="161">
        <v>189154113.96000004</v>
      </c>
      <c r="O117" s="149"/>
      <c r="P117" s="149"/>
      <c r="Q117" s="149"/>
      <c r="R117" s="149"/>
      <c r="S117" s="149"/>
      <c r="T117" s="149"/>
      <c r="U117" s="149"/>
      <c r="V117" s="149"/>
      <c r="W117" s="149"/>
      <c r="X117" s="161">
        <v>189154113.96000004</v>
      </c>
      <c r="Y117" s="145"/>
      <c r="Z117" s="145"/>
      <c r="AX117" s="141" t="s">
        <v>234</v>
      </c>
      <c r="AY117" s="141">
        <v>2001</v>
      </c>
      <c r="AZ117" s="141">
        <v>74024645.769999996</v>
      </c>
      <c r="BA117" s="141">
        <v>176651334.84</v>
      </c>
      <c r="BB117" s="141">
        <v>338155924.38999999</v>
      </c>
      <c r="BC117" s="141">
        <v>476800151.43000001</v>
      </c>
      <c r="BD117" s="141">
        <v>588730686.91999996</v>
      </c>
      <c r="BE117" s="141">
        <v>656304061.96000004</v>
      </c>
      <c r="BF117" s="141">
        <v>694305266.67999995</v>
      </c>
      <c r="BG117" s="141">
        <v>720106748.40999997</v>
      </c>
      <c r="BH117" s="141">
        <v>729735531.98000002</v>
      </c>
      <c r="BI117" s="141">
        <v>737983156.46000004</v>
      </c>
      <c r="BJ117" s="141">
        <v>746242548.00999999</v>
      </c>
      <c r="BK117" s="141">
        <v>749383508.28999996</v>
      </c>
      <c r="BU117" s="141">
        <v>749383508.28999996</v>
      </c>
    </row>
    <row r="118" spans="1:73" ht="14.4" x14ac:dyDescent="0.3">
      <c r="A118" s="160" t="s">
        <v>236</v>
      </c>
      <c r="B118" s="161">
        <v>2005</v>
      </c>
      <c r="C118" s="161">
        <v>10308155.33</v>
      </c>
      <c r="D118" s="161">
        <v>39177457.569999993</v>
      </c>
      <c r="E118" s="161">
        <v>80416721.170000002</v>
      </c>
      <c r="F118" s="161">
        <v>115984676.87</v>
      </c>
      <c r="G118" s="161">
        <v>140717514.48000002</v>
      </c>
      <c r="H118" s="161">
        <v>163625267.59999999</v>
      </c>
      <c r="I118" s="161">
        <v>168761753.82999998</v>
      </c>
      <c r="J118" s="161">
        <v>170738623.59999999</v>
      </c>
      <c r="K118" s="161">
        <v>173889350.71000001</v>
      </c>
      <c r="L118" s="161">
        <v>175172469.76000002</v>
      </c>
      <c r="M118" s="161">
        <v>176580314.45000002</v>
      </c>
      <c r="N118" s="149"/>
      <c r="O118" s="149"/>
      <c r="P118" s="149"/>
      <c r="Q118" s="149"/>
      <c r="R118" s="149"/>
      <c r="S118" s="149"/>
      <c r="T118" s="149"/>
      <c r="U118" s="149"/>
      <c r="V118" s="149"/>
      <c r="W118" s="149"/>
      <c r="X118" s="161">
        <v>176580314.45000002</v>
      </c>
      <c r="Y118" s="145"/>
      <c r="Z118" s="145"/>
      <c r="AX118" s="141" t="s">
        <v>234</v>
      </c>
      <c r="AY118" s="141">
        <v>2002</v>
      </c>
      <c r="AZ118" s="141">
        <v>39571401.340000004</v>
      </c>
      <c r="BA118" s="141">
        <v>105043326.63</v>
      </c>
      <c r="BB118" s="141">
        <v>208281137.08000001</v>
      </c>
      <c r="BC118" s="141">
        <v>331981918.58999997</v>
      </c>
      <c r="BD118" s="141">
        <v>417304929.43000001</v>
      </c>
      <c r="BE118" s="141">
        <v>463738106.44999999</v>
      </c>
      <c r="BF118" s="141">
        <v>493336820.57999998</v>
      </c>
      <c r="BG118" s="141">
        <v>502850112.91000003</v>
      </c>
      <c r="BH118" s="141">
        <v>508076714.55000001</v>
      </c>
      <c r="BI118" s="141">
        <v>510056146.69999999</v>
      </c>
      <c r="BJ118" s="141">
        <v>520065761.23000002</v>
      </c>
      <c r="BU118" s="141">
        <v>520065761.23000002</v>
      </c>
    </row>
    <row r="119" spans="1:73" ht="14.4" x14ac:dyDescent="0.3">
      <c r="A119" s="160" t="s">
        <v>236</v>
      </c>
      <c r="B119" s="161">
        <v>2006</v>
      </c>
      <c r="C119" s="161">
        <v>9703243.8399999999</v>
      </c>
      <c r="D119" s="161">
        <v>29632253.379999999</v>
      </c>
      <c r="E119" s="161">
        <v>67844290.640000001</v>
      </c>
      <c r="F119" s="161">
        <v>101994304.49000001</v>
      </c>
      <c r="G119" s="161">
        <v>124159109.36</v>
      </c>
      <c r="H119" s="161">
        <v>142641378.81</v>
      </c>
      <c r="I119" s="161">
        <v>148523122.34</v>
      </c>
      <c r="J119" s="161">
        <v>152766857.56999999</v>
      </c>
      <c r="K119" s="161">
        <v>154927838.75999999</v>
      </c>
      <c r="L119" s="161">
        <v>156022718.31999999</v>
      </c>
      <c r="M119" s="149"/>
      <c r="N119" s="149"/>
      <c r="O119" s="149"/>
      <c r="P119" s="149"/>
      <c r="Q119" s="149"/>
      <c r="R119" s="149"/>
      <c r="S119" s="149"/>
      <c r="T119" s="149"/>
      <c r="U119" s="149"/>
      <c r="V119" s="149"/>
      <c r="W119" s="149"/>
      <c r="X119" s="161">
        <v>156022718.31999999</v>
      </c>
      <c r="Y119" s="145"/>
      <c r="Z119" s="145"/>
      <c r="AX119" s="141" t="s">
        <v>234</v>
      </c>
      <c r="AY119" s="141">
        <v>2003</v>
      </c>
      <c r="AZ119" s="141">
        <v>33963887.159999996</v>
      </c>
      <c r="BA119" s="141">
        <v>103236653</v>
      </c>
      <c r="BB119" s="141">
        <v>198022435.28999999</v>
      </c>
      <c r="BC119" s="141">
        <v>311343274.25999999</v>
      </c>
      <c r="BD119" s="141">
        <v>381762367.43000001</v>
      </c>
      <c r="BE119" s="141">
        <v>432931517.83999997</v>
      </c>
      <c r="BF119" s="141">
        <v>457465412.27999997</v>
      </c>
      <c r="BG119" s="141">
        <v>477968594.63</v>
      </c>
      <c r="BH119" s="141">
        <v>483684530.97000003</v>
      </c>
      <c r="BI119" s="141">
        <v>490304178.44</v>
      </c>
      <c r="BU119" s="141">
        <v>490304178.44</v>
      </c>
    </row>
    <row r="120" spans="1:73" ht="14.4" x14ac:dyDescent="0.3">
      <c r="A120" s="160" t="s">
        <v>236</v>
      </c>
      <c r="B120" s="161">
        <v>2007</v>
      </c>
      <c r="C120" s="161">
        <v>17948179.629999999</v>
      </c>
      <c r="D120" s="161">
        <v>53391966.189999998</v>
      </c>
      <c r="E120" s="161">
        <v>87305923.700000003</v>
      </c>
      <c r="F120" s="161">
        <v>114997845.59999999</v>
      </c>
      <c r="G120" s="161">
        <v>141510157.28</v>
      </c>
      <c r="H120" s="161">
        <v>155021950.26000002</v>
      </c>
      <c r="I120" s="161">
        <v>165742967.34999999</v>
      </c>
      <c r="J120" s="161">
        <v>174287939.62</v>
      </c>
      <c r="K120" s="161">
        <v>177022709.63999999</v>
      </c>
      <c r="L120" s="149"/>
      <c r="M120" s="149"/>
      <c r="N120" s="149"/>
      <c r="O120" s="149"/>
      <c r="P120" s="149"/>
      <c r="Q120" s="149"/>
      <c r="R120" s="149"/>
      <c r="S120" s="149"/>
      <c r="T120" s="149"/>
      <c r="U120" s="149"/>
      <c r="V120" s="149"/>
      <c r="W120" s="149"/>
      <c r="X120" s="161">
        <v>177022709.63999999</v>
      </c>
      <c r="Y120" s="145"/>
      <c r="Z120" s="145"/>
      <c r="AX120" s="141" t="s">
        <v>234</v>
      </c>
      <c r="AY120" s="141">
        <v>2004</v>
      </c>
      <c r="AZ120" s="141">
        <v>27299227.559999999</v>
      </c>
      <c r="BA120" s="141">
        <v>93893379.75</v>
      </c>
      <c r="BB120" s="141">
        <v>189442393.46000001</v>
      </c>
      <c r="BC120" s="141">
        <v>292964271.38999999</v>
      </c>
      <c r="BD120" s="141">
        <v>372321602.07999998</v>
      </c>
      <c r="BE120" s="141">
        <v>404672408.51999998</v>
      </c>
      <c r="BF120" s="141">
        <v>417390404.54000002</v>
      </c>
      <c r="BG120" s="141">
        <v>429265237.44</v>
      </c>
      <c r="BH120" s="141">
        <v>432311000.00999999</v>
      </c>
      <c r="BU120" s="141">
        <v>432311000.00999999</v>
      </c>
    </row>
    <row r="121" spans="1:73" ht="14.4" x14ac:dyDescent="0.3">
      <c r="A121" s="160" t="s">
        <v>236</v>
      </c>
      <c r="B121" s="161">
        <v>2008</v>
      </c>
      <c r="C121" s="161">
        <v>10977210.520000001</v>
      </c>
      <c r="D121" s="161">
        <v>37020651.519999996</v>
      </c>
      <c r="E121" s="161">
        <v>79246650.49000001</v>
      </c>
      <c r="F121" s="161">
        <v>124479117.00000003</v>
      </c>
      <c r="G121" s="161">
        <v>150074618.63</v>
      </c>
      <c r="H121" s="161">
        <v>166786281.06999999</v>
      </c>
      <c r="I121" s="161">
        <v>174214670.25</v>
      </c>
      <c r="J121" s="161">
        <v>178002868.61000001</v>
      </c>
      <c r="K121" s="149"/>
      <c r="L121" s="149"/>
      <c r="M121" s="149"/>
      <c r="N121" s="149"/>
      <c r="O121" s="149"/>
      <c r="P121" s="149"/>
      <c r="Q121" s="149"/>
      <c r="R121" s="149"/>
      <c r="S121" s="149"/>
      <c r="T121" s="149"/>
      <c r="U121" s="149"/>
      <c r="V121" s="149"/>
      <c r="W121" s="149"/>
      <c r="X121" s="161">
        <v>178002868.61000001</v>
      </c>
      <c r="Y121" s="145"/>
      <c r="Z121" s="145"/>
      <c r="AX121" s="141" t="s">
        <v>234</v>
      </c>
      <c r="AY121" s="141">
        <v>2005</v>
      </c>
      <c r="AZ121" s="141">
        <v>23851279.829999998</v>
      </c>
      <c r="BA121" s="141">
        <v>93972013.219999999</v>
      </c>
      <c r="BB121" s="141">
        <v>198010616.88</v>
      </c>
      <c r="BC121" s="141">
        <v>303345685.19999999</v>
      </c>
      <c r="BD121" s="141">
        <v>369693046.81999999</v>
      </c>
      <c r="BE121" s="141">
        <v>410635227.99000001</v>
      </c>
      <c r="BF121" s="141">
        <v>429519179.38999999</v>
      </c>
      <c r="BG121" s="141">
        <v>434472538.97000003</v>
      </c>
      <c r="BU121" s="141">
        <v>434472538.97000003</v>
      </c>
    </row>
    <row r="122" spans="1:73" ht="14.4" x14ac:dyDescent="0.3">
      <c r="A122" s="160" t="s">
        <v>236</v>
      </c>
      <c r="B122" s="161">
        <v>2009</v>
      </c>
      <c r="C122" s="161">
        <v>11466025.110000001</v>
      </c>
      <c r="D122" s="161">
        <v>40944709.379999995</v>
      </c>
      <c r="E122" s="161">
        <v>99843294.429999977</v>
      </c>
      <c r="F122" s="161">
        <v>160805160.67000002</v>
      </c>
      <c r="G122" s="161">
        <v>190746895.93000001</v>
      </c>
      <c r="H122" s="161">
        <v>205151903.09000003</v>
      </c>
      <c r="I122" s="161">
        <v>218737711.15000004</v>
      </c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149"/>
      <c r="W122" s="149"/>
      <c r="X122" s="161">
        <v>218737711.15000004</v>
      </c>
      <c r="Y122" s="145"/>
      <c r="Z122" s="145"/>
      <c r="AX122" s="141" t="s">
        <v>234</v>
      </c>
      <c r="AY122" s="141">
        <v>2006</v>
      </c>
      <c r="AZ122" s="141">
        <v>27525352.59</v>
      </c>
      <c r="BA122" s="141">
        <v>92991139.859999999</v>
      </c>
      <c r="BB122" s="141">
        <v>191075503.5</v>
      </c>
      <c r="BC122" s="141">
        <v>288084699.06</v>
      </c>
      <c r="BD122" s="141">
        <v>345833670.62</v>
      </c>
      <c r="BE122" s="141">
        <v>383831206.88</v>
      </c>
      <c r="BF122" s="141">
        <v>400940346.81999999</v>
      </c>
      <c r="BU122" s="141">
        <v>400940346.81999999</v>
      </c>
    </row>
    <row r="123" spans="1:73" ht="14.4" x14ac:dyDescent="0.3">
      <c r="A123" s="160" t="s">
        <v>236</v>
      </c>
      <c r="B123" s="161">
        <v>2010</v>
      </c>
      <c r="C123" s="161">
        <v>11474817.310000001</v>
      </c>
      <c r="D123" s="161">
        <v>46567640.990000002</v>
      </c>
      <c r="E123" s="161">
        <v>92736344.160000011</v>
      </c>
      <c r="F123" s="161">
        <v>144292091.70000002</v>
      </c>
      <c r="G123" s="161">
        <v>182449535.24000001</v>
      </c>
      <c r="H123" s="161">
        <v>202592533.96999997</v>
      </c>
      <c r="I123" s="149"/>
      <c r="J123" s="149"/>
      <c r="K123" s="149"/>
      <c r="L123" s="149"/>
      <c r="M123" s="149"/>
      <c r="N123" s="149"/>
      <c r="O123" s="149"/>
      <c r="P123" s="149"/>
      <c r="Q123" s="149"/>
      <c r="R123" s="149"/>
      <c r="S123" s="149"/>
      <c r="T123" s="149"/>
      <c r="U123" s="149"/>
      <c r="V123" s="149"/>
      <c r="W123" s="149"/>
      <c r="X123" s="161">
        <v>202592533.96999997</v>
      </c>
      <c r="Y123" s="145"/>
      <c r="Z123" s="145"/>
      <c r="AX123" s="141" t="s">
        <v>234</v>
      </c>
      <c r="AY123" s="141">
        <v>2007</v>
      </c>
      <c r="AZ123" s="141">
        <v>38558018.689999998</v>
      </c>
      <c r="BA123" s="141">
        <v>126127962.97</v>
      </c>
      <c r="BB123" s="141">
        <v>226748813.09999999</v>
      </c>
      <c r="BC123" s="141">
        <v>310370985.32999998</v>
      </c>
      <c r="BD123" s="141">
        <v>379245279.43000001</v>
      </c>
      <c r="BE123" s="141">
        <v>417149699.77999997</v>
      </c>
      <c r="BU123" s="141">
        <v>417149699.77999997</v>
      </c>
    </row>
    <row r="124" spans="1:73" ht="14.4" x14ac:dyDescent="0.3">
      <c r="A124" s="160" t="s">
        <v>236</v>
      </c>
      <c r="B124" s="161">
        <v>2011</v>
      </c>
      <c r="C124" s="161">
        <v>13227032.159999998</v>
      </c>
      <c r="D124" s="161">
        <v>49071343.769999996</v>
      </c>
      <c r="E124" s="161">
        <v>99780111.549999997</v>
      </c>
      <c r="F124" s="161">
        <v>179018383.16</v>
      </c>
      <c r="G124" s="161">
        <v>263415083.97000003</v>
      </c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  <c r="R124" s="149"/>
      <c r="S124" s="149"/>
      <c r="T124" s="149"/>
      <c r="U124" s="149"/>
      <c r="V124" s="149"/>
      <c r="W124" s="149"/>
      <c r="X124" s="161">
        <v>263415083.97000003</v>
      </c>
      <c r="Y124" s="145"/>
      <c r="Z124" s="145"/>
      <c r="AX124" s="141" t="s">
        <v>234</v>
      </c>
      <c r="AY124" s="141">
        <v>2008</v>
      </c>
      <c r="AZ124" s="141">
        <v>34582164.899999999</v>
      </c>
      <c r="BA124" s="141">
        <v>110715176.33</v>
      </c>
      <c r="BB124" s="141">
        <v>217773755.27000001</v>
      </c>
      <c r="BC124" s="141">
        <v>324473804.25999999</v>
      </c>
      <c r="BD124" s="141">
        <v>400038599.43000001</v>
      </c>
      <c r="BU124" s="141">
        <v>400038599.43000001</v>
      </c>
    </row>
    <row r="125" spans="1:73" ht="14.4" x14ac:dyDescent="0.3">
      <c r="A125" s="160" t="s">
        <v>236</v>
      </c>
      <c r="B125" s="161">
        <v>2012</v>
      </c>
      <c r="C125" s="161">
        <v>9941122.9900000002</v>
      </c>
      <c r="D125" s="161">
        <v>30624801.810000002</v>
      </c>
      <c r="E125" s="161">
        <v>55262559.390000001</v>
      </c>
      <c r="F125" s="161">
        <v>86505674.919999987</v>
      </c>
      <c r="G125" s="149"/>
      <c r="H125" s="149"/>
      <c r="I125" s="149"/>
      <c r="J125" s="149"/>
      <c r="K125" s="149"/>
      <c r="L125" s="149"/>
      <c r="M125" s="149"/>
      <c r="N125" s="149"/>
      <c r="O125" s="149"/>
      <c r="P125" s="149"/>
      <c r="Q125" s="149"/>
      <c r="R125" s="149"/>
      <c r="S125" s="149"/>
      <c r="T125" s="149"/>
      <c r="U125" s="149"/>
      <c r="V125" s="149"/>
      <c r="W125" s="149"/>
      <c r="X125" s="161">
        <v>86505674.919999987</v>
      </c>
      <c r="Y125" s="145"/>
      <c r="Z125" s="145"/>
      <c r="AX125" s="141" t="s">
        <v>234</v>
      </c>
      <c r="AY125" s="141">
        <v>2009</v>
      </c>
      <c r="AZ125" s="141">
        <v>33932276.240000002</v>
      </c>
      <c r="BA125" s="141">
        <v>105877396.36</v>
      </c>
      <c r="BB125" s="141">
        <v>227421577.08000001</v>
      </c>
      <c r="BC125" s="141">
        <v>345721665.31</v>
      </c>
      <c r="BU125" s="141">
        <v>345721665.31</v>
      </c>
    </row>
    <row r="126" spans="1:73" ht="14.4" x14ac:dyDescent="0.3">
      <c r="A126" s="160" t="s">
        <v>236</v>
      </c>
      <c r="B126" s="161">
        <v>2013</v>
      </c>
      <c r="C126" s="161">
        <v>7776394.6799999997</v>
      </c>
      <c r="D126" s="161">
        <v>29198750.470000006</v>
      </c>
      <c r="E126" s="161">
        <v>56161253.709999993</v>
      </c>
      <c r="F126" s="149"/>
      <c r="G126" s="149"/>
      <c r="H126" s="149"/>
      <c r="I126" s="149"/>
      <c r="J126" s="149"/>
      <c r="K126" s="149"/>
      <c r="L126" s="149"/>
      <c r="M126" s="149"/>
      <c r="N126" s="149"/>
      <c r="O126" s="149"/>
      <c r="P126" s="149"/>
      <c r="Q126" s="149"/>
      <c r="R126" s="149"/>
      <c r="S126" s="149"/>
      <c r="T126" s="149"/>
      <c r="U126" s="149"/>
      <c r="V126" s="149"/>
      <c r="W126" s="149"/>
      <c r="X126" s="161">
        <v>56161253.709999993</v>
      </c>
      <c r="Y126" s="145"/>
      <c r="Z126" s="145"/>
      <c r="AX126" s="141" t="s">
        <v>234</v>
      </c>
      <c r="AY126" s="141">
        <v>2010</v>
      </c>
      <c r="AZ126" s="141">
        <v>29696200.66</v>
      </c>
      <c r="BA126" s="141">
        <v>116454005.65000001</v>
      </c>
      <c r="BB126" s="141">
        <v>223725362.24000001</v>
      </c>
      <c r="BU126" s="141">
        <v>223725362.24000001</v>
      </c>
    </row>
    <row r="127" spans="1:73" ht="14.4" x14ac:dyDescent="0.3">
      <c r="A127" s="160" t="s">
        <v>236</v>
      </c>
      <c r="B127" s="161">
        <v>2014</v>
      </c>
      <c r="C127" s="161">
        <v>8013734.5100000007</v>
      </c>
      <c r="D127" s="161">
        <v>27209268.509999998</v>
      </c>
      <c r="E127" s="149"/>
      <c r="F127" s="149"/>
      <c r="G127" s="149"/>
      <c r="H127" s="149"/>
      <c r="I127" s="149"/>
      <c r="J127" s="149"/>
      <c r="K127" s="149"/>
      <c r="L127" s="149"/>
      <c r="M127" s="149"/>
      <c r="N127" s="149"/>
      <c r="O127" s="149"/>
      <c r="P127" s="149"/>
      <c r="Q127" s="149"/>
      <c r="R127" s="149"/>
      <c r="S127" s="149"/>
      <c r="T127" s="149"/>
      <c r="U127" s="149"/>
      <c r="V127" s="149"/>
      <c r="W127" s="149"/>
      <c r="X127" s="161">
        <v>27209268.509999998</v>
      </c>
      <c r="Y127" s="145"/>
      <c r="Z127" s="145"/>
      <c r="AX127" s="141" t="s">
        <v>234</v>
      </c>
      <c r="AY127" s="141">
        <v>2011</v>
      </c>
      <c r="AZ127" s="141">
        <v>30678275.539999999</v>
      </c>
      <c r="BA127" s="141">
        <v>117051971.87</v>
      </c>
      <c r="BU127" s="141">
        <v>117051971.87</v>
      </c>
    </row>
    <row r="128" spans="1:73" ht="14.4" x14ac:dyDescent="0.3">
      <c r="A128" s="160" t="s">
        <v>236</v>
      </c>
      <c r="B128" s="161">
        <v>2015</v>
      </c>
      <c r="C128" s="161">
        <v>7112109.4199999999</v>
      </c>
      <c r="D128" s="149"/>
      <c r="E128" s="149"/>
      <c r="F128" s="149"/>
      <c r="G128" s="149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  <c r="R128" s="149"/>
      <c r="S128" s="149"/>
      <c r="T128" s="149"/>
      <c r="U128" s="149"/>
      <c r="V128" s="149"/>
      <c r="W128" s="149"/>
      <c r="X128" s="161">
        <v>7112109.4199999999</v>
      </c>
      <c r="Y128" s="145"/>
      <c r="Z128" s="145"/>
      <c r="AX128" s="141" t="s">
        <v>234</v>
      </c>
      <c r="AY128" s="141">
        <v>2012</v>
      </c>
      <c r="AZ128" s="141">
        <v>29487861.359999999</v>
      </c>
      <c r="BU128" s="141">
        <v>29487861.359999999</v>
      </c>
    </row>
    <row r="129" spans="1:73" ht="14.4" x14ac:dyDescent="0.3">
      <c r="A129" s="160" t="s">
        <v>237</v>
      </c>
      <c r="B129" s="161">
        <v>1995</v>
      </c>
      <c r="C129" s="161">
        <v>2218986.7699999996</v>
      </c>
      <c r="D129" s="161">
        <v>12418759.989999998</v>
      </c>
      <c r="E129" s="161">
        <v>17890224.82</v>
      </c>
      <c r="F129" s="161">
        <v>29745015.200000003</v>
      </c>
      <c r="G129" s="161">
        <v>25090469.069999997</v>
      </c>
      <c r="H129" s="161">
        <v>30991443.909999996</v>
      </c>
      <c r="I129" s="161">
        <v>29560670.389999997</v>
      </c>
      <c r="J129" s="161">
        <v>31409329.949999999</v>
      </c>
      <c r="K129" s="161">
        <v>32212912.16</v>
      </c>
      <c r="L129" s="161">
        <v>33297890.900000002</v>
      </c>
      <c r="M129" s="161">
        <v>33477786.210000001</v>
      </c>
      <c r="N129" s="161">
        <v>33570347.990000002</v>
      </c>
      <c r="O129" s="161">
        <v>33552885.599999998</v>
      </c>
      <c r="P129" s="161">
        <v>33556986.060000002</v>
      </c>
      <c r="Q129" s="161">
        <v>33612077.719999999</v>
      </c>
      <c r="R129" s="161">
        <v>33612077.719999999</v>
      </c>
      <c r="S129" s="161">
        <v>33631278.829999998</v>
      </c>
      <c r="T129" s="161">
        <v>33631278.829999998</v>
      </c>
      <c r="U129" s="161">
        <v>33631278.829999998</v>
      </c>
      <c r="V129" s="161">
        <v>33631278.829999998</v>
      </c>
      <c r="W129" s="161">
        <v>33631278.829999998</v>
      </c>
      <c r="X129" s="161">
        <v>33631278.829999998</v>
      </c>
      <c r="Y129" s="145"/>
      <c r="Z129" s="145"/>
      <c r="AX129" s="141" t="s">
        <v>235</v>
      </c>
      <c r="AY129" s="141">
        <v>1992</v>
      </c>
      <c r="AZ129" s="141">
        <v>470269280.26999998</v>
      </c>
      <c r="BA129" s="141">
        <v>512730143.61000001</v>
      </c>
      <c r="BB129" s="141">
        <v>520319528.74000001</v>
      </c>
      <c r="BC129" s="141">
        <v>492090610</v>
      </c>
      <c r="BD129" s="141">
        <v>483465054.36000001</v>
      </c>
      <c r="BE129" s="141">
        <v>469086438.41000003</v>
      </c>
      <c r="BF129" s="141">
        <v>487892435.5</v>
      </c>
      <c r="BG129" s="141">
        <v>494813341.49000001</v>
      </c>
      <c r="BH129" s="141">
        <v>498412407.02999997</v>
      </c>
      <c r="BI129" s="141">
        <v>501620085.13</v>
      </c>
      <c r="BJ129" s="141">
        <v>496493166.63</v>
      </c>
      <c r="BK129" s="141">
        <v>500247487.81999999</v>
      </c>
      <c r="BL129" s="141">
        <v>498881103.13</v>
      </c>
      <c r="BM129" s="141">
        <v>500370231.88999999</v>
      </c>
      <c r="BN129" s="141">
        <v>500254503.92000002</v>
      </c>
      <c r="BO129" s="141">
        <v>499062682.79000002</v>
      </c>
      <c r="BP129" s="141">
        <v>499536096.44999999</v>
      </c>
      <c r="BQ129" s="141">
        <v>504374225.48000002</v>
      </c>
      <c r="BR129" s="141">
        <v>504173659.94999999</v>
      </c>
      <c r="BS129" s="141">
        <v>504176357.45999998</v>
      </c>
      <c r="BT129" s="141">
        <v>503126096.72000003</v>
      </c>
      <c r="BU129" s="141">
        <v>503126096.72000003</v>
      </c>
    </row>
    <row r="130" spans="1:73" ht="14.4" x14ac:dyDescent="0.3">
      <c r="A130" s="160" t="s">
        <v>237</v>
      </c>
      <c r="B130" s="161">
        <v>1996</v>
      </c>
      <c r="C130" s="161">
        <v>1161455.47</v>
      </c>
      <c r="D130" s="161">
        <v>8501263.3000000007</v>
      </c>
      <c r="E130" s="161">
        <v>24150119.449999999</v>
      </c>
      <c r="F130" s="161">
        <v>30800408.59</v>
      </c>
      <c r="G130" s="161">
        <v>36779258.819999993</v>
      </c>
      <c r="H130" s="161">
        <v>40626817.480000004</v>
      </c>
      <c r="I130" s="161">
        <v>41693239.93</v>
      </c>
      <c r="J130" s="161">
        <v>44287819.960000001</v>
      </c>
      <c r="K130" s="161">
        <v>44599275.730000004</v>
      </c>
      <c r="L130" s="161">
        <v>45607653.68</v>
      </c>
      <c r="M130" s="161">
        <v>45591023.390000001</v>
      </c>
      <c r="N130" s="161">
        <v>50755137.310000002</v>
      </c>
      <c r="O130" s="161">
        <v>47088259.970000006</v>
      </c>
      <c r="P130" s="161">
        <v>47843361.710000008</v>
      </c>
      <c r="Q130" s="161">
        <v>49908275.920000002</v>
      </c>
      <c r="R130" s="161">
        <v>49908285.110000007</v>
      </c>
      <c r="S130" s="161">
        <v>49908582.110000007</v>
      </c>
      <c r="T130" s="161">
        <v>49908582.110000007</v>
      </c>
      <c r="U130" s="161">
        <v>49908520.430000007</v>
      </c>
      <c r="V130" s="161">
        <v>49908520.430000007</v>
      </c>
      <c r="W130" s="149"/>
      <c r="X130" s="161">
        <v>49908520.430000007</v>
      </c>
      <c r="Y130" s="145"/>
      <c r="Z130" s="145"/>
      <c r="AX130" s="141" t="s">
        <v>235</v>
      </c>
      <c r="AY130" s="141">
        <v>1993</v>
      </c>
      <c r="AZ130" s="141">
        <v>743572.19</v>
      </c>
      <c r="BA130" s="141">
        <v>4929141.6500000004</v>
      </c>
      <c r="BB130" s="141">
        <v>13766307.73</v>
      </c>
      <c r="BC130" s="141">
        <v>18670058.469999999</v>
      </c>
      <c r="BD130" s="141">
        <v>21176861.879999999</v>
      </c>
      <c r="BE130" s="141">
        <v>23695044.510000002</v>
      </c>
      <c r="BF130" s="141">
        <v>25305508.489999998</v>
      </c>
      <c r="BG130" s="141">
        <v>26393908.25</v>
      </c>
      <c r="BH130" s="141">
        <v>26201862.609999999</v>
      </c>
      <c r="BI130" s="141">
        <v>26368111.809999999</v>
      </c>
      <c r="BJ130" s="141">
        <v>26731503.449999999</v>
      </c>
      <c r="BK130" s="141">
        <v>26654255.34</v>
      </c>
      <c r="BL130" s="141">
        <v>26645372.440000001</v>
      </c>
      <c r="BM130" s="141">
        <v>26641723.210000001</v>
      </c>
      <c r="BN130" s="141">
        <v>26653287.73</v>
      </c>
      <c r="BO130" s="141">
        <v>26946629.75</v>
      </c>
      <c r="BP130" s="141">
        <v>26947765.719999999</v>
      </c>
      <c r="BQ130" s="141">
        <v>26953085.710000001</v>
      </c>
      <c r="BR130" s="141">
        <v>26952792.329999998</v>
      </c>
      <c r="BS130" s="141">
        <v>26952792.329999998</v>
      </c>
      <c r="BU130" s="141">
        <v>26952792.329999998</v>
      </c>
    </row>
    <row r="131" spans="1:73" ht="14.4" x14ac:dyDescent="0.3">
      <c r="A131" s="160" t="s">
        <v>237</v>
      </c>
      <c r="B131" s="161">
        <v>1997</v>
      </c>
      <c r="C131" s="161">
        <v>2841547.35</v>
      </c>
      <c r="D131" s="161">
        <v>22927641.719999999</v>
      </c>
      <c r="E131" s="161">
        <v>59732097.340000004</v>
      </c>
      <c r="F131" s="161">
        <v>91349615.109999999</v>
      </c>
      <c r="G131" s="161">
        <v>97909721.670000002</v>
      </c>
      <c r="H131" s="161">
        <v>101768090.86999999</v>
      </c>
      <c r="I131" s="161">
        <v>104115736.19999999</v>
      </c>
      <c r="J131" s="161">
        <v>108186825.10999998</v>
      </c>
      <c r="K131" s="161">
        <v>109641477.34999999</v>
      </c>
      <c r="L131" s="161">
        <v>111270920.54999998</v>
      </c>
      <c r="M131" s="161">
        <v>112121393.77999999</v>
      </c>
      <c r="N131" s="161">
        <v>112979622.22999999</v>
      </c>
      <c r="O131" s="161">
        <v>115397065.72999999</v>
      </c>
      <c r="P131" s="161">
        <v>113858045.76999998</v>
      </c>
      <c r="Q131" s="161">
        <v>112768588.57999998</v>
      </c>
      <c r="R131" s="161">
        <v>112234023.86999999</v>
      </c>
      <c r="S131" s="161">
        <v>112231220.78999999</v>
      </c>
      <c r="T131" s="161">
        <v>112359450.83999999</v>
      </c>
      <c r="U131" s="161">
        <v>112359450.83999999</v>
      </c>
      <c r="V131" s="149"/>
      <c r="W131" s="149"/>
      <c r="X131" s="161">
        <v>112359450.83999999</v>
      </c>
      <c r="Y131" s="145"/>
      <c r="Z131" s="145"/>
      <c r="AX131" s="141" t="s">
        <v>235</v>
      </c>
      <c r="AY131" s="141">
        <v>1994</v>
      </c>
      <c r="AZ131" s="141">
        <v>681141.48</v>
      </c>
      <c r="BA131" s="141">
        <v>9478955.3200000003</v>
      </c>
      <c r="BB131" s="141">
        <v>18054424.399999999</v>
      </c>
      <c r="BC131" s="141">
        <v>22151274.440000001</v>
      </c>
      <c r="BD131" s="141">
        <v>23593331.98</v>
      </c>
      <c r="BE131" s="141">
        <v>24668578.710000001</v>
      </c>
      <c r="BF131" s="141">
        <v>25077501.359999999</v>
      </c>
      <c r="BG131" s="141">
        <v>27104670.010000002</v>
      </c>
      <c r="BH131" s="141">
        <v>26124978.460000001</v>
      </c>
      <c r="BI131" s="141">
        <v>26250705.050000001</v>
      </c>
      <c r="BJ131" s="141">
        <v>26216052.149999999</v>
      </c>
      <c r="BK131" s="141">
        <v>26343868</v>
      </c>
      <c r="BL131" s="141">
        <v>28507195.77</v>
      </c>
      <c r="BM131" s="141">
        <v>28520905.359999999</v>
      </c>
      <c r="BN131" s="141">
        <v>29112460.239999998</v>
      </c>
      <c r="BO131" s="141">
        <v>28837086.27</v>
      </c>
      <c r="BP131" s="141">
        <v>28572540.079999998</v>
      </c>
      <c r="BQ131" s="141">
        <v>28434636.620000001</v>
      </c>
      <c r="BR131" s="141">
        <v>28436280.510000002</v>
      </c>
      <c r="BU131" s="141">
        <v>28436280.510000002</v>
      </c>
    </row>
    <row r="132" spans="1:73" ht="14.4" x14ac:dyDescent="0.3">
      <c r="A132" s="160" t="s">
        <v>237</v>
      </c>
      <c r="B132" s="161">
        <v>1998</v>
      </c>
      <c r="C132" s="161">
        <v>17072.41</v>
      </c>
      <c r="D132" s="161">
        <v>17518457.370000001</v>
      </c>
      <c r="E132" s="161">
        <v>32290641.529999997</v>
      </c>
      <c r="F132" s="161">
        <v>68433121.770000011</v>
      </c>
      <c r="G132" s="161">
        <v>77517896.010000005</v>
      </c>
      <c r="H132" s="161">
        <v>93774115.040000007</v>
      </c>
      <c r="I132" s="161">
        <v>110172238</v>
      </c>
      <c r="J132" s="161">
        <v>112414475.01000001</v>
      </c>
      <c r="K132" s="161">
        <v>120160840.2</v>
      </c>
      <c r="L132" s="161">
        <v>124669040.7</v>
      </c>
      <c r="M132" s="161">
        <v>125712881.80000001</v>
      </c>
      <c r="N132" s="161">
        <v>125896655.28</v>
      </c>
      <c r="O132" s="161">
        <v>126808349.34</v>
      </c>
      <c r="P132" s="161">
        <v>126808573.72</v>
      </c>
      <c r="Q132" s="161">
        <v>126808573.72</v>
      </c>
      <c r="R132" s="161">
        <v>126808573.71000001</v>
      </c>
      <c r="S132" s="161">
        <v>130965982.76000001</v>
      </c>
      <c r="T132" s="161">
        <v>130970179.37</v>
      </c>
      <c r="U132" s="149"/>
      <c r="V132" s="149"/>
      <c r="W132" s="149"/>
      <c r="X132" s="161">
        <v>130970179.37</v>
      </c>
      <c r="Y132" s="145"/>
      <c r="Z132" s="145"/>
      <c r="AX132" s="141" t="s">
        <v>235</v>
      </c>
      <c r="AY132" s="141">
        <v>1995</v>
      </c>
      <c r="AZ132" s="141">
        <v>2218986.77</v>
      </c>
      <c r="BA132" s="141">
        <v>12418759.99</v>
      </c>
      <c r="BB132" s="141">
        <v>17890224.82</v>
      </c>
      <c r="BC132" s="141">
        <v>29745015.199999999</v>
      </c>
      <c r="BD132" s="141">
        <v>25090469.07</v>
      </c>
      <c r="BE132" s="141">
        <v>30991443.91</v>
      </c>
      <c r="BF132" s="141">
        <v>29560670.390000001</v>
      </c>
      <c r="BG132" s="141">
        <v>31409329.949999999</v>
      </c>
      <c r="BH132" s="141">
        <v>32212912.16</v>
      </c>
      <c r="BI132" s="141">
        <v>33297890.899999999</v>
      </c>
      <c r="BJ132" s="141">
        <v>33477786.210000001</v>
      </c>
      <c r="BK132" s="141">
        <v>33570347.990000002</v>
      </c>
      <c r="BL132" s="141">
        <v>33552885.600000001</v>
      </c>
      <c r="BM132" s="141">
        <v>33556986.060000002</v>
      </c>
      <c r="BN132" s="141">
        <v>33612077.719999999</v>
      </c>
      <c r="BO132" s="141">
        <v>33612077.719999999</v>
      </c>
      <c r="BP132" s="141">
        <v>33631278.829999998</v>
      </c>
      <c r="BQ132" s="141">
        <v>33631278.829999998</v>
      </c>
      <c r="BU132" s="141">
        <v>33631278.829999998</v>
      </c>
    </row>
    <row r="133" spans="1:73" ht="14.4" x14ac:dyDescent="0.3">
      <c r="A133" s="160" t="s">
        <v>237</v>
      </c>
      <c r="B133" s="161">
        <v>1999</v>
      </c>
      <c r="C133" s="161">
        <v>4566505.66</v>
      </c>
      <c r="D133" s="161">
        <v>59582663.319999993</v>
      </c>
      <c r="E133" s="161">
        <v>87208052.840000004</v>
      </c>
      <c r="F133" s="161">
        <v>133055331.31999999</v>
      </c>
      <c r="G133" s="161">
        <v>156374264.06</v>
      </c>
      <c r="H133" s="161">
        <v>178179316.22999999</v>
      </c>
      <c r="I133" s="161">
        <v>188245642.47999999</v>
      </c>
      <c r="J133" s="161">
        <v>189608448.91000003</v>
      </c>
      <c r="K133" s="161">
        <v>195393168.80000001</v>
      </c>
      <c r="L133" s="161">
        <v>203350777.22999999</v>
      </c>
      <c r="M133" s="161">
        <v>205371732.25</v>
      </c>
      <c r="N133" s="161">
        <v>206540827.15999997</v>
      </c>
      <c r="O133" s="161">
        <v>206596916.21999997</v>
      </c>
      <c r="P133" s="161">
        <v>206613234.91999999</v>
      </c>
      <c r="Q133" s="161">
        <v>206636799.14999998</v>
      </c>
      <c r="R133" s="161">
        <v>206921475.12</v>
      </c>
      <c r="S133" s="161">
        <v>206921475.12</v>
      </c>
      <c r="T133" s="149"/>
      <c r="U133" s="149"/>
      <c r="V133" s="149"/>
      <c r="W133" s="149"/>
      <c r="X133" s="161">
        <v>206921475.12</v>
      </c>
      <c r="Y133" s="145"/>
      <c r="Z133" s="145"/>
      <c r="AX133" s="141" t="s">
        <v>235</v>
      </c>
      <c r="AY133" s="141">
        <v>1996</v>
      </c>
      <c r="AZ133" s="141">
        <v>1161455.47</v>
      </c>
      <c r="BA133" s="141">
        <v>8501263.3000000007</v>
      </c>
      <c r="BB133" s="141">
        <v>24150119.449999999</v>
      </c>
      <c r="BC133" s="141">
        <v>30800408.59</v>
      </c>
      <c r="BD133" s="141">
        <v>36779258.82</v>
      </c>
      <c r="BE133" s="141">
        <v>40626817.479999997</v>
      </c>
      <c r="BF133" s="141">
        <v>41693239.93</v>
      </c>
      <c r="BG133" s="141">
        <v>44287819.960000001</v>
      </c>
      <c r="BH133" s="141">
        <v>44599275.729999997</v>
      </c>
      <c r="BI133" s="141">
        <v>45607653.68</v>
      </c>
      <c r="BJ133" s="141">
        <v>45591023.390000001</v>
      </c>
      <c r="BK133" s="141">
        <v>50755137.310000002</v>
      </c>
      <c r="BL133" s="141">
        <v>47088259.969999999</v>
      </c>
      <c r="BM133" s="141">
        <v>47843361.710000001</v>
      </c>
      <c r="BN133" s="141">
        <v>49908275.920000002</v>
      </c>
      <c r="BO133" s="141">
        <v>49908285.109999999</v>
      </c>
      <c r="BP133" s="141">
        <v>49908582.109999999</v>
      </c>
      <c r="BU133" s="141">
        <v>49908582.109999999</v>
      </c>
    </row>
    <row r="134" spans="1:73" ht="14.4" x14ac:dyDescent="0.3">
      <c r="A134" s="160" t="s">
        <v>237</v>
      </c>
      <c r="B134" s="161">
        <v>2000</v>
      </c>
      <c r="C134" s="161">
        <v>213634.75</v>
      </c>
      <c r="D134" s="161">
        <v>28619843.710000001</v>
      </c>
      <c r="E134" s="161">
        <v>59143255.219999999</v>
      </c>
      <c r="F134" s="161">
        <v>95409434.700000003</v>
      </c>
      <c r="G134" s="161">
        <v>112770542.06</v>
      </c>
      <c r="H134" s="161">
        <v>127520544.01999998</v>
      </c>
      <c r="I134" s="161">
        <v>138559139.70999998</v>
      </c>
      <c r="J134" s="161">
        <v>141327263.31</v>
      </c>
      <c r="K134" s="161">
        <v>142481616.39000002</v>
      </c>
      <c r="L134" s="161">
        <v>145395900.07999998</v>
      </c>
      <c r="M134" s="161">
        <v>146172235.09</v>
      </c>
      <c r="N134" s="161">
        <v>146296870.90000001</v>
      </c>
      <c r="O134" s="161">
        <v>146297123.40000001</v>
      </c>
      <c r="P134" s="161">
        <v>146299381.41</v>
      </c>
      <c r="Q134" s="161">
        <v>148036516.10000002</v>
      </c>
      <c r="R134" s="161">
        <v>148036516.10000002</v>
      </c>
      <c r="S134" s="149"/>
      <c r="T134" s="149"/>
      <c r="U134" s="149"/>
      <c r="V134" s="149"/>
      <c r="W134" s="149"/>
      <c r="X134" s="161">
        <v>148036516.10000002</v>
      </c>
      <c r="Y134" s="145"/>
      <c r="Z134" s="145"/>
      <c r="AX134" s="141" t="s">
        <v>235</v>
      </c>
      <c r="AY134" s="141">
        <v>1997</v>
      </c>
      <c r="AZ134" s="141">
        <v>2841547.35</v>
      </c>
      <c r="BA134" s="141">
        <v>22927641.719999999</v>
      </c>
      <c r="BB134" s="141">
        <v>59732097.340000004</v>
      </c>
      <c r="BC134" s="141">
        <v>91349615.109999999</v>
      </c>
      <c r="BD134" s="141">
        <v>97909721.670000002</v>
      </c>
      <c r="BE134" s="141">
        <v>101768090.87</v>
      </c>
      <c r="BF134" s="141">
        <v>104115736.2</v>
      </c>
      <c r="BG134" s="141">
        <v>108186825.11</v>
      </c>
      <c r="BH134" s="141">
        <v>109641477.34999999</v>
      </c>
      <c r="BI134" s="141">
        <v>111270920.55</v>
      </c>
      <c r="BJ134" s="141">
        <v>112121393.78</v>
      </c>
      <c r="BK134" s="141">
        <v>112979622.23</v>
      </c>
      <c r="BL134" s="141">
        <v>115456429.98</v>
      </c>
      <c r="BM134" s="141">
        <v>114009707.56999999</v>
      </c>
      <c r="BN134" s="141">
        <v>112945042.62</v>
      </c>
      <c r="BO134" s="141">
        <v>112410730.41</v>
      </c>
      <c r="BU134" s="141">
        <v>112410730.41</v>
      </c>
    </row>
    <row r="135" spans="1:73" ht="14.4" x14ac:dyDescent="0.3">
      <c r="A135" s="160" t="s">
        <v>237</v>
      </c>
      <c r="B135" s="161">
        <v>2001</v>
      </c>
      <c r="C135" s="161">
        <v>553076.24</v>
      </c>
      <c r="D135" s="161">
        <v>13549466.939999999</v>
      </c>
      <c r="E135" s="161">
        <v>39028710.25</v>
      </c>
      <c r="F135" s="161">
        <v>49840884</v>
      </c>
      <c r="G135" s="161">
        <v>62073294.169999994</v>
      </c>
      <c r="H135" s="161">
        <v>65658806.349999994</v>
      </c>
      <c r="I135" s="161">
        <v>79534482.25</v>
      </c>
      <c r="J135" s="161">
        <v>90351135.640000015</v>
      </c>
      <c r="K135" s="161">
        <v>90021289.659999996</v>
      </c>
      <c r="L135" s="161">
        <v>92814545.569999993</v>
      </c>
      <c r="M135" s="161">
        <v>89792644.769999996</v>
      </c>
      <c r="N135" s="161">
        <v>90100433.479999989</v>
      </c>
      <c r="O135" s="161">
        <v>90406039.989999995</v>
      </c>
      <c r="P135" s="161">
        <v>93445731.829999983</v>
      </c>
      <c r="Q135" s="161">
        <v>94162801.370000005</v>
      </c>
      <c r="R135" s="149"/>
      <c r="S135" s="149"/>
      <c r="T135" s="149"/>
      <c r="U135" s="149"/>
      <c r="V135" s="149"/>
      <c r="W135" s="149"/>
      <c r="X135" s="161">
        <v>94162801.370000005</v>
      </c>
      <c r="Y135" s="145"/>
      <c r="Z135" s="145"/>
      <c r="AX135" s="141" t="s">
        <v>235</v>
      </c>
      <c r="AY135" s="141">
        <v>1998</v>
      </c>
      <c r="AZ135" s="141">
        <v>17072.41</v>
      </c>
      <c r="BA135" s="141">
        <v>17518457.370000001</v>
      </c>
      <c r="BB135" s="141">
        <v>32290641.530000001</v>
      </c>
      <c r="BC135" s="141">
        <v>68433121.769999996</v>
      </c>
      <c r="BD135" s="141">
        <v>77517896.010000005</v>
      </c>
      <c r="BE135" s="141">
        <v>93774115.040000007</v>
      </c>
      <c r="BF135" s="141">
        <v>110172238</v>
      </c>
      <c r="BG135" s="141">
        <v>112414475.01000001</v>
      </c>
      <c r="BH135" s="141">
        <v>120160840.2</v>
      </c>
      <c r="BI135" s="141">
        <v>124669040.7</v>
      </c>
      <c r="BJ135" s="141">
        <v>125712881.8</v>
      </c>
      <c r="BK135" s="141">
        <v>125896655.28</v>
      </c>
      <c r="BL135" s="141">
        <v>126808349.34</v>
      </c>
      <c r="BM135" s="141">
        <v>126808573.72</v>
      </c>
      <c r="BN135" s="141">
        <v>126808573.72</v>
      </c>
      <c r="BU135" s="141">
        <v>126808573.72</v>
      </c>
    </row>
    <row r="136" spans="1:73" ht="14.4" x14ac:dyDescent="0.3">
      <c r="A136" s="160" t="s">
        <v>237</v>
      </c>
      <c r="B136" s="161">
        <v>2002</v>
      </c>
      <c r="C136" s="161">
        <v>288568.83</v>
      </c>
      <c r="D136" s="161">
        <v>22427112.939999998</v>
      </c>
      <c r="E136" s="161">
        <v>41981651.930000007</v>
      </c>
      <c r="F136" s="161">
        <v>65347026.330000013</v>
      </c>
      <c r="G136" s="161">
        <v>77044922.870000005</v>
      </c>
      <c r="H136" s="161">
        <v>79103947.180000007</v>
      </c>
      <c r="I136" s="161">
        <v>83594660.969999999</v>
      </c>
      <c r="J136" s="161">
        <v>83479010.460000008</v>
      </c>
      <c r="K136" s="161">
        <v>83189068.609999999</v>
      </c>
      <c r="L136" s="161">
        <v>83620678.520000011</v>
      </c>
      <c r="M136" s="161">
        <v>84044759.980000004</v>
      </c>
      <c r="N136" s="161">
        <v>84858130.519999981</v>
      </c>
      <c r="O136" s="161">
        <v>84832814.999999985</v>
      </c>
      <c r="P136" s="161">
        <v>91183329.75</v>
      </c>
      <c r="Q136" s="149"/>
      <c r="R136" s="149"/>
      <c r="S136" s="149"/>
      <c r="T136" s="149"/>
      <c r="U136" s="149"/>
      <c r="V136" s="149"/>
      <c r="W136" s="149"/>
      <c r="X136" s="161">
        <v>91183329.75</v>
      </c>
      <c r="Y136" s="145"/>
      <c r="Z136" s="145"/>
      <c r="AX136" s="141" t="s">
        <v>235</v>
      </c>
      <c r="AY136" s="141">
        <v>1999</v>
      </c>
      <c r="AZ136" s="141">
        <v>4566505.66</v>
      </c>
      <c r="BA136" s="141">
        <v>59582663.32</v>
      </c>
      <c r="BB136" s="141">
        <v>87208052.840000004</v>
      </c>
      <c r="BC136" s="141">
        <v>133057012.64</v>
      </c>
      <c r="BD136" s="141">
        <v>156374264.06</v>
      </c>
      <c r="BE136" s="141">
        <v>178179316.22999999</v>
      </c>
      <c r="BF136" s="141">
        <v>188245642.47999999</v>
      </c>
      <c r="BG136" s="141">
        <v>189608448.91</v>
      </c>
      <c r="BH136" s="141">
        <v>195393168.80000001</v>
      </c>
      <c r="BI136" s="141">
        <v>203350777.22999999</v>
      </c>
      <c r="BJ136" s="141">
        <v>205371732.25</v>
      </c>
      <c r="BK136" s="141">
        <v>206540827.16</v>
      </c>
      <c r="BL136" s="141">
        <v>206596916.22</v>
      </c>
      <c r="BM136" s="141">
        <v>206613234.91999999</v>
      </c>
      <c r="BU136" s="141">
        <v>206613234.91999999</v>
      </c>
    </row>
    <row r="137" spans="1:73" ht="14.4" x14ac:dyDescent="0.3">
      <c r="A137" s="160" t="s">
        <v>237</v>
      </c>
      <c r="B137" s="161">
        <v>2003</v>
      </c>
      <c r="C137" s="161">
        <v>105050.4</v>
      </c>
      <c r="D137" s="161">
        <v>10021253.83</v>
      </c>
      <c r="E137" s="161">
        <v>23386323.129999999</v>
      </c>
      <c r="F137" s="161">
        <v>26615287.030000005</v>
      </c>
      <c r="G137" s="161">
        <v>38308968.390000001</v>
      </c>
      <c r="H137" s="161">
        <v>44917457.310000002</v>
      </c>
      <c r="I137" s="161">
        <v>60435012.190000005</v>
      </c>
      <c r="J137" s="161">
        <v>63025559.510000005</v>
      </c>
      <c r="K137" s="161">
        <v>63264291.280000001</v>
      </c>
      <c r="L137" s="161">
        <v>64058846.57</v>
      </c>
      <c r="M137" s="161">
        <v>63913285.690000005</v>
      </c>
      <c r="N137" s="161">
        <v>63847611.790000007</v>
      </c>
      <c r="O137" s="161">
        <v>62303940.049999997</v>
      </c>
      <c r="P137" s="149"/>
      <c r="Q137" s="149"/>
      <c r="R137" s="149"/>
      <c r="S137" s="149"/>
      <c r="T137" s="149"/>
      <c r="U137" s="149"/>
      <c r="V137" s="149"/>
      <c r="W137" s="149"/>
      <c r="X137" s="161">
        <v>62303940.049999997</v>
      </c>
      <c r="Y137" s="145"/>
      <c r="Z137" s="145"/>
      <c r="AX137" s="141" t="s">
        <v>235</v>
      </c>
      <c r="AY137" s="141">
        <v>2000</v>
      </c>
      <c r="AZ137" s="141">
        <v>213634.75</v>
      </c>
      <c r="BA137" s="141">
        <v>28619843.710000001</v>
      </c>
      <c r="BB137" s="141">
        <v>59143255.219999999</v>
      </c>
      <c r="BC137" s="141">
        <v>95409434.700000003</v>
      </c>
      <c r="BD137" s="141">
        <v>112770542.06</v>
      </c>
      <c r="BE137" s="141">
        <v>127520544.02</v>
      </c>
      <c r="BF137" s="141">
        <v>138559139.71000001</v>
      </c>
      <c r="BG137" s="141">
        <v>141327263.31</v>
      </c>
      <c r="BH137" s="141">
        <v>142481616.38999999</v>
      </c>
      <c r="BI137" s="141">
        <v>145336535.83000001</v>
      </c>
      <c r="BJ137" s="141">
        <v>146020573.28999999</v>
      </c>
      <c r="BK137" s="141">
        <v>146120416.86000001</v>
      </c>
      <c r="BL137" s="141">
        <v>146120416.86000001</v>
      </c>
      <c r="BU137" s="141">
        <v>146120416.86000001</v>
      </c>
    </row>
    <row r="138" spans="1:73" ht="14.4" x14ac:dyDescent="0.3">
      <c r="A138" s="160" t="s">
        <v>237</v>
      </c>
      <c r="B138" s="161">
        <v>2004</v>
      </c>
      <c r="C138" s="161">
        <v>8393.130000000001</v>
      </c>
      <c r="D138" s="161">
        <v>12160305.280000001</v>
      </c>
      <c r="E138" s="161">
        <v>23445463.030000001</v>
      </c>
      <c r="F138" s="161">
        <v>49495372.640000001</v>
      </c>
      <c r="G138" s="161">
        <v>62806685.209999993</v>
      </c>
      <c r="H138" s="161">
        <v>67906029.530000001</v>
      </c>
      <c r="I138" s="161">
        <v>68365840.149999991</v>
      </c>
      <c r="J138" s="161">
        <v>70926509.039999992</v>
      </c>
      <c r="K138" s="161">
        <v>77507562.469999999</v>
      </c>
      <c r="L138" s="161">
        <v>78109464.709999993</v>
      </c>
      <c r="M138" s="161">
        <v>78109464.709999993</v>
      </c>
      <c r="N138" s="161">
        <v>78110717.209999993</v>
      </c>
      <c r="O138" s="149"/>
      <c r="P138" s="149"/>
      <c r="Q138" s="149"/>
      <c r="R138" s="149"/>
      <c r="S138" s="149"/>
      <c r="T138" s="149"/>
      <c r="U138" s="149"/>
      <c r="V138" s="149"/>
      <c r="W138" s="149"/>
      <c r="X138" s="161">
        <v>78110717.209999993</v>
      </c>
      <c r="Y138" s="145"/>
      <c r="Z138" s="145"/>
      <c r="AX138" s="141" t="s">
        <v>235</v>
      </c>
      <c r="AY138" s="141">
        <v>2001</v>
      </c>
      <c r="AZ138" s="141">
        <v>553076.24</v>
      </c>
      <c r="BA138" s="141">
        <v>13549466.939999999</v>
      </c>
      <c r="BB138" s="141">
        <v>39028710.25</v>
      </c>
      <c r="BC138" s="141">
        <v>49840884</v>
      </c>
      <c r="BD138" s="141">
        <v>62073294.170000002</v>
      </c>
      <c r="BE138" s="141">
        <v>65658806.350000001</v>
      </c>
      <c r="BF138" s="141">
        <v>79534482.25</v>
      </c>
      <c r="BG138" s="141">
        <v>90351135.640000001</v>
      </c>
      <c r="BH138" s="141">
        <v>90021289.659999996</v>
      </c>
      <c r="BI138" s="141">
        <v>92814545.569999993</v>
      </c>
      <c r="BJ138" s="141">
        <v>89792644.769999996</v>
      </c>
      <c r="BK138" s="141">
        <v>90077821.819999993</v>
      </c>
      <c r="BU138" s="141">
        <v>90077821.819999993</v>
      </c>
    </row>
    <row r="139" spans="1:73" ht="14.4" x14ac:dyDescent="0.3">
      <c r="A139" s="160" t="s">
        <v>237</v>
      </c>
      <c r="B139" s="161">
        <v>2005</v>
      </c>
      <c r="C139" s="161">
        <v>7751.2000000000016</v>
      </c>
      <c r="D139" s="161">
        <v>11176683.629999999</v>
      </c>
      <c r="E139" s="161">
        <v>35129454.480000004</v>
      </c>
      <c r="F139" s="161">
        <v>48109931.370000005</v>
      </c>
      <c r="G139" s="161">
        <v>51644707.080000006</v>
      </c>
      <c r="H139" s="161">
        <v>55743683.970000006</v>
      </c>
      <c r="I139" s="161">
        <v>56571820.640000001</v>
      </c>
      <c r="J139" s="161">
        <v>58217101.119999997</v>
      </c>
      <c r="K139" s="161">
        <v>58221306.929999992</v>
      </c>
      <c r="L139" s="161">
        <v>59247040.719999999</v>
      </c>
      <c r="M139" s="161">
        <v>59247040.719999999</v>
      </c>
      <c r="N139" s="149"/>
      <c r="O139" s="149"/>
      <c r="P139" s="149"/>
      <c r="Q139" s="149"/>
      <c r="R139" s="149"/>
      <c r="S139" s="149"/>
      <c r="T139" s="149"/>
      <c r="U139" s="149"/>
      <c r="V139" s="149"/>
      <c r="W139" s="149"/>
      <c r="X139" s="161">
        <v>59247040.719999999</v>
      </c>
      <c r="Y139" s="145"/>
      <c r="Z139" s="145"/>
      <c r="AX139" s="141" t="s">
        <v>235</v>
      </c>
      <c r="AY139" s="141">
        <v>2002</v>
      </c>
      <c r="AZ139" s="141">
        <v>288568.83</v>
      </c>
      <c r="BA139" s="141">
        <v>22427112.940000001</v>
      </c>
      <c r="BB139" s="141">
        <v>41981651.93</v>
      </c>
      <c r="BC139" s="141">
        <v>65347026.329999998</v>
      </c>
      <c r="BD139" s="141">
        <v>77044922.870000005</v>
      </c>
      <c r="BE139" s="141">
        <v>79103947.180000007</v>
      </c>
      <c r="BF139" s="141">
        <v>83594660.969999999</v>
      </c>
      <c r="BG139" s="141">
        <v>83479010.459999993</v>
      </c>
      <c r="BH139" s="141">
        <v>83189068.609999999</v>
      </c>
      <c r="BI139" s="141">
        <v>83620678.519999996</v>
      </c>
      <c r="BJ139" s="141">
        <v>84067371.640000001</v>
      </c>
      <c r="BU139" s="141">
        <v>84067371.640000001</v>
      </c>
    </row>
    <row r="140" spans="1:73" ht="14.4" x14ac:dyDescent="0.3">
      <c r="A140" s="160" t="s">
        <v>237</v>
      </c>
      <c r="B140" s="161">
        <v>2006</v>
      </c>
      <c r="C140" s="161">
        <v>1784339.13</v>
      </c>
      <c r="D140" s="161">
        <v>15203290.109999999</v>
      </c>
      <c r="E140" s="161">
        <v>27761065.859999996</v>
      </c>
      <c r="F140" s="161">
        <v>42917972.25</v>
      </c>
      <c r="G140" s="161">
        <v>51190413.830000006</v>
      </c>
      <c r="H140" s="161">
        <v>59355573.110000007</v>
      </c>
      <c r="I140" s="161">
        <v>63653430.819999993</v>
      </c>
      <c r="J140" s="161">
        <v>64643527.140000001</v>
      </c>
      <c r="K140" s="161">
        <v>66062139.230000004</v>
      </c>
      <c r="L140" s="161">
        <v>66062374.5</v>
      </c>
      <c r="M140" s="149"/>
      <c r="N140" s="149"/>
      <c r="O140" s="149"/>
      <c r="P140" s="149"/>
      <c r="Q140" s="149"/>
      <c r="R140" s="149"/>
      <c r="S140" s="149"/>
      <c r="T140" s="149"/>
      <c r="U140" s="149"/>
      <c r="V140" s="149"/>
      <c r="W140" s="149"/>
      <c r="X140" s="161">
        <v>66062374.5</v>
      </c>
      <c r="Y140" s="145"/>
      <c r="Z140" s="145"/>
      <c r="AX140" s="141" t="s">
        <v>235</v>
      </c>
      <c r="AY140" s="141">
        <v>2003</v>
      </c>
      <c r="AZ140" s="141">
        <v>105050.4</v>
      </c>
      <c r="BA140" s="141">
        <v>10021253.83</v>
      </c>
      <c r="BB140" s="141">
        <v>23386323.129999999</v>
      </c>
      <c r="BC140" s="141">
        <v>26778585.899999999</v>
      </c>
      <c r="BD140" s="141">
        <v>40100784.740000002</v>
      </c>
      <c r="BE140" s="141">
        <v>46709546.659999996</v>
      </c>
      <c r="BF140" s="141">
        <v>62227101.539999999</v>
      </c>
      <c r="BG140" s="141">
        <v>64817648.859999999</v>
      </c>
      <c r="BH140" s="141">
        <v>65056380.630000003</v>
      </c>
      <c r="BI140" s="141">
        <v>65850935.920000002</v>
      </c>
      <c r="BU140" s="141">
        <v>65850935.920000002</v>
      </c>
    </row>
    <row r="141" spans="1:73" ht="14.4" x14ac:dyDescent="0.3">
      <c r="A141" s="160" t="s">
        <v>237</v>
      </c>
      <c r="B141" s="161">
        <v>2007</v>
      </c>
      <c r="C141" s="161">
        <v>1777751.23</v>
      </c>
      <c r="D141" s="161">
        <v>28565765.330000006</v>
      </c>
      <c r="E141" s="161">
        <v>40811563.210000001</v>
      </c>
      <c r="F141" s="161">
        <v>49079040.409999996</v>
      </c>
      <c r="G141" s="161">
        <v>65768720.380000003</v>
      </c>
      <c r="H141" s="161">
        <v>70316384.780000001</v>
      </c>
      <c r="I141" s="161">
        <v>70657982.519999996</v>
      </c>
      <c r="J141" s="161">
        <v>68823520.620000005</v>
      </c>
      <c r="K141" s="161">
        <v>70495763.389999986</v>
      </c>
      <c r="L141" s="149"/>
      <c r="M141" s="149"/>
      <c r="N141" s="149"/>
      <c r="O141" s="149"/>
      <c r="P141" s="149"/>
      <c r="Q141" s="149"/>
      <c r="R141" s="149"/>
      <c r="S141" s="149"/>
      <c r="T141" s="149"/>
      <c r="U141" s="149"/>
      <c r="V141" s="149"/>
      <c r="W141" s="149"/>
      <c r="X141" s="161">
        <v>70495763.389999986</v>
      </c>
      <c r="Y141" s="145"/>
      <c r="Z141" s="145"/>
      <c r="AX141" s="141" t="s">
        <v>235</v>
      </c>
      <c r="AY141" s="141">
        <v>2004</v>
      </c>
      <c r="AZ141" s="141">
        <v>8393.1299999999992</v>
      </c>
      <c r="BA141" s="141">
        <v>12160305.279999999</v>
      </c>
      <c r="BB141" s="141">
        <v>23445463.030000001</v>
      </c>
      <c r="BC141" s="141">
        <v>49495372.640000001</v>
      </c>
      <c r="BD141" s="141">
        <v>62806685.210000001</v>
      </c>
      <c r="BE141" s="141">
        <v>67906029.530000001</v>
      </c>
      <c r="BF141" s="141">
        <v>68365840.150000006</v>
      </c>
      <c r="BG141" s="141">
        <v>70926509.040000007</v>
      </c>
      <c r="BH141" s="141">
        <v>77507562.469999999</v>
      </c>
      <c r="BU141" s="141">
        <v>77507562.469999999</v>
      </c>
    </row>
    <row r="142" spans="1:73" ht="14.4" x14ac:dyDescent="0.3">
      <c r="A142" s="160" t="s">
        <v>237</v>
      </c>
      <c r="B142" s="161">
        <v>2008</v>
      </c>
      <c r="C142" s="161">
        <v>471990.5</v>
      </c>
      <c r="D142" s="161">
        <v>23194917.059999999</v>
      </c>
      <c r="E142" s="161">
        <v>46357640.330000006</v>
      </c>
      <c r="F142" s="161">
        <v>60023272.019999996</v>
      </c>
      <c r="G142" s="161">
        <v>67758461.560000002</v>
      </c>
      <c r="H142" s="161">
        <v>74570353.769999996</v>
      </c>
      <c r="I142" s="161">
        <v>75270184.200000003</v>
      </c>
      <c r="J142" s="161">
        <v>76954798.609999999</v>
      </c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61">
        <v>76954798.609999999</v>
      </c>
      <c r="Y142" s="145"/>
      <c r="Z142" s="145"/>
      <c r="AX142" s="141" t="s">
        <v>235</v>
      </c>
      <c r="AY142" s="141">
        <v>2005</v>
      </c>
      <c r="AZ142" s="141">
        <v>7751.2</v>
      </c>
      <c r="BA142" s="141">
        <v>11176683.630000001</v>
      </c>
      <c r="BB142" s="141">
        <v>35129454.479999997</v>
      </c>
      <c r="BC142" s="141">
        <v>48109931.369999997</v>
      </c>
      <c r="BD142" s="141">
        <v>51644707.079999998</v>
      </c>
      <c r="BE142" s="141">
        <v>55743683.969999999</v>
      </c>
      <c r="BF142" s="141">
        <v>56571820.640000001</v>
      </c>
      <c r="BG142" s="141">
        <v>58217101.119999997</v>
      </c>
      <c r="BU142" s="141">
        <v>58217101.119999997</v>
      </c>
    </row>
    <row r="143" spans="1:73" ht="14.4" x14ac:dyDescent="0.3">
      <c r="A143" s="160" t="s">
        <v>237</v>
      </c>
      <c r="B143" s="161">
        <v>2009</v>
      </c>
      <c r="C143" s="161">
        <v>1002450.8300000001</v>
      </c>
      <c r="D143" s="161">
        <v>10874624.75</v>
      </c>
      <c r="E143" s="161">
        <v>55001657</v>
      </c>
      <c r="F143" s="161">
        <v>73724710.790000007</v>
      </c>
      <c r="G143" s="161">
        <v>85012715.340000004</v>
      </c>
      <c r="H143" s="161">
        <v>91655135.949999988</v>
      </c>
      <c r="I143" s="161">
        <v>93773545.810000002</v>
      </c>
      <c r="J143" s="149"/>
      <c r="K143" s="149"/>
      <c r="L143" s="149"/>
      <c r="M143" s="149"/>
      <c r="N143" s="149"/>
      <c r="O143" s="149"/>
      <c r="P143" s="149"/>
      <c r="Q143" s="149"/>
      <c r="R143" s="149"/>
      <c r="S143" s="149"/>
      <c r="T143" s="149"/>
      <c r="U143" s="149"/>
      <c r="V143" s="149"/>
      <c r="W143" s="149"/>
      <c r="X143" s="161">
        <v>93773545.810000002</v>
      </c>
      <c r="Y143" s="145"/>
      <c r="Z143" s="145"/>
      <c r="AX143" s="141" t="s">
        <v>235</v>
      </c>
      <c r="AY143" s="141">
        <v>2006</v>
      </c>
      <c r="AZ143" s="141">
        <v>1784339.13</v>
      </c>
      <c r="BA143" s="141">
        <v>15203290.109999999</v>
      </c>
      <c r="BB143" s="141">
        <v>27761065.859999999</v>
      </c>
      <c r="BC143" s="141">
        <v>42917972.25</v>
      </c>
      <c r="BD143" s="141">
        <v>51190413.829999998</v>
      </c>
      <c r="BE143" s="141">
        <v>59355573.109999999</v>
      </c>
      <c r="BF143" s="141">
        <v>63653430.82</v>
      </c>
      <c r="BU143" s="141">
        <v>63653430.82</v>
      </c>
    </row>
    <row r="144" spans="1:73" ht="14.4" x14ac:dyDescent="0.3">
      <c r="A144" s="160" t="s">
        <v>237</v>
      </c>
      <c r="B144" s="161">
        <v>2010</v>
      </c>
      <c r="C144" s="161">
        <v>62267.7</v>
      </c>
      <c r="D144" s="161">
        <v>28684754.009999998</v>
      </c>
      <c r="E144" s="161">
        <v>44664691.280000001</v>
      </c>
      <c r="F144" s="161">
        <v>69083130.280000001</v>
      </c>
      <c r="G144" s="161">
        <v>99964151.219999999</v>
      </c>
      <c r="H144" s="161">
        <v>108171894.53</v>
      </c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149"/>
      <c r="W144" s="149"/>
      <c r="X144" s="161">
        <v>108171894.53</v>
      </c>
      <c r="Y144" s="145"/>
      <c r="Z144" s="145"/>
      <c r="AX144" s="141" t="s">
        <v>235</v>
      </c>
      <c r="AY144" s="141">
        <v>2007</v>
      </c>
      <c r="AZ144" s="141">
        <v>1777751.23</v>
      </c>
      <c r="BA144" s="141">
        <v>28565765.329999998</v>
      </c>
      <c r="BB144" s="141">
        <v>40811563.210000001</v>
      </c>
      <c r="BC144" s="141">
        <v>49079040.409999996</v>
      </c>
      <c r="BD144" s="141">
        <v>65768720.380000003</v>
      </c>
      <c r="BE144" s="141">
        <v>70316384.780000001</v>
      </c>
      <c r="BU144" s="141">
        <v>70316384.780000001</v>
      </c>
    </row>
    <row r="145" spans="1:73" ht="14.4" x14ac:dyDescent="0.3">
      <c r="A145" s="160" t="s">
        <v>237</v>
      </c>
      <c r="B145" s="161">
        <v>2011</v>
      </c>
      <c r="C145" s="161">
        <v>164455.66</v>
      </c>
      <c r="D145" s="161">
        <v>31417339.550000001</v>
      </c>
      <c r="E145" s="161">
        <v>50038942.009999998</v>
      </c>
      <c r="F145" s="161">
        <v>85341415.350000009</v>
      </c>
      <c r="G145" s="161">
        <v>114446386.96000001</v>
      </c>
      <c r="H145" s="149"/>
      <c r="I145" s="149"/>
      <c r="J145" s="149"/>
      <c r="K145" s="149"/>
      <c r="L145" s="149"/>
      <c r="M145" s="149"/>
      <c r="N145" s="149"/>
      <c r="O145" s="149"/>
      <c r="P145" s="149"/>
      <c r="Q145" s="149"/>
      <c r="R145" s="149"/>
      <c r="S145" s="149"/>
      <c r="T145" s="149"/>
      <c r="U145" s="149"/>
      <c r="V145" s="149"/>
      <c r="W145" s="149"/>
      <c r="X145" s="161">
        <v>114446386.96000001</v>
      </c>
      <c r="Y145" s="145"/>
      <c r="Z145" s="145"/>
      <c r="AX145" s="141" t="s">
        <v>235</v>
      </c>
      <c r="AY145" s="141">
        <v>2008</v>
      </c>
      <c r="AZ145" s="141">
        <v>471990.5</v>
      </c>
      <c r="BA145" s="141">
        <v>23194917.059999999</v>
      </c>
      <c r="BB145" s="141">
        <v>46357640.329999998</v>
      </c>
      <c r="BC145" s="141">
        <v>60023272.020000003</v>
      </c>
      <c r="BD145" s="141">
        <v>67758461.560000002</v>
      </c>
      <c r="BU145" s="141">
        <v>67758461.560000002</v>
      </c>
    </row>
    <row r="146" spans="1:73" ht="14.4" x14ac:dyDescent="0.3">
      <c r="A146" s="160" t="s">
        <v>237</v>
      </c>
      <c r="B146" s="161">
        <v>2012</v>
      </c>
      <c r="C146" s="161">
        <v>1253386.45</v>
      </c>
      <c r="D146" s="161">
        <v>27908019.489999998</v>
      </c>
      <c r="E146" s="161">
        <v>50966492.880000003</v>
      </c>
      <c r="F146" s="161">
        <v>77000231.11999999</v>
      </c>
      <c r="G146" s="149"/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149"/>
      <c r="W146" s="149"/>
      <c r="X146" s="161">
        <v>77000231.11999999</v>
      </c>
      <c r="Y146" s="145"/>
      <c r="Z146" s="145"/>
      <c r="AX146" s="141" t="s">
        <v>235</v>
      </c>
      <c r="AY146" s="141">
        <v>2009</v>
      </c>
      <c r="AZ146" s="141">
        <v>1002450.83</v>
      </c>
      <c r="BA146" s="141">
        <v>10874624.75</v>
      </c>
      <c r="BB146" s="141">
        <v>55001657</v>
      </c>
      <c r="BC146" s="141">
        <v>73724710.790000007</v>
      </c>
      <c r="BU146" s="141">
        <v>73724710.790000007</v>
      </c>
    </row>
    <row r="147" spans="1:73" ht="14.4" x14ac:dyDescent="0.3">
      <c r="A147" s="160" t="s">
        <v>237</v>
      </c>
      <c r="B147" s="161">
        <v>2013</v>
      </c>
      <c r="C147" s="161">
        <v>679370.6</v>
      </c>
      <c r="D147" s="161">
        <v>22326148.02</v>
      </c>
      <c r="E147" s="161">
        <v>55385961.460000001</v>
      </c>
      <c r="F147" s="149"/>
      <c r="G147" s="149"/>
      <c r="H147" s="149"/>
      <c r="I147" s="149"/>
      <c r="J147" s="149"/>
      <c r="K147" s="149"/>
      <c r="L147" s="149"/>
      <c r="M147" s="149"/>
      <c r="N147" s="149"/>
      <c r="O147" s="149"/>
      <c r="P147" s="149"/>
      <c r="Q147" s="149"/>
      <c r="R147" s="149"/>
      <c r="S147" s="149"/>
      <c r="T147" s="149"/>
      <c r="U147" s="149"/>
      <c r="V147" s="149"/>
      <c r="W147" s="149"/>
      <c r="X147" s="161">
        <v>55385961.460000001</v>
      </c>
      <c r="Y147" s="145"/>
      <c r="Z147" s="145"/>
      <c r="AX147" s="141" t="s">
        <v>235</v>
      </c>
      <c r="AY147" s="141">
        <v>2010</v>
      </c>
      <c r="AZ147" s="141">
        <v>62267.7</v>
      </c>
      <c r="BA147" s="141">
        <v>28684754.010000002</v>
      </c>
      <c r="BB147" s="141">
        <v>44664691.280000001</v>
      </c>
      <c r="BU147" s="141">
        <v>44664691.280000001</v>
      </c>
    </row>
    <row r="148" spans="1:73" ht="14.4" x14ac:dyDescent="0.3">
      <c r="A148" s="160" t="s">
        <v>237</v>
      </c>
      <c r="B148" s="161">
        <v>2014</v>
      </c>
      <c r="C148" s="161">
        <v>2914751.28</v>
      </c>
      <c r="D148" s="161">
        <v>15859945.49</v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149"/>
      <c r="W148" s="149"/>
      <c r="X148" s="161">
        <v>15859945.49</v>
      </c>
      <c r="Y148" s="145"/>
      <c r="Z148" s="145"/>
      <c r="AX148" s="141" t="s">
        <v>235</v>
      </c>
      <c r="AY148" s="141">
        <v>2011</v>
      </c>
      <c r="AZ148" s="141">
        <v>164455.66</v>
      </c>
      <c r="BA148" s="141">
        <v>31417339.550000001</v>
      </c>
      <c r="BU148" s="141">
        <v>31417339.550000001</v>
      </c>
    </row>
    <row r="149" spans="1:73" ht="14.4" x14ac:dyDescent="0.3">
      <c r="A149" s="160" t="s">
        <v>237</v>
      </c>
      <c r="B149" s="161">
        <v>2015</v>
      </c>
      <c r="C149" s="161">
        <v>4019.27</v>
      </c>
      <c r="D149" s="149"/>
      <c r="E149" s="149"/>
      <c r="F149" s="149"/>
      <c r="G149" s="149"/>
      <c r="H149" s="149"/>
      <c r="I149" s="149"/>
      <c r="J149" s="149"/>
      <c r="K149" s="149"/>
      <c r="L149" s="149"/>
      <c r="M149" s="149"/>
      <c r="N149" s="149"/>
      <c r="O149" s="149"/>
      <c r="P149" s="149"/>
      <c r="Q149" s="149"/>
      <c r="R149" s="149"/>
      <c r="S149" s="149"/>
      <c r="T149" s="149"/>
      <c r="U149" s="149"/>
      <c r="V149" s="149"/>
      <c r="W149" s="149"/>
      <c r="X149" s="161">
        <v>4019.27</v>
      </c>
      <c r="Y149" s="145"/>
      <c r="Z149" s="145"/>
      <c r="AX149" s="141" t="s">
        <v>235</v>
      </c>
      <c r="AY149" s="141">
        <v>2012</v>
      </c>
      <c r="AZ149" s="141">
        <v>1253386.45</v>
      </c>
      <c r="BU149" s="141">
        <v>1253386.45</v>
      </c>
    </row>
    <row r="150" spans="1:73" ht="14.4" x14ac:dyDescent="0.3">
      <c r="A150" s="160" t="s">
        <v>238</v>
      </c>
      <c r="B150" s="161">
        <v>1995</v>
      </c>
      <c r="C150" s="161">
        <v>0</v>
      </c>
      <c r="D150" s="161">
        <v>1083236.67</v>
      </c>
      <c r="E150" s="161">
        <v>3664425.53</v>
      </c>
      <c r="F150" s="161">
        <v>5139808.0200000005</v>
      </c>
      <c r="G150" s="161">
        <v>10064427.26</v>
      </c>
      <c r="H150" s="161">
        <v>12602501.02</v>
      </c>
      <c r="I150" s="161">
        <v>17484597.68</v>
      </c>
      <c r="J150" s="161">
        <v>22097698.449999999</v>
      </c>
      <c r="K150" s="161">
        <v>25653782.729999997</v>
      </c>
      <c r="L150" s="161">
        <v>29986756.149999999</v>
      </c>
      <c r="M150" s="161">
        <v>34056818.82</v>
      </c>
      <c r="N150" s="161">
        <v>37733488.140000001</v>
      </c>
      <c r="O150" s="161">
        <v>44144656.859999999</v>
      </c>
      <c r="P150" s="161">
        <v>50900892.930000007</v>
      </c>
      <c r="Q150" s="161">
        <v>56302794.880000003</v>
      </c>
      <c r="R150" s="161">
        <v>61344584.689999998</v>
      </c>
      <c r="S150" s="161">
        <v>67928594.289999992</v>
      </c>
      <c r="T150" s="161">
        <v>73582523.120000005</v>
      </c>
      <c r="U150" s="161">
        <v>80051242.590000004</v>
      </c>
      <c r="V150" s="161">
        <v>84728370.310000002</v>
      </c>
      <c r="W150" s="161">
        <v>88774675.039999992</v>
      </c>
      <c r="X150" s="161">
        <v>88774675.039999992</v>
      </c>
      <c r="Y150" s="145"/>
      <c r="Z150" s="145"/>
      <c r="AX150" s="141" t="s">
        <v>236</v>
      </c>
      <c r="AY150" s="141">
        <v>1992</v>
      </c>
      <c r="AZ150" s="141">
        <v>0</v>
      </c>
      <c r="BA150" s="141">
        <v>0</v>
      </c>
      <c r="BB150" s="141">
        <v>0</v>
      </c>
      <c r="BC150" s="141">
        <v>0</v>
      </c>
      <c r="BD150" s="141">
        <v>0</v>
      </c>
      <c r="BE150" s="141">
        <v>0</v>
      </c>
      <c r="BF150" s="141">
        <v>0</v>
      </c>
      <c r="BG150" s="141">
        <v>0</v>
      </c>
      <c r="BH150" s="141">
        <v>0</v>
      </c>
      <c r="BI150" s="141">
        <v>0</v>
      </c>
      <c r="BJ150" s="141">
        <v>0</v>
      </c>
      <c r="BK150" s="141">
        <v>0</v>
      </c>
      <c r="BL150" s="141">
        <v>0</v>
      </c>
      <c r="BM150" s="141">
        <v>0</v>
      </c>
      <c r="BN150" s="141">
        <v>0</v>
      </c>
      <c r="BO150" s="141">
        <v>0</v>
      </c>
      <c r="BP150" s="141">
        <v>0</v>
      </c>
      <c r="BQ150" s="141">
        <v>0</v>
      </c>
      <c r="BR150" s="141">
        <v>0</v>
      </c>
      <c r="BS150" s="141">
        <v>0</v>
      </c>
      <c r="BT150" s="141">
        <v>0</v>
      </c>
      <c r="BU150" s="141">
        <v>0</v>
      </c>
    </row>
    <row r="151" spans="1:73" ht="14.4" x14ac:dyDescent="0.3">
      <c r="A151" s="160" t="s">
        <v>238</v>
      </c>
      <c r="B151" s="161">
        <v>1996</v>
      </c>
      <c r="C151" s="161">
        <v>0</v>
      </c>
      <c r="D151" s="161">
        <v>517115.46</v>
      </c>
      <c r="E151" s="161">
        <v>1405572.4199999997</v>
      </c>
      <c r="F151" s="161">
        <v>3764249.7600000002</v>
      </c>
      <c r="G151" s="161">
        <v>5037431.0200000005</v>
      </c>
      <c r="H151" s="161">
        <v>6854319.7699999996</v>
      </c>
      <c r="I151" s="161">
        <v>10309564.810000001</v>
      </c>
      <c r="J151" s="161">
        <v>13548282.83</v>
      </c>
      <c r="K151" s="161">
        <v>19319448.66</v>
      </c>
      <c r="L151" s="161">
        <v>25263391.27</v>
      </c>
      <c r="M151" s="161">
        <v>29871002.5</v>
      </c>
      <c r="N151" s="161">
        <v>31548511.449999999</v>
      </c>
      <c r="O151" s="161">
        <v>35135780.270000003</v>
      </c>
      <c r="P151" s="161">
        <v>42013879.830000006</v>
      </c>
      <c r="Q151" s="161">
        <v>49199175.400000006</v>
      </c>
      <c r="R151" s="161">
        <v>68768439.640000001</v>
      </c>
      <c r="S151" s="161">
        <v>73951005.010000005</v>
      </c>
      <c r="T151" s="161">
        <v>82085338.090000004</v>
      </c>
      <c r="U151" s="161">
        <v>87338871.980000004</v>
      </c>
      <c r="V151" s="161">
        <v>91323904.940000013</v>
      </c>
      <c r="W151" s="149"/>
      <c r="X151" s="161">
        <v>91323904.940000013</v>
      </c>
      <c r="Y151" s="145"/>
      <c r="Z151" s="145"/>
      <c r="AX151" s="141" t="s">
        <v>236</v>
      </c>
      <c r="AY151" s="141">
        <v>1993</v>
      </c>
      <c r="AZ151" s="141">
        <v>0</v>
      </c>
      <c r="BA151" s="141">
        <v>0</v>
      </c>
      <c r="BB151" s="141">
        <v>0</v>
      </c>
      <c r="BC151" s="141">
        <v>0</v>
      </c>
      <c r="BD151" s="141">
        <v>0</v>
      </c>
      <c r="BE151" s="141">
        <v>0</v>
      </c>
      <c r="BF151" s="141">
        <v>0</v>
      </c>
      <c r="BG151" s="141">
        <v>0</v>
      </c>
      <c r="BH151" s="141">
        <v>0</v>
      </c>
      <c r="BI151" s="141">
        <v>0</v>
      </c>
      <c r="BJ151" s="141">
        <v>0</v>
      </c>
      <c r="BK151" s="141">
        <v>0</v>
      </c>
      <c r="BL151" s="141">
        <v>0</v>
      </c>
      <c r="BM151" s="141">
        <v>0</v>
      </c>
      <c r="BN151" s="141">
        <v>0</v>
      </c>
      <c r="BO151" s="141">
        <v>0</v>
      </c>
      <c r="BP151" s="141">
        <v>0</v>
      </c>
      <c r="BQ151" s="141">
        <v>0</v>
      </c>
      <c r="BR151" s="141">
        <v>0</v>
      </c>
      <c r="BS151" s="141">
        <v>0</v>
      </c>
      <c r="BU151" s="141">
        <v>0</v>
      </c>
    </row>
    <row r="152" spans="1:73" ht="14.4" x14ac:dyDescent="0.3">
      <c r="A152" s="160" t="s">
        <v>238</v>
      </c>
      <c r="B152" s="161">
        <v>1997</v>
      </c>
      <c r="C152" s="42">
        <f>D152/10.3709/1.1</f>
        <v>103624.75072295818</v>
      </c>
      <c r="D152" s="161">
        <v>1182150.1199999999</v>
      </c>
      <c r="E152" s="161">
        <v>4926027.88</v>
      </c>
      <c r="F152" s="161">
        <v>8435580.5099999998</v>
      </c>
      <c r="G152" s="161">
        <v>12449595.470000001</v>
      </c>
      <c r="H152" s="161">
        <v>15501377.749999998</v>
      </c>
      <c r="I152" s="161">
        <v>23351369.219999999</v>
      </c>
      <c r="J152" s="161">
        <v>32870434.890000001</v>
      </c>
      <c r="K152" s="161">
        <v>40727551.020000003</v>
      </c>
      <c r="L152" s="161">
        <v>46907957.789999999</v>
      </c>
      <c r="M152" s="161">
        <v>58698744.490000002</v>
      </c>
      <c r="N152" s="161">
        <v>64874487.520000003</v>
      </c>
      <c r="O152" s="161">
        <v>70397498.560000002</v>
      </c>
      <c r="P152" s="161">
        <v>75427290.609999999</v>
      </c>
      <c r="Q152" s="161">
        <v>87625903.290000007</v>
      </c>
      <c r="R152" s="161">
        <v>92393206.620000005</v>
      </c>
      <c r="S152" s="161">
        <v>97129157.660000011</v>
      </c>
      <c r="T152" s="161">
        <v>102725136.33</v>
      </c>
      <c r="U152" s="161">
        <v>112911320.96000001</v>
      </c>
      <c r="V152" s="149"/>
      <c r="W152" s="149"/>
      <c r="X152" s="161">
        <v>112911320.96000001</v>
      </c>
      <c r="Y152" s="145"/>
      <c r="Z152" s="145"/>
      <c r="AX152" s="141" t="s">
        <v>236</v>
      </c>
      <c r="AY152" s="141">
        <v>1994</v>
      </c>
      <c r="AZ152" s="141">
        <v>0</v>
      </c>
      <c r="BA152" s="141">
        <v>1948245.28</v>
      </c>
      <c r="BB152" s="141">
        <v>3303745.89</v>
      </c>
      <c r="BC152" s="141">
        <v>4995719.87</v>
      </c>
      <c r="BD152" s="141">
        <v>5665659.5700000003</v>
      </c>
      <c r="BE152" s="141">
        <v>6739451.46</v>
      </c>
      <c r="BF152" s="141">
        <v>7212038.6900000004</v>
      </c>
      <c r="BG152" s="141">
        <v>8664135.1300000008</v>
      </c>
      <c r="BH152" s="141">
        <v>10134863.9</v>
      </c>
      <c r="BI152" s="141">
        <v>12231395.859999999</v>
      </c>
      <c r="BJ152" s="141">
        <v>14633097.57</v>
      </c>
      <c r="BK152" s="141">
        <v>17222243.280000001</v>
      </c>
      <c r="BL152" s="141">
        <v>18319688.699999999</v>
      </c>
      <c r="BM152" s="141">
        <v>24152530.609999999</v>
      </c>
      <c r="BN152" s="141">
        <v>26340443.010000002</v>
      </c>
      <c r="BO152" s="141">
        <v>30617902.609999999</v>
      </c>
      <c r="BP152" s="141">
        <v>33297489.289999999</v>
      </c>
      <c r="BQ152" s="141">
        <v>49615703.090000004</v>
      </c>
      <c r="BR152" s="141">
        <v>52970938.350000001</v>
      </c>
      <c r="BU152" s="141">
        <v>52970938.350000001</v>
      </c>
    </row>
    <row r="153" spans="1:73" ht="14.4" x14ac:dyDescent="0.3">
      <c r="A153" s="160" t="s">
        <v>238</v>
      </c>
      <c r="B153" s="161">
        <v>1998</v>
      </c>
      <c r="C153" s="161">
        <v>0</v>
      </c>
      <c r="D153" s="161">
        <v>1321695.6099999999</v>
      </c>
      <c r="E153" s="161">
        <v>5241260.8100000005</v>
      </c>
      <c r="F153" s="161">
        <v>11195172.809999999</v>
      </c>
      <c r="G153" s="161">
        <v>18102226.580000002</v>
      </c>
      <c r="H153" s="161">
        <v>23155397.760000002</v>
      </c>
      <c r="I153" s="161">
        <v>32590156.770000003</v>
      </c>
      <c r="J153" s="161">
        <v>40584640.329999998</v>
      </c>
      <c r="K153" s="161">
        <v>47777246.010000005</v>
      </c>
      <c r="L153" s="161">
        <v>56323863.669999994</v>
      </c>
      <c r="M153" s="161">
        <v>66851777.950000003</v>
      </c>
      <c r="N153" s="161">
        <v>75661772.140000001</v>
      </c>
      <c r="O153" s="161">
        <v>82452620.609999999</v>
      </c>
      <c r="P153" s="161">
        <v>110864006.2</v>
      </c>
      <c r="Q153" s="161">
        <v>117344539.01000001</v>
      </c>
      <c r="R153" s="161">
        <v>133572108.35000001</v>
      </c>
      <c r="S153" s="161">
        <v>139682077.06999999</v>
      </c>
      <c r="T153" s="161">
        <v>146271479.67000002</v>
      </c>
      <c r="U153" s="149"/>
      <c r="V153" s="149"/>
      <c r="W153" s="149"/>
      <c r="X153" s="161">
        <v>146271479.67000002</v>
      </c>
      <c r="Y153" s="145"/>
      <c r="Z153" s="145"/>
      <c r="AX153" s="141" t="s">
        <v>236</v>
      </c>
      <c r="AY153" s="141">
        <v>1995</v>
      </c>
      <c r="AZ153" s="141">
        <v>0</v>
      </c>
      <c r="BA153" s="141">
        <v>1083236.67</v>
      </c>
      <c r="BB153" s="141">
        <v>3664425.53</v>
      </c>
      <c r="BC153" s="141">
        <v>5139808.0199999996</v>
      </c>
      <c r="BD153" s="141">
        <v>10064427.26</v>
      </c>
      <c r="BE153" s="141">
        <v>12602501.02</v>
      </c>
      <c r="BF153" s="141">
        <v>17484597.68</v>
      </c>
      <c r="BG153" s="141">
        <v>22097698.449999999</v>
      </c>
      <c r="BH153" s="141">
        <v>25653573.73</v>
      </c>
      <c r="BI153" s="141">
        <v>29986547.149999999</v>
      </c>
      <c r="BJ153" s="141">
        <v>34056609.82</v>
      </c>
      <c r="BK153" s="141">
        <v>37733279.140000001</v>
      </c>
      <c r="BL153" s="141">
        <v>43959531.68</v>
      </c>
      <c r="BM153" s="141">
        <v>50715767.75</v>
      </c>
      <c r="BN153" s="141">
        <v>56117669.700000003</v>
      </c>
      <c r="BO153" s="141">
        <v>61159459.509999998</v>
      </c>
      <c r="BP153" s="141">
        <v>67510331.319999993</v>
      </c>
      <c r="BQ153" s="141">
        <v>73164260.150000006</v>
      </c>
      <c r="BU153" s="141">
        <v>73164260.150000006</v>
      </c>
    </row>
    <row r="154" spans="1:73" ht="14.4" x14ac:dyDescent="0.3">
      <c r="A154" s="160" t="s">
        <v>238</v>
      </c>
      <c r="B154" s="161">
        <v>1999</v>
      </c>
      <c r="C154" s="161">
        <v>508845.62</v>
      </c>
      <c r="D154" s="161">
        <v>2598952.61</v>
      </c>
      <c r="E154" s="161">
        <v>8787104.709999999</v>
      </c>
      <c r="F154" s="161">
        <v>13625439.059999999</v>
      </c>
      <c r="G154" s="161">
        <v>21472146.799999997</v>
      </c>
      <c r="H154" s="161">
        <v>30412499.699999999</v>
      </c>
      <c r="I154" s="161">
        <v>37400516.369999997</v>
      </c>
      <c r="J154" s="161">
        <v>46151863.140000001</v>
      </c>
      <c r="K154" s="161">
        <v>56691758.990000002</v>
      </c>
      <c r="L154" s="161">
        <v>70152983.370000005</v>
      </c>
      <c r="M154" s="161">
        <v>78877511.25999999</v>
      </c>
      <c r="N154" s="161">
        <v>86611097.909999996</v>
      </c>
      <c r="O154" s="161">
        <v>92197107.879999995</v>
      </c>
      <c r="P154" s="161">
        <v>99796027.650000006</v>
      </c>
      <c r="Q154" s="161">
        <v>118399521.77</v>
      </c>
      <c r="R154" s="161">
        <v>125610171.8</v>
      </c>
      <c r="S154" s="161">
        <v>133593335.19000001</v>
      </c>
      <c r="T154" s="149"/>
      <c r="U154" s="149"/>
      <c r="V154" s="149"/>
      <c r="W154" s="149"/>
      <c r="X154" s="161">
        <v>133593335.19000001</v>
      </c>
      <c r="Y154" s="145"/>
      <c r="Z154" s="145"/>
      <c r="AX154" s="141" t="s">
        <v>236</v>
      </c>
      <c r="AY154" s="141">
        <v>1996</v>
      </c>
      <c r="AZ154" s="141">
        <v>0</v>
      </c>
      <c r="BA154" s="141">
        <v>517115.46</v>
      </c>
      <c r="BB154" s="141">
        <v>1405572.42</v>
      </c>
      <c r="BC154" s="141">
        <v>3764249.76</v>
      </c>
      <c r="BD154" s="141">
        <v>5037431.0199999996</v>
      </c>
      <c r="BE154" s="141">
        <v>6854319.7699999996</v>
      </c>
      <c r="BF154" s="141">
        <v>10309564.810000001</v>
      </c>
      <c r="BG154" s="141">
        <v>13548282.83</v>
      </c>
      <c r="BH154" s="141">
        <v>19319448.66</v>
      </c>
      <c r="BI154" s="141">
        <v>25369235.68</v>
      </c>
      <c r="BJ154" s="141">
        <v>30134382</v>
      </c>
      <c r="BK154" s="141">
        <v>31940390.079999998</v>
      </c>
      <c r="BL154" s="141">
        <v>35611242.149999999</v>
      </c>
      <c r="BM154" s="141">
        <v>42548605.619999997</v>
      </c>
      <c r="BN154" s="141">
        <v>49816627.869999997</v>
      </c>
      <c r="BO154" s="141">
        <v>69491915.200000003</v>
      </c>
      <c r="BP154" s="141">
        <v>74753631.430000007</v>
      </c>
      <c r="BU154" s="141">
        <v>74753631.430000007</v>
      </c>
    </row>
    <row r="155" spans="1:73" ht="14.4" x14ac:dyDescent="0.3">
      <c r="A155" s="160" t="s">
        <v>238</v>
      </c>
      <c r="B155" s="161">
        <v>2000</v>
      </c>
      <c r="C155" s="161">
        <v>129889.67</v>
      </c>
      <c r="D155" s="161">
        <v>3857349.96</v>
      </c>
      <c r="E155" s="161">
        <v>7919341.9500000002</v>
      </c>
      <c r="F155" s="161">
        <v>15911798.270000001</v>
      </c>
      <c r="G155" s="161">
        <v>23653861.59</v>
      </c>
      <c r="H155" s="161">
        <v>30292210.280000001</v>
      </c>
      <c r="I155" s="161">
        <v>37657160.659999996</v>
      </c>
      <c r="J155" s="161">
        <v>56977163.030000001</v>
      </c>
      <c r="K155" s="161">
        <v>67712914.960000008</v>
      </c>
      <c r="L155" s="161">
        <v>76114767.11999999</v>
      </c>
      <c r="M155" s="161">
        <v>106799646.36999999</v>
      </c>
      <c r="N155" s="161">
        <v>125540246.25</v>
      </c>
      <c r="O155" s="161">
        <v>133710330.28</v>
      </c>
      <c r="P155" s="161">
        <v>161089442.12</v>
      </c>
      <c r="Q155" s="161">
        <v>170261485.03</v>
      </c>
      <c r="R155" s="161">
        <v>181556119.88</v>
      </c>
      <c r="S155" s="149"/>
      <c r="T155" s="149"/>
      <c r="U155" s="149"/>
      <c r="V155" s="149"/>
      <c r="W155" s="149"/>
      <c r="X155" s="161">
        <v>181556119.88</v>
      </c>
      <c r="Y155" s="145"/>
      <c r="Z155" s="145"/>
      <c r="AX155" s="141" t="s">
        <v>236</v>
      </c>
      <c r="AY155" s="141">
        <v>1997</v>
      </c>
      <c r="AZ155" s="141">
        <v>493.54</v>
      </c>
      <c r="BA155" s="141">
        <v>1182150.1200000001</v>
      </c>
      <c r="BB155" s="141">
        <v>4926027.88</v>
      </c>
      <c r="BC155" s="141">
        <v>8435580.5099999998</v>
      </c>
      <c r="BD155" s="141">
        <v>12449595.470000001</v>
      </c>
      <c r="BE155" s="141">
        <v>15501377.75</v>
      </c>
      <c r="BF155" s="141">
        <v>23351369.219999999</v>
      </c>
      <c r="BG155" s="141">
        <v>32870434.890000001</v>
      </c>
      <c r="BH155" s="141">
        <v>40621706.609999999</v>
      </c>
      <c r="BI155" s="141">
        <v>46644578.289999999</v>
      </c>
      <c r="BJ155" s="141">
        <v>58306865.859999999</v>
      </c>
      <c r="BK155" s="141">
        <v>64399025.640000001</v>
      </c>
      <c r="BL155" s="141">
        <v>69862772.769999996</v>
      </c>
      <c r="BM155" s="141">
        <v>74810850.640000001</v>
      </c>
      <c r="BN155" s="141">
        <v>86906162.730000004</v>
      </c>
      <c r="BO155" s="141">
        <v>91594472.700000003</v>
      </c>
      <c r="BU155" s="141">
        <v>91594472.700000003</v>
      </c>
    </row>
    <row r="156" spans="1:73" ht="14.4" x14ac:dyDescent="0.3">
      <c r="A156" s="160" t="s">
        <v>238</v>
      </c>
      <c r="B156" s="161">
        <v>2001</v>
      </c>
      <c r="C156" s="161">
        <v>1721619.77</v>
      </c>
      <c r="D156" s="161">
        <v>4691915.54</v>
      </c>
      <c r="E156" s="161">
        <v>10609731.85</v>
      </c>
      <c r="F156" s="161">
        <v>13587387.029999999</v>
      </c>
      <c r="G156" s="161">
        <v>19094508.600000001</v>
      </c>
      <c r="H156" s="161">
        <v>27401835.960000001</v>
      </c>
      <c r="I156" s="161">
        <v>35638304.390000001</v>
      </c>
      <c r="J156" s="161">
        <v>44598983.600000001</v>
      </c>
      <c r="K156" s="161">
        <v>55099119.909999996</v>
      </c>
      <c r="L156" s="161">
        <v>63908937.170000002</v>
      </c>
      <c r="M156" s="161">
        <v>80330758.329999998</v>
      </c>
      <c r="N156" s="161">
        <v>88345156.069999993</v>
      </c>
      <c r="O156" s="161">
        <v>106496635.95</v>
      </c>
      <c r="P156" s="161">
        <v>119650471.31</v>
      </c>
      <c r="Q156" s="161">
        <v>128138583.42999999</v>
      </c>
      <c r="R156" s="149"/>
      <c r="S156" s="149"/>
      <c r="T156" s="149"/>
      <c r="U156" s="149"/>
      <c r="V156" s="149"/>
      <c r="W156" s="149"/>
      <c r="X156" s="161">
        <v>128138583.42999999</v>
      </c>
      <c r="Y156" s="145"/>
      <c r="Z156" s="145"/>
      <c r="AX156" s="141" t="s">
        <v>236</v>
      </c>
      <c r="AY156" s="141">
        <v>1998</v>
      </c>
      <c r="AZ156" s="141">
        <v>0</v>
      </c>
      <c r="BA156" s="141">
        <v>1321695.6100000001</v>
      </c>
      <c r="BB156" s="141">
        <v>5241260.8099999996</v>
      </c>
      <c r="BC156" s="141">
        <v>11195172.810000001</v>
      </c>
      <c r="BD156" s="141">
        <v>18102226.579999998</v>
      </c>
      <c r="BE156" s="141">
        <v>23155397.760000002</v>
      </c>
      <c r="BF156" s="141">
        <v>32590156.77</v>
      </c>
      <c r="BG156" s="141">
        <v>40584640.329999998</v>
      </c>
      <c r="BH156" s="141">
        <v>47777246.009999998</v>
      </c>
      <c r="BI156" s="141">
        <v>56323863.670000002</v>
      </c>
      <c r="BJ156" s="141">
        <v>66851777.950000003</v>
      </c>
      <c r="BK156" s="141">
        <v>75661772.140000001</v>
      </c>
      <c r="BL156" s="141">
        <v>82452620.609999999</v>
      </c>
      <c r="BM156" s="141">
        <v>110864006.2</v>
      </c>
      <c r="BN156" s="141">
        <v>117344539.01000001</v>
      </c>
      <c r="BU156" s="141">
        <v>117344539.01000001</v>
      </c>
    </row>
    <row r="157" spans="1:73" ht="14.4" x14ac:dyDescent="0.3">
      <c r="A157" s="160" t="s">
        <v>238</v>
      </c>
      <c r="B157" s="161">
        <v>2002</v>
      </c>
      <c r="C157" s="161">
        <v>49354.270000000004</v>
      </c>
      <c r="D157" s="161">
        <v>5054135.71</v>
      </c>
      <c r="E157" s="161">
        <v>10210652.34</v>
      </c>
      <c r="F157" s="161">
        <v>13359662.15</v>
      </c>
      <c r="G157" s="161">
        <v>18355446.350000001</v>
      </c>
      <c r="H157" s="161">
        <v>22398858.609999999</v>
      </c>
      <c r="I157" s="161">
        <v>26018871.460000001</v>
      </c>
      <c r="J157" s="161">
        <v>29647034.98</v>
      </c>
      <c r="K157" s="161">
        <v>34330937.75</v>
      </c>
      <c r="L157" s="161">
        <v>48886071.580000006</v>
      </c>
      <c r="M157" s="161">
        <v>54742139.239999995</v>
      </c>
      <c r="N157" s="161">
        <v>60460596.299999997</v>
      </c>
      <c r="O157" s="161">
        <v>66763931.890000001</v>
      </c>
      <c r="P157" s="161">
        <v>75284006.019999996</v>
      </c>
      <c r="Q157" s="149"/>
      <c r="R157" s="149"/>
      <c r="S157" s="149"/>
      <c r="T157" s="149"/>
      <c r="U157" s="149"/>
      <c r="V157" s="149"/>
      <c r="W157" s="149"/>
      <c r="X157" s="161">
        <v>75284006.019999996</v>
      </c>
      <c r="Y157" s="145"/>
      <c r="Z157" s="145"/>
      <c r="AX157" s="141" t="s">
        <v>236</v>
      </c>
      <c r="AY157" s="141">
        <v>1999</v>
      </c>
      <c r="AZ157" s="141">
        <v>508845.62</v>
      </c>
      <c r="BA157" s="141">
        <v>2598952.61</v>
      </c>
      <c r="BB157" s="141">
        <v>8787104.7100000009</v>
      </c>
      <c r="BC157" s="141">
        <v>13625439.060000001</v>
      </c>
      <c r="BD157" s="141">
        <v>21472146.800000001</v>
      </c>
      <c r="BE157" s="141">
        <v>30412499.699999999</v>
      </c>
      <c r="BF157" s="141">
        <v>37400516.369999997</v>
      </c>
      <c r="BG157" s="141">
        <v>46151863.140000001</v>
      </c>
      <c r="BH157" s="141">
        <v>56691758.990000002</v>
      </c>
      <c r="BI157" s="141">
        <v>70152983.370000005</v>
      </c>
      <c r="BJ157" s="141">
        <v>78877511.260000005</v>
      </c>
      <c r="BK157" s="141">
        <v>86610085.409999996</v>
      </c>
      <c r="BL157" s="141">
        <v>92193372.879999995</v>
      </c>
      <c r="BM157" s="141">
        <v>99792135.150000006</v>
      </c>
      <c r="BU157" s="141">
        <v>99792135.150000006</v>
      </c>
    </row>
    <row r="158" spans="1:73" ht="14.4" x14ac:dyDescent="0.3">
      <c r="A158" s="160" t="s">
        <v>238</v>
      </c>
      <c r="B158" s="161">
        <v>2003</v>
      </c>
      <c r="C158" s="42">
        <f>D158/10.3709/1.1</f>
        <v>377442.42938501871</v>
      </c>
      <c r="D158" s="161">
        <v>4305859.46</v>
      </c>
      <c r="E158" s="161">
        <v>8633603.6899999995</v>
      </c>
      <c r="F158" s="161">
        <v>11278703.200000001</v>
      </c>
      <c r="G158" s="161">
        <v>12333152.039999999</v>
      </c>
      <c r="H158" s="161">
        <v>13138466.989999998</v>
      </c>
      <c r="I158" s="161">
        <v>14995862.15</v>
      </c>
      <c r="J158" s="161">
        <v>15894897.68</v>
      </c>
      <c r="K158" s="161">
        <v>17355977.829999998</v>
      </c>
      <c r="L158" s="161">
        <v>19552421.289999999</v>
      </c>
      <c r="M158" s="161">
        <v>24765350.130000003</v>
      </c>
      <c r="N158" s="161">
        <v>26329826.600000001</v>
      </c>
      <c r="O158" s="161">
        <v>28931429.210000001</v>
      </c>
      <c r="P158" s="149"/>
      <c r="Q158" s="149"/>
      <c r="R158" s="149"/>
      <c r="S158" s="149"/>
      <c r="T158" s="149"/>
      <c r="U158" s="149"/>
      <c r="V158" s="149"/>
      <c r="W158" s="149"/>
      <c r="X158" s="161">
        <v>28931429.210000001</v>
      </c>
      <c r="Y158" s="145"/>
      <c r="Z158" s="145"/>
      <c r="AX158" s="141" t="s">
        <v>236</v>
      </c>
      <c r="AY158" s="141">
        <v>2000</v>
      </c>
      <c r="AZ158" s="141">
        <v>129889.67</v>
      </c>
      <c r="BA158" s="141">
        <v>3857349.96</v>
      </c>
      <c r="BB158" s="141">
        <v>7919341.9500000002</v>
      </c>
      <c r="BC158" s="141">
        <v>15911798.27</v>
      </c>
      <c r="BD158" s="141">
        <v>23653861.59</v>
      </c>
      <c r="BE158" s="141">
        <v>30292210.280000001</v>
      </c>
      <c r="BF158" s="141">
        <v>37657160.659999996</v>
      </c>
      <c r="BG158" s="141">
        <v>56977163.030000001</v>
      </c>
      <c r="BH158" s="141">
        <v>67712914.959999993</v>
      </c>
      <c r="BI158" s="141">
        <v>76114767.120000005</v>
      </c>
      <c r="BJ158" s="141">
        <v>106799646.37</v>
      </c>
      <c r="BK158" s="141">
        <v>125540246.25</v>
      </c>
      <c r="BL158" s="141">
        <v>133710330.28</v>
      </c>
      <c r="BU158" s="141">
        <v>133710330.28</v>
      </c>
    </row>
    <row r="159" spans="1:73" ht="14.4" x14ac:dyDescent="0.3">
      <c r="A159" s="160" t="s">
        <v>238</v>
      </c>
      <c r="B159" s="161">
        <v>2004</v>
      </c>
      <c r="C159" s="161">
        <v>9407.8700000000008</v>
      </c>
      <c r="D159" s="161">
        <v>1448527.9100000001</v>
      </c>
      <c r="E159" s="161">
        <v>2263888.7000000002</v>
      </c>
      <c r="F159" s="161">
        <v>4629388.4800000004</v>
      </c>
      <c r="G159" s="161">
        <v>7005567.25</v>
      </c>
      <c r="H159" s="161">
        <v>8771068.4100000001</v>
      </c>
      <c r="I159" s="161">
        <v>10096495.060000001</v>
      </c>
      <c r="J159" s="161">
        <v>13558235.389999999</v>
      </c>
      <c r="K159" s="161">
        <v>15662956.870000001</v>
      </c>
      <c r="L159" s="161">
        <v>18708859.52</v>
      </c>
      <c r="M159" s="161">
        <v>21224925.099999998</v>
      </c>
      <c r="N159" s="161">
        <v>22851973.229999997</v>
      </c>
      <c r="O159" s="149"/>
      <c r="P159" s="149"/>
      <c r="Q159" s="149"/>
      <c r="R159" s="149"/>
      <c r="S159" s="149"/>
      <c r="T159" s="149"/>
      <c r="U159" s="149"/>
      <c r="V159" s="149"/>
      <c r="W159" s="149"/>
      <c r="X159" s="161">
        <v>22851973.229999997</v>
      </c>
      <c r="Y159" s="145"/>
      <c r="Z159" s="145"/>
      <c r="AX159" s="141" t="s">
        <v>236</v>
      </c>
      <c r="AY159" s="141">
        <v>2001</v>
      </c>
      <c r="AZ159" s="141">
        <v>1721619.77</v>
      </c>
      <c r="BA159" s="141">
        <v>4691915.54</v>
      </c>
      <c r="BB159" s="141">
        <v>10609731.85</v>
      </c>
      <c r="BC159" s="141">
        <v>13587387.029999999</v>
      </c>
      <c r="BD159" s="141">
        <v>19094508.600000001</v>
      </c>
      <c r="BE159" s="141">
        <v>27401835.960000001</v>
      </c>
      <c r="BF159" s="141">
        <v>35638304.390000001</v>
      </c>
      <c r="BG159" s="141">
        <v>44598983.600000001</v>
      </c>
      <c r="BH159" s="141">
        <v>55099119.909999996</v>
      </c>
      <c r="BI159" s="141">
        <v>63908937.170000002</v>
      </c>
      <c r="BJ159" s="141">
        <v>80330758.329999998</v>
      </c>
      <c r="BK159" s="141">
        <v>88345216.069999993</v>
      </c>
      <c r="BU159" s="141">
        <v>88345216.069999993</v>
      </c>
    </row>
    <row r="160" spans="1:73" ht="14.4" x14ac:dyDescent="0.3">
      <c r="A160" s="160" t="s">
        <v>238</v>
      </c>
      <c r="B160" s="161">
        <v>2005</v>
      </c>
      <c r="C160" s="161">
        <v>0</v>
      </c>
      <c r="D160" s="161">
        <v>646953.23</v>
      </c>
      <c r="E160" s="161">
        <v>1168156.73</v>
      </c>
      <c r="F160" s="161">
        <v>3253278.92</v>
      </c>
      <c r="G160" s="161">
        <v>3476480.75</v>
      </c>
      <c r="H160" s="161">
        <v>5058903.28</v>
      </c>
      <c r="I160" s="161">
        <v>5431366.2999999998</v>
      </c>
      <c r="J160" s="161">
        <v>6226389.8900000006</v>
      </c>
      <c r="K160" s="161">
        <v>8320922.3600000003</v>
      </c>
      <c r="L160" s="161">
        <v>11058800.470000001</v>
      </c>
      <c r="M160" s="161">
        <v>13573123.15</v>
      </c>
      <c r="N160" s="149"/>
      <c r="O160" s="149"/>
      <c r="P160" s="149"/>
      <c r="Q160" s="149"/>
      <c r="R160" s="149"/>
      <c r="S160" s="149"/>
      <c r="T160" s="149"/>
      <c r="U160" s="149"/>
      <c r="V160" s="149"/>
      <c r="W160" s="149"/>
      <c r="X160" s="161">
        <v>13573123.15</v>
      </c>
      <c r="Y160" s="145"/>
      <c r="Z160" s="145"/>
      <c r="AX160" s="141" t="s">
        <v>236</v>
      </c>
      <c r="AY160" s="141">
        <v>2002</v>
      </c>
      <c r="AZ160" s="141">
        <v>49354.27</v>
      </c>
      <c r="BA160" s="141">
        <v>5054135.71</v>
      </c>
      <c r="BB160" s="141">
        <v>10210652.34</v>
      </c>
      <c r="BC160" s="141">
        <v>13359662.15</v>
      </c>
      <c r="BD160" s="141">
        <v>18355446.350000001</v>
      </c>
      <c r="BE160" s="141">
        <v>22398858.609999999</v>
      </c>
      <c r="BF160" s="141">
        <v>26018871.460000001</v>
      </c>
      <c r="BG160" s="141">
        <v>29647034.98</v>
      </c>
      <c r="BH160" s="141">
        <v>34330937.75</v>
      </c>
      <c r="BI160" s="141">
        <v>48886071.579999998</v>
      </c>
      <c r="BJ160" s="141">
        <v>54742079.240000002</v>
      </c>
      <c r="BU160" s="141">
        <v>54742079.240000002</v>
      </c>
    </row>
    <row r="161" spans="1:73" ht="14.4" x14ac:dyDescent="0.3">
      <c r="A161" s="160" t="s">
        <v>238</v>
      </c>
      <c r="B161" s="161">
        <v>2006</v>
      </c>
      <c r="C161" s="161">
        <v>1450</v>
      </c>
      <c r="D161" s="161">
        <v>14212</v>
      </c>
      <c r="E161" s="161">
        <v>181946.68000000002</v>
      </c>
      <c r="F161" s="161">
        <v>337453.46</v>
      </c>
      <c r="G161" s="161">
        <v>1724161.46</v>
      </c>
      <c r="H161" s="161">
        <v>2206794.29</v>
      </c>
      <c r="I161" s="161">
        <v>2892304.79</v>
      </c>
      <c r="J161" s="161">
        <v>4660060.13</v>
      </c>
      <c r="K161" s="161">
        <v>8515502.2599999998</v>
      </c>
      <c r="L161" s="161">
        <v>10039112.32</v>
      </c>
      <c r="M161" s="149"/>
      <c r="N161" s="149"/>
      <c r="O161" s="149"/>
      <c r="P161" s="149"/>
      <c r="Q161" s="149"/>
      <c r="R161" s="149"/>
      <c r="S161" s="149"/>
      <c r="T161" s="149"/>
      <c r="U161" s="149"/>
      <c r="V161" s="149"/>
      <c r="W161" s="149"/>
      <c r="X161" s="161">
        <v>10039112.32</v>
      </c>
      <c r="Y161" s="145"/>
      <c r="Z161" s="145"/>
      <c r="AX161" s="141" t="s">
        <v>236</v>
      </c>
      <c r="AY161" s="141">
        <v>2003</v>
      </c>
      <c r="AZ161" s="141">
        <v>1273</v>
      </c>
      <c r="BA161" s="141">
        <v>4305859.46</v>
      </c>
      <c r="BB161" s="141">
        <v>8633603.6899999995</v>
      </c>
      <c r="BC161" s="141">
        <v>11278703.199999999</v>
      </c>
      <c r="BD161" s="141">
        <v>12333152.039999999</v>
      </c>
      <c r="BE161" s="141">
        <v>13138466.99</v>
      </c>
      <c r="BF161" s="141">
        <v>14995862.15</v>
      </c>
      <c r="BG161" s="141">
        <v>15894897.68</v>
      </c>
      <c r="BH161" s="141">
        <v>17355977.829999998</v>
      </c>
      <c r="BI161" s="141">
        <v>19552421.289999999</v>
      </c>
      <c r="BU161" s="141">
        <v>19552421.289999999</v>
      </c>
    </row>
    <row r="162" spans="1:73" ht="14.4" x14ac:dyDescent="0.3">
      <c r="A162" s="160" t="s">
        <v>238</v>
      </c>
      <c r="B162" s="161">
        <v>2007</v>
      </c>
      <c r="C162" s="161">
        <v>0</v>
      </c>
      <c r="D162" s="161">
        <v>0</v>
      </c>
      <c r="E162" s="161">
        <v>94717.819999999992</v>
      </c>
      <c r="F162" s="161">
        <v>174708.64</v>
      </c>
      <c r="G162" s="161">
        <v>895971.66999999993</v>
      </c>
      <c r="H162" s="161">
        <v>1162248.71</v>
      </c>
      <c r="I162" s="161">
        <v>1892906.22</v>
      </c>
      <c r="J162" s="161">
        <v>2748680.35</v>
      </c>
      <c r="K162" s="161">
        <v>3063437.11</v>
      </c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149"/>
      <c r="W162" s="149"/>
      <c r="X162" s="161">
        <v>3063437.11</v>
      </c>
      <c r="Y162" s="145"/>
      <c r="Z162" s="145"/>
      <c r="AX162" s="141" t="s">
        <v>236</v>
      </c>
      <c r="AY162" s="141">
        <v>2004</v>
      </c>
      <c r="AZ162" s="141">
        <v>9407.8700000000008</v>
      </c>
      <c r="BA162" s="141">
        <v>1448527.91</v>
      </c>
      <c r="BB162" s="141">
        <v>2263888.7000000002</v>
      </c>
      <c r="BC162" s="141">
        <v>4629388.4800000004</v>
      </c>
      <c r="BD162" s="141">
        <v>7005567.25</v>
      </c>
      <c r="BE162" s="141">
        <v>8771068.4100000001</v>
      </c>
      <c r="BF162" s="141">
        <v>10096495.060000001</v>
      </c>
      <c r="BG162" s="141">
        <v>13558235.390000001</v>
      </c>
      <c r="BH162" s="141">
        <v>15662956.869999999</v>
      </c>
      <c r="BU162" s="141">
        <v>15662956.869999999</v>
      </c>
    </row>
    <row r="163" spans="1:73" ht="14.4" x14ac:dyDescent="0.3">
      <c r="A163" s="160" t="s">
        <v>238</v>
      </c>
      <c r="B163" s="161">
        <v>2008</v>
      </c>
      <c r="C163" s="161">
        <v>0</v>
      </c>
      <c r="D163" s="161">
        <v>0</v>
      </c>
      <c r="E163" s="161">
        <v>0</v>
      </c>
      <c r="F163" s="161">
        <v>0</v>
      </c>
      <c r="G163" s="161">
        <v>0</v>
      </c>
      <c r="H163" s="161">
        <v>0</v>
      </c>
      <c r="I163" s="161">
        <v>0</v>
      </c>
      <c r="J163" s="161">
        <v>0</v>
      </c>
      <c r="K163" s="149"/>
      <c r="L163" s="149"/>
      <c r="M163" s="149"/>
      <c r="N163" s="149"/>
      <c r="O163" s="149"/>
      <c r="P163" s="149"/>
      <c r="Q163" s="149"/>
      <c r="R163" s="149"/>
      <c r="S163" s="149"/>
      <c r="T163" s="149"/>
      <c r="U163" s="149"/>
      <c r="V163" s="149"/>
      <c r="W163" s="149"/>
      <c r="X163" s="161">
        <v>0</v>
      </c>
      <c r="Y163" s="145"/>
      <c r="Z163" s="145"/>
      <c r="AX163" s="141" t="s">
        <v>236</v>
      </c>
      <c r="AY163" s="141">
        <v>2005</v>
      </c>
      <c r="AZ163" s="141">
        <v>0</v>
      </c>
      <c r="BA163" s="141">
        <v>646953.23</v>
      </c>
      <c r="BB163" s="141">
        <v>1168156.73</v>
      </c>
      <c r="BC163" s="141">
        <v>3253278.92</v>
      </c>
      <c r="BD163" s="141">
        <v>3476480.75</v>
      </c>
      <c r="BE163" s="141">
        <v>5058903.28</v>
      </c>
      <c r="BF163" s="141">
        <v>5431366.2999999998</v>
      </c>
      <c r="BG163" s="141">
        <v>6226389.8899999997</v>
      </c>
      <c r="BU163" s="141">
        <v>6226389.8899999997</v>
      </c>
    </row>
    <row r="164" spans="1:73" ht="14.4" x14ac:dyDescent="0.3">
      <c r="A164" s="160" t="s">
        <v>238</v>
      </c>
      <c r="B164" s="161">
        <v>2009</v>
      </c>
      <c r="C164" s="161">
        <v>0</v>
      </c>
      <c r="D164" s="161">
        <v>0</v>
      </c>
      <c r="E164" s="161">
        <v>0</v>
      </c>
      <c r="F164" s="161">
        <v>0</v>
      </c>
      <c r="G164" s="161">
        <v>0</v>
      </c>
      <c r="H164" s="161">
        <v>0</v>
      </c>
      <c r="I164" s="161">
        <v>0</v>
      </c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149"/>
      <c r="W164" s="149"/>
      <c r="X164" s="161">
        <v>0</v>
      </c>
      <c r="Y164" s="145"/>
      <c r="Z164" s="145"/>
      <c r="AX164" s="141" t="s">
        <v>236</v>
      </c>
      <c r="AY164" s="141">
        <v>2006</v>
      </c>
      <c r="AZ164" s="141">
        <v>1450</v>
      </c>
      <c r="BA164" s="141">
        <v>14212</v>
      </c>
      <c r="BB164" s="141">
        <v>181946.68</v>
      </c>
      <c r="BC164" s="141">
        <v>337453.46</v>
      </c>
      <c r="BD164" s="141">
        <v>1724161.46</v>
      </c>
      <c r="BE164" s="141">
        <v>2206794.29</v>
      </c>
      <c r="BF164" s="141">
        <v>2892304.79</v>
      </c>
      <c r="BU164" s="141">
        <v>2892304.79</v>
      </c>
    </row>
    <row r="165" spans="1:73" ht="14.4" x14ac:dyDescent="0.3">
      <c r="A165" s="160" t="s">
        <v>238</v>
      </c>
      <c r="B165" s="161">
        <v>2010</v>
      </c>
      <c r="C165" s="161">
        <v>0</v>
      </c>
      <c r="D165" s="161">
        <v>0</v>
      </c>
      <c r="E165" s="161">
        <v>0</v>
      </c>
      <c r="F165" s="161">
        <v>0</v>
      </c>
      <c r="G165" s="161">
        <v>0</v>
      </c>
      <c r="H165" s="161">
        <v>0</v>
      </c>
      <c r="I165" s="149"/>
      <c r="J165" s="149"/>
      <c r="K165" s="149"/>
      <c r="L165" s="149"/>
      <c r="M165" s="149"/>
      <c r="N165" s="149"/>
      <c r="O165" s="149"/>
      <c r="P165" s="149"/>
      <c r="Q165" s="149"/>
      <c r="R165" s="149"/>
      <c r="S165" s="149"/>
      <c r="T165" s="149"/>
      <c r="U165" s="149"/>
      <c r="V165" s="149"/>
      <c r="W165" s="149"/>
      <c r="X165" s="161">
        <v>0</v>
      </c>
      <c r="Y165" s="145"/>
      <c r="Z165" s="145"/>
      <c r="AX165" s="141" t="s">
        <v>236</v>
      </c>
      <c r="AY165" s="141">
        <v>2007</v>
      </c>
      <c r="AZ165" s="141">
        <v>0</v>
      </c>
      <c r="BA165" s="141">
        <v>0</v>
      </c>
      <c r="BB165" s="141">
        <v>94717.82</v>
      </c>
      <c r="BC165" s="141">
        <v>174708.64</v>
      </c>
      <c r="BD165" s="141">
        <v>895971.67</v>
      </c>
      <c r="BE165" s="141">
        <v>1162248.71</v>
      </c>
      <c r="BU165" s="141">
        <v>1162248.71</v>
      </c>
    </row>
    <row r="166" spans="1:73" ht="14.4" x14ac:dyDescent="0.3">
      <c r="A166" s="160" t="s">
        <v>238</v>
      </c>
      <c r="B166" s="161">
        <v>2011</v>
      </c>
      <c r="C166" s="161">
        <v>0</v>
      </c>
      <c r="D166" s="161">
        <v>0</v>
      </c>
      <c r="E166" s="161">
        <v>0</v>
      </c>
      <c r="F166" s="161">
        <v>0</v>
      </c>
      <c r="G166" s="161">
        <v>0</v>
      </c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149"/>
      <c r="W166" s="149"/>
      <c r="X166" s="161">
        <v>0</v>
      </c>
      <c r="Y166" s="145"/>
      <c r="Z166" s="145"/>
      <c r="AX166" s="141" t="s">
        <v>236</v>
      </c>
      <c r="AY166" s="141">
        <v>2008</v>
      </c>
      <c r="AZ166" s="141">
        <v>0</v>
      </c>
      <c r="BA166" s="141">
        <v>0</v>
      </c>
      <c r="BB166" s="141">
        <v>0</v>
      </c>
      <c r="BC166" s="141">
        <v>0</v>
      </c>
      <c r="BD166" s="141">
        <v>0</v>
      </c>
      <c r="BU166" s="141">
        <v>0</v>
      </c>
    </row>
    <row r="167" spans="1:73" ht="14.4" x14ac:dyDescent="0.3">
      <c r="A167" s="160" t="s">
        <v>238</v>
      </c>
      <c r="B167" s="161">
        <v>2012</v>
      </c>
      <c r="C167" s="161">
        <v>0</v>
      </c>
      <c r="D167" s="161">
        <v>0</v>
      </c>
      <c r="E167" s="161">
        <v>0</v>
      </c>
      <c r="F167" s="161">
        <v>0</v>
      </c>
      <c r="G167" s="149"/>
      <c r="H167" s="149"/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49"/>
      <c r="T167" s="149"/>
      <c r="U167" s="149"/>
      <c r="V167" s="149"/>
      <c r="W167" s="149"/>
      <c r="X167" s="161">
        <v>0</v>
      </c>
      <c r="Y167" s="145"/>
      <c r="Z167" s="145"/>
      <c r="AX167" s="141" t="s">
        <v>236</v>
      </c>
      <c r="AY167" s="141">
        <v>2009</v>
      </c>
      <c r="AZ167" s="141">
        <v>0</v>
      </c>
      <c r="BA167" s="141">
        <v>0</v>
      </c>
      <c r="BB167" s="141">
        <v>0</v>
      </c>
      <c r="BC167" s="141">
        <v>0</v>
      </c>
      <c r="BU167" s="141">
        <v>0</v>
      </c>
    </row>
    <row r="168" spans="1:73" ht="14.4" x14ac:dyDescent="0.3">
      <c r="A168" s="160" t="s">
        <v>238</v>
      </c>
      <c r="B168" s="161">
        <v>2013</v>
      </c>
      <c r="C168" s="161">
        <v>0</v>
      </c>
      <c r="D168" s="161">
        <v>0</v>
      </c>
      <c r="E168" s="161">
        <v>0</v>
      </c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149"/>
      <c r="W168" s="149"/>
      <c r="X168" s="161">
        <v>0</v>
      </c>
      <c r="Y168" s="145"/>
      <c r="Z168" s="145"/>
      <c r="AX168" s="141" t="s">
        <v>236</v>
      </c>
      <c r="AY168" s="141">
        <v>2010</v>
      </c>
      <c r="AZ168" s="141">
        <v>0</v>
      </c>
      <c r="BA168" s="141">
        <v>0</v>
      </c>
      <c r="BB168" s="141">
        <v>0</v>
      </c>
      <c r="BU168" s="141">
        <v>0</v>
      </c>
    </row>
    <row r="169" spans="1:73" ht="14.4" x14ac:dyDescent="0.3">
      <c r="A169" s="160" t="s">
        <v>238</v>
      </c>
      <c r="B169" s="161">
        <v>2014</v>
      </c>
      <c r="C169" s="161">
        <v>0</v>
      </c>
      <c r="D169" s="161">
        <v>0</v>
      </c>
      <c r="E169" s="149"/>
      <c r="F169" s="149"/>
      <c r="G169" s="149"/>
      <c r="H169" s="149"/>
      <c r="I169" s="149"/>
      <c r="J169" s="149"/>
      <c r="K169" s="149"/>
      <c r="L169" s="149"/>
      <c r="M169" s="149"/>
      <c r="N169" s="149"/>
      <c r="O169" s="149"/>
      <c r="P169" s="149"/>
      <c r="Q169" s="149"/>
      <c r="R169" s="149"/>
      <c r="S169" s="149"/>
      <c r="T169" s="149"/>
      <c r="U169" s="149"/>
      <c r="V169" s="149"/>
      <c r="W169" s="149"/>
      <c r="X169" s="161">
        <v>0</v>
      </c>
      <c r="Y169" s="145"/>
      <c r="Z169" s="145"/>
      <c r="AX169" s="141" t="s">
        <v>236</v>
      </c>
      <c r="AY169" s="141">
        <v>2011</v>
      </c>
      <c r="AZ169" s="141">
        <v>0</v>
      </c>
      <c r="BA169" s="141">
        <v>0</v>
      </c>
      <c r="BU169" s="141">
        <v>0</v>
      </c>
    </row>
    <row r="170" spans="1:73" ht="14.4" x14ac:dyDescent="0.3">
      <c r="A170" s="160" t="s">
        <v>238</v>
      </c>
      <c r="B170" s="161">
        <v>2015</v>
      </c>
      <c r="C170" s="161">
        <v>0</v>
      </c>
      <c r="D170" s="149"/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149"/>
      <c r="W170" s="149"/>
      <c r="X170" s="161">
        <v>0</v>
      </c>
      <c r="Y170" s="145"/>
      <c r="Z170" s="145"/>
      <c r="AX170" s="141" t="s">
        <v>236</v>
      </c>
      <c r="AY170" s="141">
        <v>2012</v>
      </c>
      <c r="AZ170" s="141">
        <v>0</v>
      </c>
      <c r="BU170" s="141">
        <v>0</v>
      </c>
    </row>
    <row r="171" spans="1:73" ht="14.4" x14ac:dyDescent="0.3">
      <c r="A171" s="160" t="s">
        <v>239</v>
      </c>
      <c r="B171" s="161">
        <v>1995</v>
      </c>
      <c r="C171" s="161">
        <v>41293.980000000003</v>
      </c>
      <c r="D171" s="161">
        <v>1105340.28</v>
      </c>
      <c r="E171" s="161">
        <v>1174073.77</v>
      </c>
      <c r="F171" s="161">
        <v>1189599.3899999999</v>
      </c>
      <c r="G171" s="161">
        <v>1193694.7899999998</v>
      </c>
      <c r="H171" s="161">
        <v>1194350.18</v>
      </c>
      <c r="I171" s="161">
        <v>1194698.8799999999</v>
      </c>
      <c r="J171" s="161">
        <v>1195111.3799999999</v>
      </c>
      <c r="K171" s="161">
        <v>1178260.52</v>
      </c>
      <c r="L171" s="161">
        <v>1178260.52</v>
      </c>
      <c r="M171" s="161">
        <v>1178260.52</v>
      </c>
      <c r="N171" s="161">
        <v>1178260.52</v>
      </c>
      <c r="O171" s="161">
        <v>1178260.52</v>
      </c>
      <c r="P171" s="161">
        <v>1178260.52</v>
      </c>
      <c r="Q171" s="161">
        <v>1178260.52</v>
      </c>
      <c r="R171" s="161">
        <v>1178260.52</v>
      </c>
      <c r="S171" s="161">
        <v>1178260.52</v>
      </c>
      <c r="T171" s="161">
        <v>1178260.52</v>
      </c>
      <c r="U171" s="161">
        <v>1178260.52</v>
      </c>
      <c r="V171" s="161">
        <v>1178260.52</v>
      </c>
      <c r="W171" s="161">
        <v>1178260.52</v>
      </c>
      <c r="X171" s="161">
        <v>1178260.52</v>
      </c>
      <c r="Y171" s="145"/>
      <c r="Z171" s="145"/>
      <c r="AX171" s="141" t="s">
        <v>237</v>
      </c>
      <c r="AY171" s="141">
        <v>1992</v>
      </c>
      <c r="AZ171" s="141">
        <v>25455175.850000001</v>
      </c>
      <c r="BA171" s="141">
        <v>29234792.920000002</v>
      </c>
      <c r="BB171" s="141">
        <v>30947869.93</v>
      </c>
      <c r="BC171" s="141">
        <v>31141522.239999998</v>
      </c>
      <c r="BD171" s="141">
        <v>32427298.870000001</v>
      </c>
      <c r="BE171" s="141">
        <v>32684476.199999999</v>
      </c>
      <c r="BF171" s="141">
        <v>32953550.170000002</v>
      </c>
      <c r="BG171" s="141">
        <v>32905052.739999998</v>
      </c>
      <c r="BH171" s="141">
        <v>32905960.760000002</v>
      </c>
      <c r="BI171" s="141">
        <v>33748525.840000004</v>
      </c>
      <c r="BJ171" s="141">
        <v>33778175.890000001</v>
      </c>
      <c r="BK171" s="141">
        <v>31567175.91</v>
      </c>
      <c r="BL171" s="141">
        <v>31564212.600000001</v>
      </c>
      <c r="BM171" s="141">
        <v>31563812.600000001</v>
      </c>
      <c r="BN171" s="141">
        <v>31578412.600000001</v>
      </c>
      <c r="BO171" s="141">
        <v>31581037.050000001</v>
      </c>
      <c r="BP171" s="141">
        <v>31582592.32</v>
      </c>
      <c r="BQ171" s="141">
        <v>31583858.760000002</v>
      </c>
      <c r="BR171" s="141">
        <v>31584400.760000002</v>
      </c>
      <c r="BS171" s="141">
        <v>31585269.260000002</v>
      </c>
      <c r="BT171" s="141">
        <v>31587770.66</v>
      </c>
      <c r="BU171" s="141">
        <v>31587770.66</v>
      </c>
    </row>
    <row r="172" spans="1:73" ht="14.4" x14ac:dyDescent="0.3">
      <c r="A172" s="160" t="s">
        <v>239</v>
      </c>
      <c r="B172" s="161">
        <v>1996</v>
      </c>
      <c r="C172" s="161">
        <v>4839493.84</v>
      </c>
      <c r="D172" s="161">
        <v>13385504.09</v>
      </c>
      <c r="E172" s="161">
        <v>14535177.73</v>
      </c>
      <c r="F172" s="161">
        <v>13626028.689999999</v>
      </c>
      <c r="G172" s="161">
        <v>13330527.68</v>
      </c>
      <c r="H172" s="161">
        <v>13745720.460000001</v>
      </c>
      <c r="I172" s="161">
        <v>13751282.279999999</v>
      </c>
      <c r="J172" s="161">
        <v>13781330.58</v>
      </c>
      <c r="K172" s="161">
        <v>13667182.630000001</v>
      </c>
      <c r="L172" s="161">
        <v>13667182.630000001</v>
      </c>
      <c r="M172" s="161">
        <v>13626409.359999999</v>
      </c>
      <c r="N172" s="161">
        <v>13626409.359999999</v>
      </c>
      <c r="O172" s="161">
        <v>13626409.359999999</v>
      </c>
      <c r="P172" s="161">
        <v>13626409.359999999</v>
      </c>
      <c r="Q172" s="161">
        <v>13626409.359999999</v>
      </c>
      <c r="R172" s="161">
        <v>13626409.359999999</v>
      </c>
      <c r="S172" s="161">
        <v>13626409.359999999</v>
      </c>
      <c r="T172" s="161">
        <v>13626409.359999999</v>
      </c>
      <c r="U172" s="161">
        <v>13626409.359999999</v>
      </c>
      <c r="V172" s="161">
        <v>13626409.359999999</v>
      </c>
      <c r="W172" s="149"/>
      <c r="X172" s="161">
        <v>13626409.359999999</v>
      </c>
      <c r="Y172" s="145"/>
      <c r="Z172" s="145"/>
      <c r="AX172" s="141" t="s">
        <v>237</v>
      </c>
      <c r="AY172" s="141">
        <v>1993</v>
      </c>
      <c r="AZ172" s="141">
        <v>1444777.37</v>
      </c>
      <c r="BA172" s="141">
        <v>3249257.2</v>
      </c>
      <c r="BB172" s="141">
        <v>3900816.25</v>
      </c>
      <c r="BC172" s="141">
        <v>4031700.63</v>
      </c>
      <c r="BD172" s="141">
        <v>4036469.72</v>
      </c>
      <c r="BE172" s="141">
        <v>4807230.62</v>
      </c>
      <c r="BF172" s="141">
        <v>4817001.7699999996</v>
      </c>
      <c r="BG172" s="141">
        <v>4831806.8499999996</v>
      </c>
      <c r="BH172" s="141">
        <v>4837847.28</v>
      </c>
      <c r="BI172" s="141">
        <v>4865877.26</v>
      </c>
      <c r="BJ172" s="141">
        <v>4865877.26</v>
      </c>
      <c r="BK172" s="141">
        <v>4865877.26</v>
      </c>
      <c r="BL172" s="141">
        <v>4804147.26</v>
      </c>
      <c r="BM172" s="141">
        <v>4804147.26</v>
      </c>
      <c r="BN172" s="141">
        <v>4804147.26</v>
      </c>
      <c r="BO172" s="141">
        <v>4804147.26</v>
      </c>
      <c r="BP172" s="141">
        <v>4804147.26</v>
      </c>
      <c r="BQ172" s="141">
        <v>4804147.26</v>
      </c>
      <c r="BR172" s="141">
        <v>4804147.26</v>
      </c>
      <c r="BS172" s="141">
        <v>4804147.26</v>
      </c>
      <c r="BU172" s="141">
        <v>4804147.26</v>
      </c>
    </row>
    <row r="173" spans="1:73" ht="14.4" x14ac:dyDescent="0.3">
      <c r="A173" s="160" t="s">
        <v>239</v>
      </c>
      <c r="B173" s="161">
        <v>1997</v>
      </c>
      <c r="C173" s="161">
        <v>13409067.67</v>
      </c>
      <c r="D173" s="161">
        <v>18498125.400000002</v>
      </c>
      <c r="E173" s="161">
        <v>16634942.07</v>
      </c>
      <c r="F173" s="161">
        <v>17083036</v>
      </c>
      <c r="G173" s="161">
        <v>17162033.280000001</v>
      </c>
      <c r="H173" s="161">
        <v>17167535.43</v>
      </c>
      <c r="I173" s="161">
        <v>17209342.210000001</v>
      </c>
      <c r="J173" s="161">
        <v>17167535.43</v>
      </c>
      <c r="K173" s="161">
        <v>17167535.43</v>
      </c>
      <c r="L173" s="161">
        <v>17169367.27</v>
      </c>
      <c r="M173" s="161">
        <v>17169367.27</v>
      </c>
      <c r="N173" s="161">
        <v>17169367.27</v>
      </c>
      <c r="O173" s="161">
        <v>17169367.27</v>
      </c>
      <c r="P173" s="161">
        <v>17169367.27</v>
      </c>
      <c r="Q173" s="161">
        <v>17169367.27</v>
      </c>
      <c r="R173" s="161">
        <v>17169367.27</v>
      </c>
      <c r="S173" s="161">
        <v>17169367.27</v>
      </c>
      <c r="T173" s="161">
        <v>17169367.27</v>
      </c>
      <c r="U173" s="161">
        <v>17169367.27</v>
      </c>
      <c r="V173" s="149"/>
      <c r="W173" s="149"/>
      <c r="X173" s="161">
        <v>17169367.27</v>
      </c>
      <c r="Y173" s="145"/>
      <c r="Z173" s="145"/>
      <c r="AX173" s="141" t="s">
        <v>237</v>
      </c>
      <c r="AY173" s="141">
        <v>1994</v>
      </c>
      <c r="AZ173" s="141">
        <v>3095313.03</v>
      </c>
      <c r="BA173" s="141">
        <v>8911521.2200000007</v>
      </c>
      <c r="BB173" s="141">
        <v>10344530.449999999</v>
      </c>
      <c r="BC173" s="141">
        <v>10355378.810000001</v>
      </c>
      <c r="BD173" s="141">
        <v>10378380.67</v>
      </c>
      <c r="BE173" s="141">
        <v>10378380.67</v>
      </c>
      <c r="BF173" s="141">
        <v>10378380.67</v>
      </c>
      <c r="BG173" s="141">
        <v>10378380.67</v>
      </c>
      <c r="BH173" s="141">
        <v>10378380.67</v>
      </c>
      <c r="BI173" s="141">
        <v>10378380.67</v>
      </c>
      <c r="BJ173" s="141">
        <v>10378380.67</v>
      </c>
      <c r="BK173" s="141">
        <v>10378380.67</v>
      </c>
      <c r="BL173" s="141">
        <v>10378380.67</v>
      </c>
      <c r="BM173" s="141">
        <v>10378380.67</v>
      </c>
      <c r="BN173" s="141">
        <v>10378380.67</v>
      </c>
      <c r="BO173" s="141">
        <v>10378380.67</v>
      </c>
      <c r="BP173" s="141">
        <v>10378380.67</v>
      </c>
      <c r="BQ173" s="141">
        <v>10378380.67</v>
      </c>
      <c r="BR173" s="141">
        <v>10378380.67</v>
      </c>
      <c r="BU173" s="141">
        <v>10378380.67</v>
      </c>
    </row>
    <row r="174" spans="1:73" ht="14.4" x14ac:dyDescent="0.3">
      <c r="A174" s="160" t="s">
        <v>239</v>
      </c>
      <c r="B174" s="161">
        <v>1998</v>
      </c>
      <c r="C174" s="161">
        <v>7689275.9299999997</v>
      </c>
      <c r="D174" s="161">
        <v>39144803.099999994</v>
      </c>
      <c r="E174" s="161">
        <v>44840240.239999995</v>
      </c>
      <c r="F174" s="161">
        <v>45931150</v>
      </c>
      <c r="G174" s="161">
        <v>46670671.120000005</v>
      </c>
      <c r="H174" s="161">
        <v>45080882.140000001</v>
      </c>
      <c r="I174" s="161">
        <v>45138793.289999999</v>
      </c>
      <c r="J174" s="161">
        <v>45138665.509999998</v>
      </c>
      <c r="K174" s="161">
        <v>45233370.899999999</v>
      </c>
      <c r="L174" s="161">
        <v>45240105.809999995</v>
      </c>
      <c r="M174" s="161">
        <v>45245063.019999996</v>
      </c>
      <c r="N174" s="161">
        <v>45245882.980000004</v>
      </c>
      <c r="O174" s="161">
        <v>45245882.980000004</v>
      </c>
      <c r="P174" s="161">
        <v>45245882.980000004</v>
      </c>
      <c r="Q174" s="161">
        <v>45245882.980000004</v>
      </c>
      <c r="R174" s="161">
        <v>45245882.980000004</v>
      </c>
      <c r="S174" s="161">
        <v>45245882.980000004</v>
      </c>
      <c r="T174" s="161">
        <v>45245882.980000004</v>
      </c>
      <c r="U174" s="149"/>
      <c r="V174" s="149"/>
      <c r="W174" s="149"/>
      <c r="X174" s="161">
        <v>45245882.980000004</v>
      </c>
      <c r="Y174" s="145"/>
      <c r="Z174" s="145"/>
      <c r="AX174" s="141" t="s">
        <v>237</v>
      </c>
      <c r="AY174" s="141">
        <v>1995</v>
      </c>
      <c r="AZ174" s="141">
        <v>41293.980000000003</v>
      </c>
      <c r="BA174" s="141">
        <v>1105340.28</v>
      </c>
      <c r="BB174" s="141">
        <v>1174073.77</v>
      </c>
      <c r="BC174" s="141">
        <v>1189599.3899999999</v>
      </c>
      <c r="BD174" s="141">
        <v>1193694.79</v>
      </c>
      <c r="BE174" s="141">
        <v>1194350.18</v>
      </c>
      <c r="BF174" s="141">
        <v>1194698.8799999999</v>
      </c>
      <c r="BG174" s="141">
        <v>1195111.3799999999</v>
      </c>
      <c r="BH174" s="141">
        <v>1178260.52</v>
      </c>
      <c r="BI174" s="141">
        <v>1178260.52</v>
      </c>
      <c r="BJ174" s="141">
        <v>1178260.52</v>
      </c>
      <c r="BK174" s="141">
        <v>1178260.52</v>
      </c>
      <c r="BL174" s="141">
        <v>1178260.52</v>
      </c>
      <c r="BM174" s="141">
        <v>1178260.52</v>
      </c>
      <c r="BN174" s="141">
        <v>1178260.52</v>
      </c>
      <c r="BO174" s="141">
        <v>1178260.52</v>
      </c>
      <c r="BP174" s="141">
        <v>1178260.52</v>
      </c>
      <c r="BQ174" s="141">
        <v>1178260.52</v>
      </c>
      <c r="BU174" s="141">
        <v>1178260.52</v>
      </c>
    </row>
    <row r="175" spans="1:73" ht="14.4" x14ac:dyDescent="0.3">
      <c r="A175" s="160" t="s">
        <v>239</v>
      </c>
      <c r="B175" s="161">
        <v>1999</v>
      </c>
      <c r="C175" s="161">
        <v>31126317.68</v>
      </c>
      <c r="D175" s="161">
        <v>73069930.780000001</v>
      </c>
      <c r="E175" s="161">
        <v>82855546.890000015</v>
      </c>
      <c r="F175" s="161">
        <v>93310211.88000001</v>
      </c>
      <c r="G175" s="161">
        <v>98498970.229999989</v>
      </c>
      <c r="H175" s="161">
        <v>109314624.05999999</v>
      </c>
      <c r="I175" s="161">
        <v>114669422.31000002</v>
      </c>
      <c r="J175" s="161">
        <v>115735186.02999999</v>
      </c>
      <c r="K175" s="161">
        <v>115539678.33999999</v>
      </c>
      <c r="L175" s="161">
        <v>115526984.01000001</v>
      </c>
      <c r="M175" s="161">
        <v>115524910.80999999</v>
      </c>
      <c r="N175" s="161">
        <v>115531984.12</v>
      </c>
      <c r="O175" s="161">
        <v>115578349.00999999</v>
      </c>
      <c r="P175" s="161">
        <v>115578109.00999999</v>
      </c>
      <c r="Q175" s="161">
        <v>115564495.34999999</v>
      </c>
      <c r="R175" s="161">
        <v>115564295.34999999</v>
      </c>
      <c r="S175" s="161">
        <v>115564295.34999999</v>
      </c>
      <c r="T175" s="149"/>
      <c r="U175" s="149"/>
      <c r="V175" s="149"/>
      <c r="W175" s="149"/>
      <c r="X175" s="161">
        <v>115564295.34999999</v>
      </c>
      <c r="Y175" s="145"/>
      <c r="Z175" s="145"/>
      <c r="AX175" s="141" t="s">
        <v>237</v>
      </c>
      <c r="AY175" s="141">
        <v>1996</v>
      </c>
      <c r="AZ175" s="141">
        <v>4839493.84</v>
      </c>
      <c r="BA175" s="141">
        <v>13385504.09</v>
      </c>
      <c r="BB175" s="141">
        <v>14535177.73</v>
      </c>
      <c r="BC175" s="141">
        <v>13626028.689999999</v>
      </c>
      <c r="BD175" s="141">
        <v>13330527.68</v>
      </c>
      <c r="BE175" s="141">
        <v>13745720.460000001</v>
      </c>
      <c r="BF175" s="141">
        <v>13751282.279999999</v>
      </c>
      <c r="BG175" s="141">
        <v>13781330.58</v>
      </c>
      <c r="BH175" s="141">
        <v>13667182.630000001</v>
      </c>
      <c r="BI175" s="141">
        <v>13667182.630000001</v>
      </c>
      <c r="BJ175" s="141">
        <v>13626409.359999999</v>
      </c>
      <c r="BK175" s="141">
        <v>13626409.359999999</v>
      </c>
      <c r="BL175" s="141">
        <v>13626409.359999999</v>
      </c>
      <c r="BM175" s="141">
        <v>13626409.359999999</v>
      </c>
      <c r="BN175" s="141">
        <v>13626409.359999999</v>
      </c>
      <c r="BO175" s="141">
        <v>13626409.359999999</v>
      </c>
      <c r="BP175" s="141">
        <v>13626409.359999999</v>
      </c>
      <c r="BU175" s="141">
        <v>13626409.359999999</v>
      </c>
    </row>
    <row r="176" spans="1:73" ht="14.4" x14ac:dyDescent="0.3">
      <c r="A176" s="160" t="s">
        <v>239</v>
      </c>
      <c r="B176" s="161">
        <v>2000</v>
      </c>
      <c r="C176" s="161">
        <v>33471295.789999999</v>
      </c>
      <c r="D176" s="161">
        <v>58703435.129999995</v>
      </c>
      <c r="E176" s="161">
        <v>68750693.109999999</v>
      </c>
      <c r="F176" s="161">
        <v>74805695.150000006</v>
      </c>
      <c r="G176" s="161">
        <v>77573991.090000004</v>
      </c>
      <c r="H176" s="161">
        <v>79256309.090000004</v>
      </c>
      <c r="I176" s="161">
        <v>79321703.179999992</v>
      </c>
      <c r="J176" s="161">
        <v>78461531.810000002</v>
      </c>
      <c r="K176" s="161">
        <v>78654185.489999995</v>
      </c>
      <c r="L176" s="161">
        <v>77718063.049999997</v>
      </c>
      <c r="M176" s="161">
        <v>83384510.980000019</v>
      </c>
      <c r="N176" s="161">
        <v>83249982.970000014</v>
      </c>
      <c r="O176" s="161">
        <v>83249982.970000014</v>
      </c>
      <c r="P176" s="161">
        <v>83249982.950000003</v>
      </c>
      <c r="Q176" s="161">
        <v>83249982.950000003</v>
      </c>
      <c r="R176" s="161">
        <v>83249982.950000003</v>
      </c>
      <c r="S176" s="149"/>
      <c r="T176" s="149"/>
      <c r="U176" s="149"/>
      <c r="V176" s="149"/>
      <c r="W176" s="149"/>
      <c r="X176" s="161">
        <v>83249982.950000003</v>
      </c>
      <c r="Y176" s="145"/>
      <c r="Z176" s="145"/>
      <c r="AX176" s="141" t="s">
        <v>237</v>
      </c>
      <c r="AY176" s="141">
        <v>1997</v>
      </c>
      <c r="AZ176" s="141">
        <v>13409067.67</v>
      </c>
      <c r="BA176" s="141">
        <v>18498125.399999999</v>
      </c>
      <c r="BB176" s="141">
        <v>16634942.07</v>
      </c>
      <c r="BC176" s="141">
        <v>17083036</v>
      </c>
      <c r="BD176" s="141">
        <v>17162033.280000001</v>
      </c>
      <c r="BE176" s="141">
        <v>17167535.43</v>
      </c>
      <c r="BF176" s="141">
        <v>17209342.210000001</v>
      </c>
      <c r="BG176" s="141">
        <v>17167535.43</v>
      </c>
      <c r="BH176" s="141">
        <v>17167535.43</v>
      </c>
      <c r="BI176" s="141">
        <v>17169367.27</v>
      </c>
      <c r="BJ176" s="141">
        <v>17169367.27</v>
      </c>
      <c r="BK176" s="141">
        <v>17169367.27</v>
      </c>
      <c r="BL176" s="141">
        <v>17169367.27</v>
      </c>
      <c r="BM176" s="141">
        <v>17169367.27</v>
      </c>
      <c r="BN176" s="141">
        <v>17169367.27</v>
      </c>
      <c r="BO176" s="141">
        <v>17169367.27</v>
      </c>
      <c r="BU176" s="141">
        <v>17169367.27</v>
      </c>
    </row>
    <row r="177" spans="1:73" ht="14.4" x14ac:dyDescent="0.3">
      <c r="A177" s="160" t="s">
        <v>239</v>
      </c>
      <c r="B177" s="161">
        <v>2001</v>
      </c>
      <c r="C177" s="161">
        <v>36126998.420000002</v>
      </c>
      <c r="D177" s="161">
        <v>71803630.470000014</v>
      </c>
      <c r="E177" s="161">
        <v>100434560.35999995</v>
      </c>
      <c r="F177" s="161">
        <v>105347721.02999997</v>
      </c>
      <c r="G177" s="161">
        <v>104279257.90000001</v>
      </c>
      <c r="H177" s="161">
        <v>104954502.12</v>
      </c>
      <c r="I177" s="161">
        <v>105110542.88</v>
      </c>
      <c r="J177" s="161">
        <v>103645650.78000003</v>
      </c>
      <c r="K177" s="161">
        <v>104264550.21000004</v>
      </c>
      <c r="L177" s="161">
        <v>104126608.22</v>
      </c>
      <c r="M177" s="161">
        <v>104309864.66999999</v>
      </c>
      <c r="N177" s="161">
        <v>104311468.30000004</v>
      </c>
      <c r="O177" s="161">
        <v>104363186.03000003</v>
      </c>
      <c r="P177" s="161">
        <v>104342188.71000004</v>
      </c>
      <c r="Q177" s="161">
        <v>104342222.79000005</v>
      </c>
      <c r="R177" s="149"/>
      <c r="S177" s="149"/>
      <c r="T177" s="149"/>
      <c r="U177" s="149"/>
      <c r="V177" s="149"/>
      <c r="W177" s="149"/>
      <c r="X177" s="161">
        <v>104342222.79000005</v>
      </c>
      <c r="Y177" s="145"/>
      <c r="Z177" s="145"/>
      <c r="AX177" s="141" t="s">
        <v>237</v>
      </c>
      <c r="AY177" s="141">
        <v>1998</v>
      </c>
      <c r="AZ177" s="141">
        <v>7689275.9299999997</v>
      </c>
      <c r="BA177" s="141">
        <v>39144803.100000001</v>
      </c>
      <c r="BB177" s="141">
        <v>44840240.240000002</v>
      </c>
      <c r="BC177" s="141">
        <v>45931150</v>
      </c>
      <c r="BD177" s="141">
        <v>46670671.119999997</v>
      </c>
      <c r="BE177" s="141">
        <v>45080882.140000001</v>
      </c>
      <c r="BF177" s="141">
        <v>45138793.289999999</v>
      </c>
      <c r="BG177" s="141">
        <v>45138665.509999998</v>
      </c>
      <c r="BH177" s="141">
        <v>45233370.899999999</v>
      </c>
      <c r="BI177" s="141">
        <v>45240105.810000002</v>
      </c>
      <c r="BJ177" s="141">
        <v>45245063.020000003</v>
      </c>
      <c r="BK177" s="141">
        <v>45245882.979999997</v>
      </c>
      <c r="BL177" s="141">
        <v>45245882.979999997</v>
      </c>
      <c r="BM177" s="141">
        <v>45245882.979999997</v>
      </c>
      <c r="BN177" s="141">
        <v>45245882.979999997</v>
      </c>
      <c r="BU177" s="141">
        <v>45245882.979999997</v>
      </c>
    </row>
    <row r="178" spans="1:73" ht="14.4" x14ac:dyDescent="0.3">
      <c r="A178" s="160" t="s">
        <v>239</v>
      </c>
      <c r="B178" s="161">
        <v>2002</v>
      </c>
      <c r="C178" s="161">
        <v>7666382.1600000011</v>
      </c>
      <c r="D178" s="161">
        <v>18292495.620000001</v>
      </c>
      <c r="E178" s="161">
        <v>20649859.890000001</v>
      </c>
      <c r="F178" s="161">
        <v>21110755.559999999</v>
      </c>
      <c r="G178" s="161">
        <v>22141781.260000002</v>
      </c>
      <c r="H178" s="161">
        <v>22632297.66</v>
      </c>
      <c r="I178" s="161">
        <v>21620333.259999998</v>
      </c>
      <c r="J178" s="161">
        <v>21613180.590000004</v>
      </c>
      <c r="K178" s="161">
        <v>21598821.68</v>
      </c>
      <c r="L178" s="161">
        <v>22594155.890000001</v>
      </c>
      <c r="M178" s="161">
        <v>22588544.030000001</v>
      </c>
      <c r="N178" s="161">
        <v>22595073.789999999</v>
      </c>
      <c r="O178" s="161">
        <v>22595073.789999999</v>
      </c>
      <c r="P178" s="161">
        <v>22591537.68</v>
      </c>
      <c r="Q178" s="149"/>
      <c r="R178" s="149"/>
      <c r="S178" s="149"/>
      <c r="T178" s="149"/>
      <c r="U178" s="149"/>
      <c r="V178" s="149"/>
      <c r="W178" s="149"/>
      <c r="X178" s="161">
        <v>22591537.68</v>
      </c>
      <c r="Y178" s="145"/>
      <c r="Z178" s="145"/>
      <c r="AX178" s="141" t="s">
        <v>237</v>
      </c>
      <c r="AY178" s="141">
        <v>1999</v>
      </c>
      <c r="AZ178" s="141">
        <v>31126317.68</v>
      </c>
      <c r="BA178" s="141">
        <v>73069930.780000001</v>
      </c>
      <c r="BB178" s="141">
        <v>82855546.890000001</v>
      </c>
      <c r="BC178" s="141">
        <v>93310211.879999995</v>
      </c>
      <c r="BD178" s="141">
        <v>98498970.230000004</v>
      </c>
      <c r="BE178" s="141">
        <v>109314624.06</v>
      </c>
      <c r="BF178" s="141">
        <v>114669422.31</v>
      </c>
      <c r="BG178" s="141">
        <v>115735186.03</v>
      </c>
      <c r="BH178" s="141">
        <v>115539678.34</v>
      </c>
      <c r="BI178" s="141">
        <v>115526984.01000001</v>
      </c>
      <c r="BJ178" s="141">
        <v>115524910.81</v>
      </c>
      <c r="BK178" s="141">
        <v>115531984.12</v>
      </c>
      <c r="BL178" s="141">
        <v>115578349.01000001</v>
      </c>
      <c r="BM178" s="141">
        <v>115578109.01000001</v>
      </c>
      <c r="BU178" s="141">
        <v>115578109.01000001</v>
      </c>
    </row>
    <row r="179" spans="1:73" ht="14.4" x14ac:dyDescent="0.3">
      <c r="A179" s="160" t="s">
        <v>239</v>
      </c>
      <c r="B179" s="161">
        <v>2003</v>
      </c>
      <c r="C179" s="161">
        <v>20343028.719999999</v>
      </c>
      <c r="D179" s="161">
        <v>34795734.619999997</v>
      </c>
      <c r="E179" s="161">
        <v>38411755.420000002</v>
      </c>
      <c r="F179" s="161">
        <v>40129857.640000001</v>
      </c>
      <c r="G179" s="161">
        <v>42701186.939999998</v>
      </c>
      <c r="H179" s="161">
        <v>44074680.479999997</v>
      </c>
      <c r="I179" s="161">
        <v>44096122.149999999</v>
      </c>
      <c r="J179" s="161">
        <v>44069805.399999999</v>
      </c>
      <c r="K179" s="161">
        <v>44067340.359999999</v>
      </c>
      <c r="L179" s="161">
        <v>44087221.82</v>
      </c>
      <c r="M179" s="161">
        <v>44088021.109999999</v>
      </c>
      <c r="N179" s="161">
        <v>44088021.109999999</v>
      </c>
      <c r="O179" s="161">
        <v>44088021.109999999</v>
      </c>
      <c r="P179" s="149"/>
      <c r="Q179" s="149"/>
      <c r="R179" s="149"/>
      <c r="S179" s="149"/>
      <c r="T179" s="149"/>
      <c r="U179" s="149"/>
      <c r="V179" s="149"/>
      <c r="W179" s="149"/>
      <c r="X179" s="161">
        <v>44088021.109999999</v>
      </c>
      <c r="Y179" s="145"/>
      <c r="Z179" s="145"/>
      <c r="AX179" s="141" t="s">
        <v>237</v>
      </c>
      <c r="AY179" s="141">
        <v>2000</v>
      </c>
      <c r="AZ179" s="141">
        <v>33471295.789999999</v>
      </c>
      <c r="BA179" s="141">
        <v>58703435.130000003</v>
      </c>
      <c r="BB179" s="141">
        <v>68750693.109999999</v>
      </c>
      <c r="BC179" s="141">
        <v>74805695.150000006</v>
      </c>
      <c r="BD179" s="141">
        <v>77573991.090000004</v>
      </c>
      <c r="BE179" s="141">
        <v>79256309.090000004</v>
      </c>
      <c r="BF179" s="141">
        <v>79321703.180000007</v>
      </c>
      <c r="BG179" s="141">
        <v>78461531.810000002</v>
      </c>
      <c r="BH179" s="141">
        <v>78654185.489999995</v>
      </c>
      <c r="BI179" s="141">
        <v>77718063.049999997</v>
      </c>
      <c r="BJ179" s="141">
        <v>83384510.980000004</v>
      </c>
      <c r="BK179" s="141">
        <v>83249982.969999999</v>
      </c>
      <c r="BL179" s="141">
        <v>83249982.969999999</v>
      </c>
      <c r="BU179" s="141">
        <v>83249982.969999999</v>
      </c>
    </row>
    <row r="180" spans="1:73" ht="14.4" x14ac:dyDescent="0.3">
      <c r="A180" s="160" t="s">
        <v>239</v>
      </c>
      <c r="B180" s="161">
        <v>2004</v>
      </c>
      <c r="C180" s="161">
        <v>12335746.889999999</v>
      </c>
      <c r="D180" s="161">
        <v>41802600.329999998</v>
      </c>
      <c r="E180" s="161">
        <v>54609337.949999996</v>
      </c>
      <c r="F180" s="161">
        <v>58073469.329999998</v>
      </c>
      <c r="G180" s="161">
        <v>59099238.899999999</v>
      </c>
      <c r="H180" s="161">
        <v>59150346.609999999</v>
      </c>
      <c r="I180" s="161">
        <v>59623543.549999997</v>
      </c>
      <c r="J180" s="161">
        <v>59697678.109999999</v>
      </c>
      <c r="K180" s="161">
        <v>59898436.439999998</v>
      </c>
      <c r="L180" s="161">
        <v>59897721.540000007</v>
      </c>
      <c r="M180" s="161">
        <v>59905538.920000002</v>
      </c>
      <c r="N180" s="161">
        <v>59905538.920000002</v>
      </c>
      <c r="O180" s="149"/>
      <c r="P180" s="149"/>
      <c r="Q180" s="149"/>
      <c r="R180" s="149"/>
      <c r="S180" s="149"/>
      <c r="T180" s="149"/>
      <c r="U180" s="149"/>
      <c r="V180" s="149"/>
      <c r="W180" s="149"/>
      <c r="X180" s="161">
        <v>59905538.920000002</v>
      </c>
      <c r="Y180" s="145"/>
      <c r="Z180" s="145"/>
      <c r="AX180" s="141" t="s">
        <v>237</v>
      </c>
      <c r="AY180" s="141">
        <v>2001</v>
      </c>
      <c r="AZ180" s="141">
        <v>36126998.420000002</v>
      </c>
      <c r="BA180" s="141">
        <v>71803630.469999999</v>
      </c>
      <c r="BB180" s="141">
        <v>100434560.36</v>
      </c>
      <c r="BC180" s="141">
        <v>105347721.03</v>
      </c>
      <c r="BD180" s="141">
        <v>104279257.90000001</v>
      </c>
      <c r="BE180" s="141">
        <v>104954502.12</v>
      </c>
      <c r="BF180" s="141">
        <v>105110542.88</v>
      </c>
      <c r="BG180" s="141">
        <v>103645650.78</v>
      </c>
      <c r="BH180" s="141">
        <v>104264550.20999999</v>
      </c>
      <c r="BI180" s="141">
        <v>104126608.22</v>
      </c>
      <c r="BJ180" s="141">
        <v>104309864.67</v>
      </c>
      <c r="BK180" s="141">
        <v>104311468.3</v>
      </c>
      <c r="BU180" s="141">
        <v>104311468.3</v>
      </c>
    </row>
    <row r="181" spans="1:73" ht="14.4" x14ac:dyDescent="0.3">
      <c r="A181" s="160" t="s">
        <v>239</v>
      </c>
      <c r="B181" s="161">
        <v>2005</v>
      </c>
      <c r="C181" s="161">
        <v>36898311.060000002</v>
      </c>
      <c r="D181" s="161">
        <v>128897587.89000002</v>
      </c>
      <c r="E181" s="161">
        <v>105038368.82000005</v>
      </c>
      <c r="F181" s="161">
        <v>166737267.83000004</v>
      </c>
      <c r="G181" s="161">
        <v>172701299.20000005</v>
      </c>
      <c r="H181" s="161">
        <v>188572617.92999995</v>
      </c>
      <c r="I181" s="161">
        <v>192373035.31</v>
      </c>
      <c r="J181" s="161">
        <v>192595624.48999995</v>
      </c>
      <c r="K181" s="161">
        <v>210219805.83999997</v>
      </c>
      <c r="L181" s="161">
        <v>210237704.08999997</v>
      </c>
      <c r="M181" s="161">
        <v>210238113.50999999</v>
      </c>
      <c r="N181" s="149"/>
      <c r="O181" s="149"/>
      <c r="P181" s="149"/>
      <c r="Q181" s="149"/>
      <c r="R181" s="149"/>
      <c r="S181" s="149"/>
      <c r="T181" s="149"/>
      <c r="U181" s="149"/>
      <c r="V181" s="149"/>
      <c r="W181" s="149"/>
      <c r="X181" s="161">
        <v>210238113.50999999</v>
      </c>
      <c r="Y181" s="145"/>
      <c r="Z181" s="145"/>
      <c r="AX181" s="141" t="s">
        <v>237</v>
      </c>
      <c r="AY181" s="141">
        <v>2002</v>
      </c>
      <c r="AZ181" s="141">
        <v>7666382.1600000001</v>
      </c>
      <c r="BA181" s="141">
        <v>18292495.620000001</v>
      </c>
      <c r="BB181" s="141">
        <v>20649859.890000001</v>
      </c>
      <c r="BC181" s="141">
        <v>21110755.559999999</v>
      </c>
      <c r="BD181" s="141">
        <v>22141781.260000002</v>
      </c>
      <c r="BE181" s="141">
        <v>22632297.66</v>
      </c>
      <c r="BF181" s="141">
        <v>21620333.260000002</v>
      </c>
      <c r="BG181" s="141">
        <v>21613180.59</v>
      </c>
      <c r="BH181" s="141">
        <v>21598821.68</v>
      </c>
      <c r="BI181" s="141">
        <v>22594155.890000001</v>
      </c>
      <c r="BJ181" s="141">
        <v>22588544.030000001</v>
      </c>
      <c r="BU181" s="141">
        <v>22588544.030000001</v>
      </c>
    </row>
    <row r="182" spans="1:73" ht="14.4" x14ac:dyDescent="0.3">
      <c r="A182" s="160" t="s">
        <v>239</v>
      </c>
      <c r="B182" s="161">
        <v>2006</v>
      </c>
      <c r="C182" s="161">
        <v>36459418.060000002</v>
      </c>
      <c r="D182" s="161">
        <v>73043063.939999998</v>
      </c>
      <c r="E182" s="161">
        <v>83753835.139999986</v>
      </c>
      <c r="F182" s="161">
        <v>90472047.440000027</v>
      </c>
      <c r="G182" s="161">
        <v>90731773.320000023</v>
      </c>
      <c r="H182" s="161">
        <v>91235505.629999995</v>
      </c>
      <c r="I182" s="161">
        <v>90315678.189999998</v>
      </c>
      <c r="J182" s="161">
        <v>93045760.25</v>
      </c>
      <c r="K182" s="161">
        <v>93049048.300000012</v>
      </c>
      <c r="L182" s="161">
        <v>93099385.349999994</v>
      </c>
      <c r="M182" s="149"/>
      <c r="N182" s="149"/>
      <c r="O182" s="149"/>
      <c r="P182" s="149"/>
      <c r="Q182" s="149"/>
      <c r="R182" s="149"/>
      <c r="S182" s="149"/>
      <c r="T182" s="149"/>
      <c r="U182" s="149"/>
      <c r="V182" s="149"/>
      <c r="W182" s="149"/>
      <c r="X182" s="161">
        <v>93099385.349999994</v>
      </c>
      <c r="Y182" s="145"/>
      <c r="Z182" s="145"/>
      <c r="AX182" s="141" t="s">
        <v>237</v>
      </c>
      <c r="AY182" s="141">
        <v>2003</v>
      </c>
      <c r="AZ182" s="141">
        <v>20343028.719999999</v>
      </c>
      <c r="BA182" s="141">
        <v>34795734.619999997</v>
      </c>
      <c r="BB182" s="141">
        <v>38411755.420000002</v>
      </c>
      <c r="BC182" s="141">
        <v>40129857.640000001</v>
      </c>
      <c r="BD182" s="141">
        <v>42701186.939999998</v>
      </c>
      <c r="BE182" s="141">
        <v>44074680.479999997</v>
      </c>
      <c r="BF182" s="141">
        <v>44096122.149999999</v>
      </c>
      <c r="BG182" s="141">
        <v>44069805.399999999</v>
      </c>
      <c r="BH182" s="141">
        <v>44067340.359999999</v>
      </c>
      <c r="BI182" s="141">
        <v>44087221.82</v>
      </c>
      <c r="BU182" s="141">
        <v>44087221.82</v>
      </c>
    </row>
    <row r="183" spans="1:73" ht="14.4" x14ac:dyDescent="0.3">
      <c r="A183" s="160" t="s">
        <v>239</v>
      </c>
      <c r="B183" s="161">
        <v>2007</v>
      </c>
      <c r="C183" s="161">
        <v>40025845.390000001</v>
      </c>
      <c r="D183" s="161">
        <v>84470971.469999999</v>
      </c>
      <c r="E183" s="161">
        <v>91871348.489999995</v>
      </c>
      <c r="F183" s="161">
        <v>94693403.590000004</v>
      </c>
      <c r="G183" s="161">
        <v>95992463.780000001</v>
      </c>
      <c r="H183" s="161">
        <v>96260127.86999999</v>
      </c>
      <c r="I183" s="161">
        <v>96455291.109999999</v>
      </c>
      <c r="J183" s="161">
        <v>95935042.829999998</v>
      </c>
      <c r="K183" s="161">
        <v>95935224.359999999</v>
      </c>
      <c r="L183" s="149"/>
      <c r="M183" s="149"/>
      <c r="N183" s="149"/>
      <c r="O183" s="149"/>
      <c r="P183" s="149"/>
      <c r="Q183" s="149"/>
      <c r="R183" s="149"/>
      <c r="S183" s="149"/>
      <c r="T183" s="149"/>
      <c r="U183" s="149"/>
      <c r="V183" s="149"/>
      <c r="W183" s="149"/>
      <c r="X183" s="161">
        <v>95935224.359999999</v>
      </c>
      <c r="Y183" s="145"/>
      <c r="Z183" s="145"/>
      <c r="AX183" s="141" t="s">
        <v>237</v>
      </c>
      <c r="AY183" s="141">
        <v>2004</v>
      </c>
      <c r="AZ183" s="141">
        <v>12335746.890000001</v>
      </c>
      <c r="BA183" s="141">
        <v>41802600.329999998</v>
      </c>
      <c r="BB183" s="141">
        <v>54609337.950000003</v>
      </c>
      <c r="BC183" s="141">
        <v>58073469.329999998</v>
      </c>
      <c r="BD183" s="141">
        <v>59099238.899999999</v>
      </c>
      <c r="BE183" s="141">
        <v>59150346.609999999</v>
      </c>
      <c r="BF183" s="141">
        <v>59623543.549999997</v>
      </c>
      <c r="BG183" s="141">
        <v>59697678.109999999</v>
      </c>
      <c r="BH183" s="141">
        <v>59898436.439999998</v>
      </c>
      <c r="BU183" s="141">
        <v>59898436.439999998</v>
      </c>
    </row>
    <row r="184" spans="1:73" ht="14.4" x14ac:dyDescent="0.3">
      <c r="A184" s="160" t="s">
        <v>239</v>
      </c>
      <c r="B184" s="161">
        <v>2008</v>
      </c>
      <c r="C184" s="161">
        <v>80905287.150000006</v>
      </c>
      <c r="D184" s="161">
        <v>161164385.53999999</v>
      </c>
      <c r="E184" s="161">
        <v>174086122.83000001</v>
      </c>
      <c r="F184" s="161">
        <v>179579458.31999999</v>
      </c>
      <c r="G184" s="161">
        <v>181461807.22999999</v>
      </c>
      <c r="H184" s="161">
        <v>185140380.66000003</v>
      </c>
      <c r="I184" s="161">
        <v>185022586.41000003</v>
      </c>
      <c r="J184" s="161">
        <v>185032662.11000001</v>
      </c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149"/>
      <c r="W184" s="149"/>
      <c r="X184" s="161">
        <v>185032662.11000001</v>
      </c>
      <c r="Y184" s="145"/>
      <c r="Z184" s="145"/>
      <c r="AX184" s="141" t="s">
        <v>237</v>
      </c>
      <c r="AY184" s="141">
        <v>2005</v>
      </c>
      <c r="AZ184" s="141">
        <v>36898311.060000002</v>
      </c>
      <c r="BA184" s="141">
        <v>128897587.89</v>
      </c>
      <c r="BB184" s="141">
        <v>105038368.81999999</v>
      </c>
      <c r="BC184" s="141">
        <v>166737267.83000001</v>
      </c>
      <c r="BD184" s="141">
        <v>172701299.19999999</v>
      </c>
      <c r="BE184" s="141">
        <v>188572617.93000001</v>
      </c>
      <c r="BF184" s="141">
        <v>192373035.31</v>
      </c>
      <c r="BG184" s="141">
        <v>192595624.49000001</v>
      </c>
      <c r="BU184" s="141">
        <v>192595624.49000001</v>
      </c>
    </row>
    <row r="185" spans="1:73" ht="14.4" x14ac:dyDescent="0.3">
      <c r="A185" s="160" t="s">
        <v>239</v>
      </c>
      <c r="B185" s="161">
        <v>2009</v>
      </c>
      <c r="C185" s="161">
        <v>83423037.289999992</v>
      </c>
      <c r="D185" s="161">
        <v>130271882.38000003</v>
      </c>
      <c r="E185" s="161">
        <v>143554308.45999998</v>
      </c>
      <c r="F185" s="161">
        <v>148262148.61000001</v>
      </c>
      <c r="G185" s="161">
        <v>147923481.27000001</v>
      </c>
      <c r="H185" s="161">
        <v>149295732.30000001</v>
      </c>
      <c r="I185" s="161">
        <v>149099378.29999998</v>
      </c>
      <c r="J185" s="149"/>
      <c r="K185" s="149"/>
      <c r="L185" s="149"/>
      <c r="M185" s="149"/>
      <c r="N185" s="149"/>
      <c r="O185" s="149"/>
      <c r="P185" s="149"/>
      <c r="Q185" s="149"/>
      <c r="R185" s="149"/>
      <c r="S185" s="149"/>
      <c r="T185" s="149"/>
      <c r="U185" s="149"/>
      <c r="V185" s="149"/>
      <c r="W185" s="149"/>
      <c r="X185" s="161">
        <v>149099378.29999998</v>
      </c>
      <c r="Y185" s="145"/>
      <c r="Z185" s="145"/>
      <c r="AX185" s="141" t="s">
        <v>237</v>
      </c>
      <c r="AY185" s="141">
        <v>2006</v>
      </c>
      <c r="AZ185" s="141">
        <v>36459418.060000002</v>
      </c>
      <c r="BA185" s="141">
        <v>73043063.939999998</v>
      </c>
      <c r="BB185" s="141">
        <v>83753835.140000001</v>
      </c>
      <c r="BC185" s="141">
        <v>90472047.439999998</v>
      </c>
      <c r="BD185" s="141">
        <v>90731773.319999993</v>
      </c>
      <c r="BE185" s="141">
        <v>91235505.629999995</v>
      </c>
      <c r="BF185" s="141">
        <v>90315678.189999998</v>
      </c>
      <c r="BU185" s="141">
        <v>90315678.189999998</v>
      </c>
    </row>
    <row r="186" spans="1:73" ht="14.4" x14ac:dyDescent="0.3">
      <c r="A186" s="160" t="s">
        <v>239</v>
      </c>
      <c r="B186" s="161">
        <v>2010</v>
      </c>
      <c r="C186" s="161">
        <v>41931119.580000006</v>
      </c>
      <c r="D186" s="161">
        <v>69100997.689999998</v>
      </c>
      <c r="E186" s="161">
        <v>75524746.510000005</v>
      </c>
      <c r="F186" s="161">
        <v>77731200.379999995</v>
      </c>
      <c r="G186" s="161">
        <v>78440026.99000001</v>
      </c>
      <c r="H186" s="161">
        <v>78448608.659999996</v>
      </c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149"/>
      <c r="W186" s="149"/>
      <c r="X186" s="161">
        <v>78448608.659999996</v>
      </c>
      <c r="Y186" s="145"/>
      <c r="Z186" s="145"/>
      <c r="AX186" s="141" t="s">
        <v>237</v>
      </c>
      <c r="AY186" s="141">
        <v>2007</v>
      </c>
      <c r="AZ186" s="141">
        <v>40025845.390000001</v>
      </c>
      <c r="BA186" s="141">
        <v>84470971.469999999</v>
      </c>
      <c r="BB186" s="141">
        <v>91871348.489999995</v>
      </c>
      <c r="BC186" s="141">
        <v>94693403.590000004</v>
      </c>
      <c r="BD186" s="141">
        <v>95992463.780000001</v>
      </c>
      <c r="BE186" s="141">
        <v>96260127.870000005</v>
      </c>
      <c r="BU186" s="141">
        <v>96260127.870000005</v>
      </c>
    </row>
    <row r="187" spans="1:73" ht="14.4" x14ac:dyDescent="0.3">
      <c r="A187" s="160" t="s">
        <v>239</v>
      </c>
      <c r="B187" s="161">
        <v>2011</v>
      </c>
      <c r="C187" s="161">
        <v>95653266.959999993</v>
      </c>
      <c r="D187" s="161">
        <v>164815259.94999999</v>
      </c>
      <c r="E187" s="161">
        <v>178510592.10000002</v>
      </c>
      <c r="F187" s="161">
        <v>179446791.07999998</v>
      </c>
      <c r="G187" s="161">
        <v>179134129.05000001</v>
      </c>
      <c r="H187" s="149"/>
      <c r="I187" s="149"/>
      <c r="J187" s="149"/>
      <c r="K187" s="149"/>
      <c r="L187" s="149"/>
      <c r="M187" s="149"/>
      <c r="N187" s="149"/>
      <c r="O187" s="149"/>
      <c r="P187" s="149"/>
      <c r="Q187" s="149"/>
      <c r="R187" s="149"/>
      <c r="S187" s="149"/>
      <c r="T187" s="149"/>
      <c r="U187" s="149"/>
      <c r="V187" s="149"/>
      <c r="W187" s="149"/>
      <c r="X187" s="161">
        <v>179134129.05000001</v>
      </c>
      <c r="Y187" s="145"/>
      <c r="Z187" s="145"/>
      <c r="AX187" s="141" t="s">
        <v>237</v>
      </c>
      <c r="AY187" s="141">
        <v>2008</v>
      </c>
      <c r="AZ187" s="141">
        <v>80905287.150000006</v>
      </c>
      <c r="BA187" s="141">
        <v>161164385.53999999</v>
      </c>
      <c r="BB187" s="141">
        <v>174086122.83000001</v>
      </c>
      <c r="BC187" s="141">
        <v>179579458.31999999</v>
      </c>
      <c r="BD187" s="141">
        <v>181461807.22999999</v>
      </c>
      <c r="BU187" s="141">
        <v>181461807.22999999</v>
      </c>
    </row>
    <row r="188" spans="1:73" ht="14.4" x14ac:dyDescent="0.3">
      <c r="A188" s="160" t="s">
        <v>239</v>
      </c>
      <c r="B188" s="161">
        <v>2012</v>
      </c>
      <c r="C188" s="161">
        <v>72718809.429999992</v>
      </c>
      <c r="D188" s="161">
        <v>179180548.74000001</v>
      </c>
      <c r="E188" s="161">
        <v>204515666.50999999</v>
      </c>
      <c r="F188" s="161">
        <v>207253275.03999999</v>
      </c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149"/>
      <c r="W188" s="149"/>
      <c r="X188" s="161">
        <v>207253275.03999999</v>
      </c>
      <c r="Y188" s="145"/>
      <c r="Z188" s="145"/>
      <c r="AX188" s="141" t="s">
        <v>237</v>
      </c>
      <c r="AY188" s="141">
        <v>2009</v>
      </c>
      <c r="AZ188" s="141">
        <v>83423037.290000007</v>
      </c>
      <c r="BA188" s="141">
        <v>130271882.38</v>
      </c>
      <c r="BB188" s="141">
        <v>143554308.46000001</v>
      </c>
      <c r="BC188" s="141">
        <v>148262148.61000001</v>
      </c>
      <c r="BU188" s="141">
        <v>148262148.61000001</v>
      </c>
    </row>
    <row r="189" spans="1:73" ht="14.4" x14ac:dyDescent="0.3">
      <c r="A189" s="160" t="s">
        <v>239</v>
      </c>
      <c r="B189" s="161">
        <v>2013</v>
      </c>
      <c r="C189" s="161">
        <v>75411277.629999995</v>
      </c>
      <c r="D189" s="161">
        <v>105075304.88</v>
      </c>
      <c r="E189" s="161">
        <v>112119968.33</v>
      </c>
      <c r="F189" s="149"/>
      <c r="G189" s="149"/>
      <c r="H189" s="149"/>
      <c r="I189" s="149"/>
      <c r="J189" s="149"/>
      <c r="K189" s="149"/>
      <c r="L189" s="149"/>
      <c r="M189" s="149"/>
      <c r="N189" s="149"/>
      <c r="O189" s="149"/>
      <c r="P189" s="149"/>
      <c r="Q189" s="149"/>
      <c r="R189" s="149"/>
      <c r="S189" s="149"/>
      <c r="T189" s="149"/>
      <c r="U189" s="149"/>
      <c r="V189" s="149"/>
      <c r="W189" s="149"/>
      <c r="X189" s="161">
        <v>112119968.33</v>
      </c>
      <c r="Y189" s="145"/>
      <c r="Z189" s="145"/>
      <c r="AX189" s="141" t="s">
        <v>237</v>
      </c>
      <c r="AY189" s="141">
        <v>2010</v>
      </c>
      <c r="AZ189" s="141">
        <v>41931119.579999998</v>
      </c>
      <c r="BA189" s="141">
        <v>69100997.689999998</v>
      </c>
      <c r="BB189" s="141">
        <v>75524746.510000005</v>
      </c>
      <c r="BU189" s="141">
        <v>75524746.510000005</v>
      </c>
    </row>
    <row r="190" spans="1:73" ht="14.4" x14ac:dyDescent="0.3">
      <c r="A190" s="160" t="s">
        <v>239</v>
      </c>
      <c r="B190" s="161">
        <v>2014</v>
      </c>
      <c r="C190" s="161">
        <v>79465617.109999999</v>
      </c>
      <c r="D190" s="161">
        <v>118418806.31</v>
      </c>
      <c r="E190" s="149"/>
      <c r="F190" s="149"/>
      <c r="G190" s="149"/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149"/>
      <c r="W190" s="149"/>
      <c r="X190" s="161">
        <v>118418806.31</v>
      </c>
      <c r="Y190" s="145"/>
      <c r="Z190" s="145"/>
      <c r="AX190" s="141" t="s">
        <v>237</v>
      </c>
      <c r="AY190" s="141">
        <v>2011</v>
      </c>
      <c r="AZ190" s="141">
        <v>95653266.959999993</v>
      </c>
      <c r="BA190" s="141">
        <v>164815259.94999999</v>
      </c>
      <c r="BU190" s="141">
        <v>164815259.94999999</v>
      </c>
    </row>
    <row r="191" spans="1:73" ht="14.4" x14ac:dyDescent="0.3">
      <c r="A191" s="160" t="s">
        <v>239</v>
      </c>
      <c r="B191" s="161">
        <v>2015</v>
      </c>
      <c r="C191" s="161">
        <v>72078749.38000001</v>
      </c>
      <c r="D191" s="149"/>
      <c r="E191" s="149"/>
      <c r="F191" s="149"/>
      <c r="G191" s="149"/>
      <c r="H191" s="149"/>
      <c r="I191" s="149"/>
      <c r="J191" s="149"/>
      <c r="K191" s="149"/>
      <c r="L191" s="149"/>
      <c r="M191" s="149"/>
      <c r="N191" s="149"/>
      <c r="O191" s="149"/>
      <c r="P191" s="149"/>
      <c r="Q191" s="149"/>
      <c r="R191" s="149"/>
      <c r="S191" s="149"/>
      <c r="T191" s="149"/>
      <c r="U191" s="149"/>
      <c r="V191" s="149"/>
      <c r="W191" s="149"/>
      <c r="X191" s="161">
        <v>72078749.38000001</v>
      </c>
      <c r="Y191" s="145"/>
      <c r="Z191" s="145"/>
      <c r="AX191" s="141" t="s">
        <v>237</v>
      </c>
      <c r="AY191" s="141">
        <v>2012</v>
      </c>
      <c r="AZ191" s="141">
        <v>72718809.430000007</v>
      </c>
      <c r="BU191" s="141">
        <v>72718809.430000007</v>
      </c>
    </row>
    <row r="192" spans="1:73" ht="14.4" x14ac:dyDescent="0.3">
      <c r="A192" s="160" t="s">
        <v>253</v>
      </c>
      <c r="B192" s="161">
        <v>1995</v>
      </c>
      <c r="C192" s="161">
        <v>277536369.34999996</v>
      </c>
      <c r="D192" s="161">
        <v>398413904.61000001</v>
      </c>
      <c r="E192" s="161">
        <v>421194520.44</v>
      </c>
      <c r="F192" s="161">
        <v>427697523.37</v>
      </c>
      <c r="G192" s="161">
        <v>431115339.16999996</v>
      </c>
      <c r="H192" s="161">
        <v>434543628.04999995</v>
      </c>
      <c r="I192" s="161">
        <v>436490511.65000004</v>
      </c>
      <c r="J192" s="161">
        <v>437587893.34999996</v>
      </c>
      <c r="K192" s="161">
        <v>437773662.10000002</v>
      </c>
      <c r="L192" s="161">
        <v>437306134.17000002</v>
      </c>
      <c r="M192" s="161">
        <v>437280224.70999998</v>
      </c>
      <c r="N192" s="161">
        <v>437299081.59999996</v>
      </c>
      <c r="O192" s="161">
        <v>437368995.13999999</v>
      </c>
      <c r="P192" s="161">
        <v>437363693.92000002</v>
      </c>
      <c r="Q192" s="161">
        <v>437373177.32999998</v>
      </c>
      <c r="R192" s="161">
        <v>437358622.63999999</v>
      </c>
      <c r="S192" s="161">
        <v>437352306.73000002</v>
      </c>
      <c r="T192" s="161">
        <v>437346846.05000001</v>
      </c>
      <c r="U192" s="161">
        <v>437161022.80000001</v>
      </c>
      <c r="V192" s="161">
        <v>437162308.24000001</v>
      </c>
      <c r="W192" s="161">
        <v>437138525.23000002</v>
      </c>
      <c r="X192" s="161">
        <v>437138525.23000002</v>
      </c>
      <c r="Y192" s="145"/>
      <c r="Z192" s="145"/>
      <c r="AX192" s="141" t="s">
        <v>238</v>
      </c>
      <c r="AY192" s="141">
        <v>1992</v>
      </c>
      <c r="AZ192" s="141">
        <v>3900141134.3400002</v>
      </c>
      <c r="BA192" s="141">
        <v>4081780438.8099999</v>
      </c>
      <c r="BB192" s="141">
        <v>4103023429.3099999</v>
      </c>
      <c r="BC192" s="141">
        <v>4105740760.4699998</v>
      </c>
      <c r="BD192" s="141">
        <v>4100977949.5599999</v>
      </c>
      <c r="BE192" s="141">
        <v>4102991259.77</v>
      </c>
      <c r="BF192" s="141">
        <v>4106291316.3200002</v>
      </c>
      <c r="BG192" s="141">
        <v>4106407378.9899998</v>
      </c>
      <c r="BH192" s="141">
        <v>4107097383.1599998</v>
      </c>
      <c r="BI192" s="141">
        <v>4107361301.0700002</v>
      </c>
      <c r="BJ192" s="141">
        <v>4107195140.5</v>
      </c>
      <c r="BK192" s="141">
        <v>4105538332.6999998</v>
      </c>
      <c r="BL192" s="141">
        <v>4105464355.1300001</v>
      </c>
      <c r="BM192" s="141">
        <v>4105300765.3299999</v>
      </c>
      <c r="BN192" s="141">
        <v>4105662988.73</v>
      </c>
      <c r="BO192" s="141">
        <v>4105655118.5700002</v>
      </c>
      <c r="BP192" s="141">
        <v>4105619479.52</v>
      </c>
      <c r="BQ192" s="141">
        <v>4105548817.4299998</v>
      </c>
      <c r="BR192" s="141">
        <v>4105518144.3000002</v>
      </c>
      <c r="BS192" s="141">
        <v>4105490732.6999998</v>
      </c>
      <c r="BT192" s="141">
        <v>4105474220.2199998</v>
      </c>
      <c r="BU192" s="141">
        <v>4105474220.2199998</v>
      </c>
    </row>
    <row r="193" spans="1:73" ht="14.4" x14ac:dyDescent="0.3">
      <c r="A193" s="160" t="s">
        <v>253</v>
      </c>
      <c r="B193" s="161">
        <v>1996</v>
      </c>
      <c r="C193" s="161">
        <v>301995078.01999998</v>
      </c>
      <c r="D193" s="161">
        <v>417013172.38999999</v>
      </c>
      <c r="E193" s="161">
        <v>424238081.24000001</v>
      </c>
      <c r="F193" s="161">
        <v>427685311.96000004</v>
      </c>
      <c r="G193" s="161">
        <v>428716121.03999996</v>
      </c>
      <c r="H193" s="161">
        <v>431221581.12</v>
      </c>
      <c r="I193" s="161">
        <v>430530408.50999999</v>
      </c>
      <c r="J193" s="161">
        <v>431088387.68000001</v>
      </c>
      <c r="K193" s="161">
        <v>432127984.87</v>
      </c>
      <c r="L193" s="161">
        <v>433028527.59999996</v>
      </c>
      <c r="M193" s="161">
        <v>432989841.00999999</v>
      </c>
      <c r="N193" s="161">
        <v>432969793.5</v>
      </c>
      <c r="O193" s="161">
        <v>432958994.28000003</v>
      </c>
      <c r="P193" s="161">
        <v>432944908.53000003</v>
      </c>
      <c r="Q193" s="161">
        <v>432935834.97000003</v>
      </c>
      <c r="R193" s="161">
        <v>432930192.45000005</v>
      </c>
      <c r="S193" s="161">
        <v>432925791.55000001</v>
      </c>
      <c r="T193" s="161">
        <v>432920314.56</v>
      </c>
      <c r="U193" s="161">
        <v>432913101.56999999</v>
      </c>
      <c r="V193" s="161">
        <v>432904084.49000001</v>
      </c>
      <c r="W193" s="149"/>
      <c r="X193" s="161">
        <v>432904084.49000001</v>
      </c>
      <c r="Y193" s="145"/>
      <c r="Z193" s="145"/>
      <c r="AX193" s="141" t="s">
        <v>238</v>
      </c>
      <c r="AY193" s="141">
        <v>1993</v>
      </c>
      <c r="AZ193" s="141">
        <v>279371591.94</v>
      </c>
      <c r="BA193" s="141">
        <v>395987269.83999997</v>
      </c>
      <c r="BB193" s="141">
        <v>408879426.44</v>
      </c>
      <c r="BC193" s="141">
        <v>412396614.31999999</v>
      </c>
      <c r="BD193" s="141">
        <v>409841591.62</v>
      </c>
      <c r="BE193" s="141">
        <v>411873716.48000002</v>
      </c>
      <c r="BF193" s="141">
        <v>412166380.16000003</v>
      </c>
      <c r="BG193" s="141">
        <v>412510703.18000001</v>
      </c>
      <c r="BH193" s="141">
        <v>412406418.49000001</v>
      </c>
      <c r="BI193" s="141">
        <v>412363763.86000001</v>
      </c>
      <c r="BJ193" s="141">
        <v>412489005.24000001</v>
      </c>
      <c r="BK193" s="141">
        <v>412532326.99000001</v>
      </c>
      <c r="BL193" s="141">
        <v>412735607.04000002</v>
      </c>
      <c r="BM193" s="141">
        <v>412939976.18000001</v>
      </c>
      <c r="BN193" s="141">
        <v>412919432.97000003</v>
      </c>
      <c r="BO193" s="141">
        <v>412896708.85000002</v>
      </c>
      <c r="BP193" s="141">
        <v>412857300.52999997</v>
      </c>
      <c r="BQ193" s="141">
        <v>412821135.92000002</v>
      </c>
      <c r="BR193" s="141">
        <v>412798469.02999997</v>
      </c>
      <c r="BS193" s="141">
        <v>412785621.44</v>
      </c>
      <c r="BU193" s="141">
        <v>412785621.44</v>
      </c>
    </row>
    <row r="194" spans="1:73" ht="14.4" x14ac:dyDescent="0.3">
      <c r="A194" s="160" t="s">
        <v>253</v>
      </c>
      <c r="B194" s="161">
        <v>1997</v>
      </c>
      <c r="C194" s="161">
        <v>235762850.28</v>
      </c>
      <c r="D194" s="161">
        <v>316184780.62</v>
      </c>
      <c r="E194" s="161">
        <v>329558809.17000002</v>
      </c>
      <c r="F194" s="161">
        <v>334189786.48000002</v>
      </c>
      <c r="G194" s="161">
        <v>335404562.75</v>
      </c>
      <c r="H194" s="161">
        <v>336496349.79999995</v>
      </c>
      <c r="I194" s="161">
        <v>337458573.10000002</v>
      </c>
      <c r="J194" s="161">
        <v>336515886.04999995</v>
      </c>
      <c r="K194" s="161">
        <v>336510391.56</v>
      </c>
      <c r="L194" s="161">
        <v>337383949.14999998</v>
      </c>
      <c r="M194" s="161">
        <v>337749357.5</v>
      </c>
      <c r="N194" s="161">
        <v>337727777.43000001</v>
      </c>
      <c r="O194" s="161">
        <v>337680133.13</v>
      </c>
      <c r="P194" s="161">
        <v>337680047.21000004</v>
      </c>
      <c r="Q194" s="161">
        <v>337669810.13999999</v>
      </c>
      <c r="R194" s="161">
        <v>337656967.80000001</v>
      </c>
      <c r="S194" s="161">
        <v>337632457.44</v>
      </c>
      <c r="T194" s="161">
        <v>337629463.05000001</v>
      </c>
      <c r="U194" s="161">
        <v>337622655.30000001</v>
      </c>
      <c r="V194" s="149"/>
      <c r="W194" s="149"/>
      <c r="X194" s="161">
        <v>337622655.30000001</v>
      </c>
      <c r="Y194" s="145"/>
      <c r="Z194" s="145"/>
      <c r="AX194" s="141" t="s">
        <v>238</v>
      </c>
      <c r="AY194" s="141">
        <v>1994</v>
      </c>
      <c r="AZ194" s="141">
        <v>360332653.94</v>
      </c>
      <c r="BA194" s="141">
        <v>482865716.33999997</v>
      </c>
      <c r="BB194" s="141">
        <v>501708507.99000001</v>
      </c>
      <c r="BC194" s="141">
        <v>509499655.06</v>
      </c>
      <c r="BD194" s="141">
        <v>511121641.13</v>
      </c>
      <c r="BE194" s="141">
        <v>516487777.5</v>
      </c>
      <c r="BF194" s="141">
        <v>516429418.49000001</v>
      </c>
      <c r="BG194" s="141">
        <v>516848021.94</v>
      </c>
      <c r="BH194" s="141">
        <v>517695189.11000001</v>
      </c>
      <c r="BI194" s="141">
        <v>518689844.25</v>
      </c>
      <c r="BJ194" s="141">
        <v>519088156.57999998</v>
      </c>
      <c r="BK194" s="141">
        <v>519785712.04000002</v>
      </c>
      <c r="BL194" s="141">
        <v>519972357.29000002</v>
      </c>
      <c r="BM194" s="141">
        <v>520099297.31</v>
      </c>
      <c r="BN194" s="141">
        <v>523919986.77999997</v>
      </c>
      <c r="BO194" s="141">
        <v>523933769.26999998</v>
      </c>
      <c r="BP194" s="141">
        <v>523900262.94999999</v>
      </c>
      <c r="BQ194" s="141">
        <v>523904155.56</v>
      </c>
      <c r="BR194" s="141">
        <v>523900492.19</v>
      </c>
      <c r="BU194" s="141">
        <v>523900492.19</v>
      </c>
    </row>
    <row r="195" spans="1:73" ht="14.4" x14ac:dyDescent="0.3">
      <c r="A195" s="160" t="s">
        <v>253</v>
      </c>
      <c r="B195" s="161">
        <v>1998</v>
      </c>
      <c r="C195" s="161">
        <v>255626183.25999999</v>
      </c>
      <c r="D195" s="161">
        <v>374217647.74000001</v>
      </c>
      <c r="E195" s="161">
        <v>388531877.09999996</v>
      </c>
      <c r="F195" s="161">
        <v>393713780.56999999</v>
      </c>
      <c r="G195" s="161">
        <v>396920858.36000001</v>
      </c>
      <c r="H195" s="161">
        <v>400620706.69999999</v>
      </c>
      <c r="I195" s="161">
        <v>401871902.69</v>
      </c>
      <c r="J195" s="161">
        <v>401796617.77000004</v>
      </c>
      <c r="K195" s="161">
        <v>403022608.25999999</v>
      </c>
      <c r="L195" s="161">
        <v>403017611.81</v>
      </c>
      <c r="M195" s="161">
        <v>403007953.45000005</v>
      </c>
      <c r="N195" s="161">
        <v>402860714.88999999</v>
      </c>
      <c r="O195" s="161">
        <v>402865007.08999997</v>
      </c>
      <c r="P195" s="161">
        <v>402850016.76999998</v>
      </c>
      <c r="Q195" s="161">
        <v>402838212.74000001</v>
      </c>
      <c r="R195" s="161">
        <v>402825159.38999999</v>
      </c>
      <c r="S195" s="161">
        <v>402793762.03999996</v>
      </c>
      <c r="T195" s="161">
        <v>402786958.09999996</v>
      </c>
      <c r="U195" s="149"/>
      <c r="V195" s="149"/>
      <c r="W195" s="149"/>
      <c r="X195" s="161">
        <v>402786958.09999996</v>
      </c>
      <c r="Y195" s="145"/>
      <c r="Z195" s="145"/>
      <c r="AX195" s="141" t="s">
        <v>238</v>
      </c>
      <c r="AY195" s="141">
        <v>1995</v>
      </c>
      <c r="AZ195" s="141">
        <v>277536369.35000002</v>
      </c>
      <c r="BA195" s="141">
        <v>398413904.61000001</v>
      </c>
      <c r="BB195" s="141">
        <v>421194520.44</v>
      </c>
      <c r="BC195" s="141">
        <v>427697523.37</v>
      </c>
      <c r="BD195" s="141">
        <v>431115339.17000002</v>
      </c>
      <c r="BE195" s="141">
        <v>434543628.05000001</v>
      </c>
      <c r="BF195" s="141">
        <v>436490511.64999998</v>
      </c>
      <c r="BG195" s="141">
        <v>437587893.35000002</v>
      </c>
      <c r="BH195" s="141">
        <v>437773662.10000002</v>
      </c>
      <c r="BI195" s="141">
        <v>437306134.17000002</v>
      </c>
      <c r="BJ195" s="141">
        <v>437280224.70999998</v>
      </c>
      <c r="BK195" s="141">
        <v>437299081.60000002</v>
      </c>
      <c r="BL195" s="141">
        <v>437368995.13999999</v>
      </c>
      <c r="BM195" s="141">
        <v>437363693.92000002</v>
      </c>
      <c r="BN195" s="141">
        <v>437373177.32999998</v>
      </c>
      <c r="BO195" s="141">
        <v>437358622.63999999</v>
      </c>
      <c r="BP195" s="141">
        <v>437352306.73000002</v>
      </c>
      <c r="BQ195" s="141">
        <v>437346846.05000001</v>
      </c>
      <c r="BU195" s="141">
        <v>437346846.05000001</v>
      </c>
    </row>
    <row r="196" spans="1:73" ht="14.4" x14ac:dyDescent="0.3">
      <c r="A196" s="160" t="s">
        <v>253</v>
      </c>
      <c r="B196" s="161">
        <v>1999</v>
      </c>
      <c r="C196" s="161">
        <v>314225428.39999998</v>
      </c>
      <c r="D196" s="161">
        <v>433864105.2100001</v>
      </c>
      <c r="E196" s="161">
        <v>449426809.29000008</v>
      </c>
      <c r="F196" s="161">
        <v>459151186.48000008</v>
      </c>
      <c r="G196" s="161">
        <v>463853929.73000002</v>
      </c>
      <c r="H196" s="161">
        <v>466002933.42000008</v>
      </c>
      <c r="I196" s="161">
        <v>468348796.78000009</v>
      </c>
      <c r="J196" s="161">
        <v>468744465.34000009</v>
      </c>
      <c r="K196" s="161">
        <v>469227498.85000002</v>
      </c>
      <c r="L196" s="161">
        <v>470866144.36000007</v>
      </c>
      <c r="M196" s="161">
        <v>471391280.59000003</v>
      </c>
      <c r="N196" s="161">
        <v>471409920.95000005</v>
      </c>
      <c r="O196" s="161">
        <v>471889928.37</v>
      </c>
      <c r="P196" s="161">
        <v>471889673.16000003</v>
      </c>
      <c r="Q196" s="161">
        <v>471884045.97000003</v>
      </c>
      <c r="R196" s="161">
        <v>471893528.04000002</v>
      </c>
      <c r="S196" s="161">
        <v>471888374.00000006</v>
      </c>
      <c r="T196" s="149"/>
      <c r="U196" s="149"/>
      <c r="V196" s="149"/>
      <c r="W196" s="149"/>
      <c r="X196" s="161">
        <v>471888374.00000006</v>
      </c>
      <c r="Y196" s="145"/>
      <c r="Z196" s="145"/>
      <c r="AX196" s="141" t="s">
        <v>238</v>
      </c>
      <c r="AY196" s="141">
        <v>1996</v>
      </c>
      <c r="AZ196" s="141">
        <v>301995078.01999998</v>
      </c>
      <c r="BA196" s="141">
        <v>417013172.38999999</v>
      </c>
      <c r="BB196" s="141">
        <v>424238081.24000001</v>
      </c>
      <c r="BC196" s="141">
        <v>427685311.95999998</v>
      </c>
      <c r="BD196" s="141">
        <v>428716121.04000002</v>
      </c>
      <c r="BE196" s="141">
        <v>431221581.12</v>
      </c>
      <c r="BF196" s="141">
        <v>430530408.50999999</v>
      </c>
      <c r="BG196" s="141">
        <v>431088387.68000001</v>
      </c>
      <c r="BH196" s="141">
        <v>432127984.87</v>
      </c>
      <c r="BI196" s="141">
        <v>433028527.60000002</v>
      </c>
      <c r="BJ196" s="141">
        <v>432989841.00999999</v>
      </c>
      <c r="BK196" s="141">
        <v>432969793.5</v>
      </c>
      <c r="BL196" s="141">
        <v>432958994.27999997</v>
      </c>
      <c r="BM196" s="141">
        <v>432944908.52999997</v>
      </c>
      <c r="BN196" s="141">
        <v>432935834.97000003</v>
      </c>
      <c r="BO196" s="141">
        <v>432930192.44999999</v>
      </c>
      <c r="BP196" s="141">
        <v>432925791.55000001</v>
      </c>
      <c r="BU196" s="141">
        <v>432925791.55000001</v>
      </c>
    </row>
    <row r="197" spans="1:73" ht="14.4" x14ac:dyDescent="0.3">
      <c r="A197" s="160" t="s">
        <v>253</v>
      </c>
      <c r="B197" s="161">
        <v>2000</v>
      </c>
      <c r="C197" s="161">
        <v>275172821.11000001</v>
      </c>
      <c r="D197" s="161">
        <v>368567947.15000004</v>
      </c>
      <c r="E197" s="161">
        <v>389488642.60000002</v>
      </c>
      <c r="F197" s="161">
        <v>402879259.10000002</v>
      </c>
      <c r="G197" s="161">
        <v>412059445.33999997</v>
      </c>
      <c r="H197" s="161">
        <v>415646848.45999998</v>
      </c>
      <c r="I197" s="161">
        <v>417970728.13</v>
      </c>
      <c r="J197" s="161">
        <v>418034562.25999999</v>
      </c>
      <c r="K197" s="161">
        <v>420152601.37</v>
      </c>
      <c r="L197" s="161">
        <v>420118928.5</v>
      </c>
      <c r="M197" s="161">
        <v>420074741.72000003</v>
      </c>
      <c r="N197" s="161">
        <v>421373465.71000004</v>
      </c>
      <c r="O197" s="161">
        <v>421349097.37</v>
      </c>
      <c r="P197" s="161">
        <v>421335366.32999998</v>
      </c>
      <c r="Q197" s="161">
        <v>421301931.61999995</v>
      </c>
      <c r="R197" s="161">
        <v>421296606.79999995</v>
      </c>
      <c r="S197" s="149"/>
      <c r="T197" s="149"/>
      <c r="U197" s="149"/>
      <c r="V197" s="149"/>
      <c r="W197" s="149"/>
      <c r="X197" s="161">
        <v>421296606.79999995</v>
      </c>
      <c r="Y197" s="145"/>
      <c r="Z197" s="145"/>
      <c r="AX197" s="141" t="s">
        <v>238</v>
      </c>
      <c r="AY197" s="141">
        <v>1997</v>
      </c>
      <c r="AZ197" s="141">
        <v>235762850.28</v>
      </c>
      <c r="BA197" s="141">
        <v>316184780.62</v>
      </c>
      <c r="BB197" s="141">
        <v>329558809.17000002</v>
      </c>
      <c r="BC197" s="141">
        <v>334189786.48000002</v>
      </c>
      <c r="BD197" s="141">
        <v>335404562.75</v>
      </c>
      <c r="BE197" s="141">
        <v>336496349.80000001</v>
      </c>
      <c r="BF197" s="141">
        <v>337458573.10000002</v>
      </c>
      <c r="BG197" s="141">
        <v>336515886.05000001</v>
      </c>
      <c r="BH197" s="141">
        <v>336510391.56</v>
      </c>
      <c r="BI197" s="141">
        <v>337383949.14999998</v>
      </c>
      <c r="BJ197" s="141">
        <v>337749357.5</v>
      </c>
      <c r="BK197" s="141">
        <v>337727777.43000001</v>
      </c>
      <c r="BL197" s="141">
        <v>337680133.13</v>
      </c>
      <c r="BM197" s="141">
        <v>337680047.20999998</v>
      </c>
      <c r="BN197" s="141">
        <v>337669810.13999999</v>
      </c>
      <c r="BO197" s="141">
        <v>337656967.80000001</v>
      </c>
      <c r="BU197" s="141">
        <v>337656967.80000001</v>
      </c>
    </row>
    <row r="198" spans="1:73" ht="14.4" x14ac:dyDescent="0.3">
      <c r="A198" s="160" t="s">
        <v>253</v>
      </c>
      <c r="B198" s="161">
        <v>2001</v>
      </c>
      <c r="C198" s="161">
        <v>222682105.56</v>
      </c>
      <c r="D198" s="161">
        <v>335941449.85000002</v>
      </c>
      <c r="E198" s="161">
        <v>364458745.27999997</v>
      </c>
      <c r="F198" s="161">
        <v>378827792.50999999</v>
      </c>
      <c r="G198" s="161">
        <v>387956757.06999999</v>
      </c>
      <c r="H198" s="161">
        <v>391674371.38</v>
      </c>
      <c r="I198" s="161">
        <v>397105805.69999999</v>
      </c>
      <c r="J198" s="161">
        <v>399073581.50999999</v>
      </c>
      <c r="K198" s="161">
        <v>399114406.34000003</v>
      </c>
      <c r="L198" s="161">
        <v>399118913.37</v>
      </c>
      <c r="M198" s="161">
        <v>399142818.73000002</v>
      </c>
      <c r="N198" s="161">
        <v>399107236.12</v>
      </c>
      <c r="O198" s="161">
        <v>399590620</v>
      </c>
      <c r="P198" s="161">
        <v>399572422.58000004</v>
      </c>
      <c r="Q198" s="161">
        <v>399540936.86000001</v>
      </c>
      <c r="R198" s="149"/>
      <c r="S198" s="149"/>
      <c r="T198" s="149"/>
      <c r="U198" s="149"/>
      <c r="V198" s="149"/>
      <c r="W198" s="149"/>
      <c r="X198" s="161">
        <v>399540936.86000001</v>
      </c>
      <c r="Y198" s="145"/>
      <c r="Z198" s="145"/>
      <c r="AX198" s="141" t="s">
        <v>238</v>
      </c>
      <c r="AY198" s="141">
        <v>1998</v>
      </c>
      <c r="AZ198" s="141">
        <v>255626183.25999999</v>
      </c>
      <c r="BA198" s="141">
        <v>374217647.74000001</v>
      </c>
      <c r="BB198" s="141">
        <v>388531877.10000002</v>
      </c>
      <c r="BC198" s="141">
        <v>393713780.56999999</v>
      </c>
      <c r="BD198" s="141">
        <v>396920858.36000001</v>
      </c>
      <c r="BE198" s="141">
        <v>400620706.69999999</v>
      </c>
      <c r="BF198" s="141">
        <v>401871902.69</v>
      </c>
      <c r="BG198" s="141">
        <v>401796617.76999998</v>
      </c>
      <c r="BH198" s="141">
        <v>403022608.25999999</v>
      </c>
      <c r="BI198" s="141">
        <v>403017611.81</v>
      </c>
      <c r="BJ198" s="141">
        <v>403007953.44999999</v>
      </c>
      <c r="BK198" s="141">
        <v>402860714.88999999</v>
      </c>
      <c r="BL198" s="141">
        <v>402865007.08999997</v>
      </c>
      <c r="BM198" s="141">
        <v>402850016.76999998</v>
      </c>
      <c r="BN198" s="141">
        <v>402838212.74000001</v>
      </c>
      <c r="BU198" s="141">
        <v>402838212.74000001</v>
      </c>
    </row>
    <row r="199" spans="1:73" ht="14.4" x14ac:dyDescent="0.3">
      <c r="A199" s="160" t="s">
        <v>253</v>
      </c>
      <c r="B199" s="161">
        <v>2002</v>
      </c>
      <c r="C199" s="161">
        <v>167339838.94</v>
      </c>
      <c r="D199" s="161">
        <v>263209854.59</v>
      </c>
      <c r="E199" s="161">
        <v>288261313.02000004</v>
      </c>
      <c r="F199" s="161">
        <v>301431653.88999999</v>
      </c>
      <c r="G199" s="161">
        <v>313516368.84000003</v>
      </c>
      <c r="H199" s="161">
        <v>316475365.61999995</v>
      </c>
      <c r="I199" s="161">
        <v>318096688.82999998</v>
      </c>
      <c r="J199" s="161">
        <v>318792301.69999999</v>
      </c>
      <c r="K199" s="161">
        <v>318794998.80000001</v>
      </c>
      <c r="L199" s="161">
        <v>318836898.88999999</v>
      </c>
      <c r="M199" s="161">
        <v>318826517.15999997</v>
      </c>
      <c r="N199" s="161">
        <v>318809491.64999998</v>
      </c>
      <c r="O199" s="161">
        <v>318796741.39999998</v>
      </c>
      <c r="P199" s="161">
        <v>318788818.06</v>
      </c>
      <c r="Q199" s="149"/>
      <c r="R199" s="149"/>
      <c r="S199" s="149"/>
      <c r="T199" s="149"/>
      <c r="U199" s="149"/>
      <c r="V199" s="149"/>
      <c r="W199" s="149"/>
      <c r="X199" s="161">
        <v>318788818.06</v>
      </c>
      <c r="Y199" s="145"/>
      <c r="Z199" s="145"/>
      <c r="AX199" s="141" t="s">
        <v>238</v>
      </c>
      <c r="AY199" s="141">
        <v>1999</v>
      </c>
      <c r="AZ199" s="141">
        <v>314225428.39999998</v>
      </c>
      <c r="BA199" s="141">
        <v>433864105.20999998</v>
      </c>
      <c r="BB199" s="141">
        <v>449426809.29000002</v>
      </c>
      <c r="BC199" s="141">
        <v>459151186.48000002</v>
      </c>
      <c r="BD199" s="141">
        <v>463853929.73000002</v>
      </c>
      <c r="BE199" s="141">
        <v>466002933.42000002</v>
      </c>
      <c r="BF199" s="141">
        <v>468348796.77999997</v>
      </c>
      <c r="BG199" s="141">
        <v>468744465.33999997</v>
      </c>
      <c r="BH199" s="141">
        <v>469227498.85000002</v>
      </c>
      <c r="BI199" s="141">
        <v>470866144.36000001</v>
      </c>
      <c r="BJ199" s="141">
        <v>471391280.58999997</v>
      </c>
      <c r="BK199" s="141">
        <v>471409920.94999999</v>
      </c>
      <c r="BL199" s="141">
        <v>471889928.37</v>
      </c>
      <c r="BM199" s="141">
        <v>471889673.16000003</v>
      </c>
      <c r="BU199" s="141">
        <v>471889673.16000003</v>
      </c>
    </row>
    <row r="200" spans="1:73" ht="14.4" x14ac:dyDescent="0.3">
      <c r="A200" s="160" t="s">
        <v>253</v>
      </c>
      <c r="B200" s="161">
        <v>2003</v>
      </c>
      <c r="C200" s="161">
        <v>173186308.04999998</v>
      </c>
      <c r="D200" s="161">
        <v>253535474.53999999</v>
      </c>
      <c r="E200" s="161">
        <v>272795869.02999997</v>
      </c>
      <c r="F200" s="161">
        <v>280861385.53000003</v>
      </c>
      <c r="G200" s="161">
        <v>283651187.19</v>
      </c>
      <c r="H200" s="161">
        <v>286723009.79000002</v>
      </c>
      <c r="I200" s="161">
        <v>288464032.49000001</v>
      </c>
      <c r="J200" s="161">
        <v>288210420.50999999</v>
      </c>
      <c r="K200" s="161">
        <v>290128404.48000002</v>
      </c>
      <c r="L200" s="161">
        <v>290120932.34000003</v>
      </c>
      <c r="M200" s="161">
        <v>290101023.02000004</v>
      </c>
      <c r="N200" s="161">
        <v>290083458.89999998</v>
      </c>
      <c r="O200" s="161">
        <v>290090942.06999999</v>
      </c>
      <c r="P200" s="149"/>
      <c r="Q200" s="149"/>
      <c r="R200" s="149"/>
      <c r="S200" s="149"/>
      <c r="T200" s="149"/>
      <c r="U200" s="149"/>
      <c r="V200" s="149"/>
      <c r="W200" s="149"/>
      <c r="X200" s="161">
        <v>290090942.06999999</v>
      </c>
      <c r="Y200" s="145"/>
      <c r="Z200" s="145"/>
      <c r="AX200" s="141" t="s">
        <v>238</v>
      </c>
      <c r="AY200" s="141">
        <v>2000</v>
      </c>
      <c r="AZ200" s="141">
        <v>275172821.11000001</v>
      </c>
      <c r="BA200" s="141">
        <v>368567947.14999998</v>
      </c>
      <c r="BB200" s="141">
        <v>389488642.60000002</v>
      </c>
      <c r="BC200" s="141">
        <v>402879259.10000002</v>
      </c>
      <c r="BD200" s="141">
        <v>412059445.33999997</v>
      </c>
      <c r="BE200" s="141">
        <v>415646848.45999998</v>
      </c>
      <c r="BF200" s="141">
        <v>417970728.13</v>
      </c>
      <c r="BG200" s="141">
        <v>418034562.25999999</v>
      </c>
      <c r="BH200" s="141">
        <v>420152601.37</v>
      </c>
      <c r="BI200" s="141">
        <v>420118928.5</v>
      </c>
      <c r="BJ200" s="141">
        <v>420074741.72000003</v>
      </c>
      <c r="BK200" s="141">
        <v>421373465.70999998</v>
      </c>
      <c r="BL200" s="141">
        <v>421349097.37</v>
      </c>
      <c r="BU200" s="141">
        <v>421349097.37</v>
      </c>
    </row>
    <row r="201" spans="1:73" ht="14.4" x14ac:dyDescent="0.3">
      <c r="A201" s="160" t="s">
        <v>253</v>
      </c>
      <c r="B201" s="161">
        <v>2004</v>
      </c>
      <c r="C201" s="161">
        <v>168735482.94</v>
      </c>
      <c r="D201" s="161">
        <v>317770233.56</v>
      </c>
      <c r="E201" s="161">
        <v>343491248.93000001</v>
      </c>
      <c r="F201" s="161">
        <v>347091319.29999995</v>
      </c>
      <c r="G201" s="161">
        <v>350748744.51999998</v>
      </c>
      <c r="H201" s="161">
        <v>350783942.74000001</v>
      </c>
      <c r="I201" s="161">
        <v>351630453.14000005</v>
      </c>
      <c r="J201" s="161">
        <v>352135742.54000002</v>
      </c>
      <c r="K201" s="161">
        <v>352718131.41999996</v>
      </c>
      <c r="L201" s="161">
        <v>352847273.47000003</v>
      </c>
      <c r="M201" s="161">
        <v>352825298.10999995</v>
      </c>
      <c r="N201" s="161">
        <v>352822526.05000001</v>
      </c>
      <c r="O201" s="149"/>
      <c r="P201" s="149"/>
      <c r="Q201" s="149"/>
      <c r="R201" s="149"/>
      <c r="S201" s="149"/>
      <c r="T201" s="149"/>
      <c r="U201" s="149"/>
      <c r="V201" s="149"/>
      <c r="W201" s="149"/>
      <c r="X201" s="161">
        <v>352822526.05000001</v>
      </c>
      <c r="Y201" s="145"/>
      <c r="Z201" s="145"/>
      <c r="AX201" s="141" t="s">
        <v>238</v>
      </c>
      <c r="AY201" s="141">
        <v>2001</v>
      </c>
      <c r="AZ201" s="141">
        <v>222682105.56</v>
      </c>
      <c r="BA201" s="141">
        <v>335941449.85000002</v>
      </c>
      <c r="BB201" s="141">
        <v>364458745.27999997</v>
      </c>
      <c r="BC201" s="141">
        <v>378827792.50999999</v>
      </c>
      <c r="BD201" s="141">
        <v>387956757.06999999</v>
      </c>
      <c r="BE201" s="141">
        <v>391674371.38</v>
      </c>
      <c r="BF201" s="141">
        <v>397105805.69999999</v>
      </c>
      <c r="BG201" s="141">
        <v>399073581.50999999</v>
      </c>
      <c r="BH201" s="141">
        <v>399114406.33999997</v>
      </c>
      <c r="BI201" s="141">
        <v>399118913.37</v>
      </c>
      <c r="BJ201" s="141">
        <v>399142818.73000002</v>
      </c>
      <c r="BK201" s="141">
        <v>399107236.12</v>
      </c>
      <c r="BU201" s="141">
        <v>399107236.12</v>
      </c>
    </row>
    <row r="202" spans="1:73" ht="14.4" x14ac:dyDescent="0.3">
      <c r="A202" s="160" t="s">
        <v>253</v>
      </c>
      <c r="B202" s="161">
        <v>2005</v>
      </c>
      <c r="C202" s="161">
        <v>129424057.06999999</v>
      </c>
      <c r="D202" s="161">
        <v>347025189.47999996</v>
      </c>
      <c r="E202" s="161">
        <v>378208995.63</v>
      </c>
      <c r="F202" s="161">
        <v>386933381.54999995</v>
      </c>
      <c r="G202" s="161">
        <v>397697598.37</v>
      </c>
      <c r="H202" s="161">
        <v>393624933.91000003</v>
      </c>
      <c r="I202" s="161">
        <v>396653267.61000001</v>
      </c>
      <c r="J202" s="161">
        <v>398789664.19999999</v>
      </c>
      <c r="K202" s="161">
        <v>400817319.74000001</v>
      </c>
      <c r="L202" s="161">
        <v>400820867.61000001</v>
      </c>
      <c r="M202" s="161">
        <v>400926769.55000001</v>
      </c>
      <c r="N202" s="149"/>
      <c r="O202" s="149"/>
      <c r="P202" s="149"/>
      <c r="Q202" s="149"/>
      <c r="R202" s="149"/>
      <c r="S202" s="149"/>
      <c r="T202" s="149"/>
      <c r="U202" s="149"/>
      <c r="V202" s="149"/>
      <c r="W202" s="149"/>
      <c r="X202" s="161">
        <v>400926769.55000001</v>
      </c>
      <c r="Y202" s="145"/>
      <c r="Z202" s="145"/>
      <c r="AX202" s="141" t="s">
        <v>238</v>
      </c>
      <c r="AY202" s="141">
        <v>2002</v>
      </c>
      <c r="AZ202" s="141">
        <v>167339838.94</v>
      </c>
      <c r="BA202" s="141">
        <v>263209854.59</v>
      </c>
      <c r="BB202" s="141">
        <v>288261313.01999998</v>
      </c>
      <c r="BC202" s="141">
        <v>301431653.88999999</v>
      </c>
      <c r="BD202" s="141">
        <v>313516368.83999997</v>
      </c>
      <c r="BE202" s="141">
        <v>316475365.62</v>
      </c>
      <c r="BF202" s="141">
        <v>318096688.82999998</v>
      </c>
      <c r="BG202" s="141">
        <v>318792301.69999999</v>
      </c>
      <c r="BH202" s="141">
        <v>318794998.80000001</v>
      </c>
      <c r="BI202" s="141">
        <v>318836898.88999999</v>
      </c>
      <c r="BJ202" s="141">
        <v>318826517.16000003</v>
      </c>
      <c r="BU202" s="141">
        <v>318826517.16000003</v>
      </c>
    </row>
    <row r="203" spans="1:73" ht="14.4" x14ac:dyDescent="0.3">
      <c r="A203" s="160" t="s">
        <v>253</v>
      </c>
      <c r="B203" s="161">
        <v>2006</v>
      </c>
      <c r="C203" s="161">
        <v>125359208.22999999</v>
      </c>
      <c r="D203" s="161">
        <v>212072778.01999998</v>
      </c>
      <c r="E203" s="161">
        <v>223404058.25999999</v>
      </c>
      <c r="F203" s="161">
        <v>230013909.46000001</v>
      </c>
      <c r="G203" s="161">
        <v>230566747.31999999</v>
      </c>
      <c r="H203" s="161">
        <v>230683580.96000001</v>
      </c>
      <c r="I203" s="161">
        <v>230212327.93000001</v>
      </c>
      <c r="J203" s="161">
        <v>230190187.31999999</v>
      </c>
      <c r="K203" s="161">
        <v>230174156.66999999</v>
      </c>
      <c r="L203" s="161">
        <v>229919394</v>
      </c>
      <c r="M203" s="149"/>
      <c r="N203" s="149"/>
      <c r="O203" s="149"/>
      <c r="P203" s="149"/>
      <c r="Q203" s="149"/>
      <c r="R203" s="149"/>
      <c r="S203" s="149"/>
      <c r="T203" s="149"/>
      <c r="U203" s="149"/>
      <c r="V203" s="149"/>
      <c r="W203" s="149"/>
      <c r="X203" s="161">
        <v>229919394</v>
      </c>
      <c r="Y203" s="145"/>
      <c r="Z203" s="145"/>
      <c r="AX203" s="141" t="s">
        <v>238</v>
      </c>
      <c r="AY203" s="141">
        <v>2003</v>
      </c>
      <c r="AZ203" s="141">
        <v>173186308.05000001</v>
      </c>
      <c r="BA203" s="141">
        <v>253535474.53999999</v>
      </c>
      <c r="BB203" s="141">
        <v>272795869.02999997</v>
      </c>
      <c r="BC203" s="141">
        <v>280861385.52999997</v>
      </c>
      <c r="BD203" s="141">
        <v>283651187.19</v>
      </c>
      <c r="BE203" s="141">
        <v>286723009.79000002</v>
      </c>
      <c r="BF203" s="141">
        <v>288464032.49000001</v>
      </c>
      <c r="BG203" s="141">
        <v>288210420.50999999</v>
      </c>
      <c r="BH203" s="141">
        <v>290128404.48000002</v>
      </c>
      <c r="BI203" s="141">
        <v>290120932.33999997</v>
      </c>
      <c r="BU203" s="141">
        <v>290120932.33999997</v>
      </c>
    </row>
    <row r="204" spans="1:73" ht="14.4" x14ac:dyDescent="0.3">
      <c r="A204" s="160" t="s">
        <v>253</v>
      </c>
      <c r="B204" s="161">
        <v>2007</v>
      </c>
      <c r="C204" s="161">
        <v>154081570.06</v>
      </c>
      <c r="D204" s="161">
        <v>250730811.86000001</v>
      </c>
      <c r="E204" s="161">
        <v>263515291.40000001</v>
      </c>
      <c r="F204" s="161">
        <v>268767035.17000002</v>
      </c>
      <c r="G204" s="161">
        <v>269828929.61000001</v>
      </c>
      <c r="H204" s="161">
        <v>269404295.15000004</v>
      </c>
      <c r="I204" s="161">
        <v>271104711.64999998</v>
      </c>
      <c r="J204" s="161">
        <v>271357361.96999997</v>
      </c>
      <c r="K204" s="161">
        <v>271438514.69999999</v>
      </c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149"/>
      <c r="W204" s="149"/>
      <c r="X204" s="161">
        <v>271438514.69999999</v>
      </c>
      <c r="Y204" s="145"/>
      <c r="Z204" s="145"/>
      <c r="AX204" s="141" t="s">
        <v>238</v>
      </c>
      <c r="AY204" s="141">
        <v>2004</v>
      </c>
      <c r="AZ204" s="141">
        <v>168735482.94</v>
      </c>
      <c r="BA204" s="141">
        <v>317770233.56</v>
      </c>
      <c r="BB204" s="141">
        <v>343491248.93000001</v>
      </c>
      <c r="BC204" s="141">
        <v>347091319.30000001</v>
      </c>
      <c r="BD204" s="141">
        <v>350748744.51999998</v>
      </c>
      <c r="BE204" s="141">
        <v>350783942.74000001</v>
      </c>
      <c r="BF204" s="141">
        <v>351630453.13999999</v>
      </c>
      <c r="BG204" s="141">
        <v>352135742.54000002</v>
      </c>
      <c r="BH204" s="141">
        <v>352718131.42000002</v>
      </c>
      <c r="BU204" s="141">
        <v>352718131.42000002</v>
      </c>
    </row>
    <row r="205" spans="1:73" ht="14.4" x14ac:dyDescent="0.3">
      <c r="A205" s="160" t="s">
        <v>253</v>
      </c>
      <c r="B205" s="161">
        <v>2008</v>
      </c>
      <c r="C205" s="161">
        <v>176553842.09</v>
      </c>
      <c r="D205" s="161">
        <v>308138280.37</v>
      </c>
      <c r="E205" s="161">
        <v>325354762.94</v>
      </c>
      <c r="F205" s="161">
        <v>333128552</v>
      </c>
      <c r="G205" s="161">
        <v>335404505.45999998</v>
      </c>
      <c r="H205" s="161">
        <v>338052100.63999999</v>
      </c>
      <c r="I205" s="161">
        <v>338482622.02999997</v>
      </c>
      <c r="J205" s="161">
        <v>338324803.05000001</v>
      </c>
      <c r="K205" s="149"/>
      <c r="L205" s="149"/>
      <c r="M205" s="149"/>
      <c r="N205" s="149"/>
      <c r="O205" s="149"/>
      <c r="P205" s="149"/>
      <c r="Q205" s="149"/>
      <c r="R205" s="149"/>
      <c r="S205" s="149"/>
      <c r="T205" s="149"/>
      <c r="U205" s="149"/>
      <c r="V205" s="149"/>
      <c r="W205" s="149"/>
      <c r="X205" s="161">
        <v>338324803.05000001</v>
      </c>
      <c r="Y205" s="145"/>
      <c r="Z205" s="145"/>
      <c r="AX205" s="141" t="s">
        <v>238</v>
      </c>
      <c r="AY205" s="141">
        <v>2005</v>
      </c>
      <c r="AZ205" s="141">
        <v>129424057.06999999</v>
      </c>
      <c r="BA205" s="141">
        <v>347025189.48000002</v>
      </c>
      <c r="BB205" s="141">
        <v>378208995.63</v>
      </c>
      <c r="BC205" s="141">
        <v>386933381.55000001</v>
      </c>
      <c r="BD205" s="141">
        <v>397697598.37</v>
      </c>
      <c r="BE205" s="141">
        <v>393624933.91000003</v>
      </c>
      <c r="BF205" s="141">
        <v>396653267.61000001</v>
      </c>
      <c r="BG205" s="141">
        <v>398789664.19999999</v>
      </c>
      <c r="BU205" s="141">
        <v>398789664.19999999</v>
      </c>
    </row>
    <row r="206" spans="1:73" ht="14.4" x14ac:dyDescent="0.3">
      <c r="A206" s="160" t="s">
        <v>253</v>
      </c>
      <c r="B206" s="161">
        <v>2009</v>
      </c>
      <c r="C206" s="161">
        <v>146462686.03999999</v>
      </c>
      <c r="D206" s="161">
        <v>213294567.12</v>
      </c>
      <c r="E206" s="161">
        <v>220479678.50999999</v>
      </c>
      <c r="F206" s="161">
        <v>221195512.98000002</v>
      </c>
      <c r="G206" s="161">
        <v>221435428.98999998</v>
      </c>
      <c r="H206" s="161">
        <v>222187692.03</v>
      </c>
      <c r="I206" s="161">
        <v>222214085.46000001</v>
      </c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149"/>
      <c r="W206" s="149"/>
      <c r="X206" s="161">
        <v>222214085.46000001</v>
      </c>
      <c r="Y206" s="145"/>
      <c r="Z206" s="145"/>
      <c r="AX206" s="141" t="s">
        <v>238</v>
      </c>
      <c r="AY206" s="141">
        <v>2006</v>
      </c>
      <c r="AZ206" s="141">
        <v>125359208.23</v>
      </c>
      <c r="BA206" s="141">
        <v>212072778.02000001</v>
      </c>
      <c r="BB206" s="141">
        <v>223404058.25999999</v>
      </c>
      <c r="BC206" s="141">
        <v>230013909.46000001</v>
      </c>
      <c r="BD206" s="141">
        <v>230566747.31999999</v>
      </c>
      <c r="BE206" s="141">
        <v>230683580.96000001</v>
      </c>
      <c r="BF206" s="141">
        <v>230212327.93000001</v>
      </c>
      <c r="BU206" s="141">
        <v>230212327.93000001</v>
      </c>
    </row>
    <row r="207" spans="1:73" ht="14.4" x14ac:dyDescent="0.3">
      <c r="A207" s="160" t="s">
        <v>253</v>
      </c>
      <c r="B207" s="161">
        <v>2010</v>
      </c>
      <c r="C207" s="161">
        <v>152034947.56</v>
      </c>
      <c r="D207" s="161">
        <v>238845898.53</v>
      </c>
      <c r="E207" s="161">
        <v>251818606.22</v>
      </c>
      <c r="F207" s="161">
        <v>254144359.42000002</v>
      </c>
      <c r="G207" s="161">
        <v>254282493.05000001</v>
      </c>
      <c r="H207" s="161">
        <v>253894727.75999999</v>
      </c>
      <c r="I207" s="149"/>
      <c r="J207" s="149"/>
      <c r="K207" s="149"/>
      <c r="L207" s="149"/>
      <c r="M207" s="149"/>
      <c r="N207" s="149"/>
      <c r="O207" s="149"/>
      <c r="P207" s="149"/>
      <c r="Q207" s="149"/>
      <c r="R207" s="149"/>
      <c r="S207" s="149"/>
      <c r="T207" s="149"/>
      <c r="U207" s="149"/>
      <c r="V207" s="149"/>
      <c r="W207" s="149"/>
      <c r="X207" s="161">
        <v>253894727.75999999</v>
      </c>
      <c r="Y207" s="145"/>
      <c r="Z207" s="145"/>
      <c r="AX207" s="141" t="s">
        <v>238</v>
      </c>
      <c r="AY207" s="141">
        <v>2007</v>
      </c>
      <c r="AZ207" s="141">
        <v>154081570.06</v>
      </c>
      <c r="BA207" s="141">
        <v>250730811.86000001</v>
      </c>
      <c r="BB207" s="141">
        <v>263515291.40000001</v>
      </c>
      <c r="BC207" s="141">
        <v>268767035.17000002</v>
      </c>
      <c r="BD207" s="141">
        <v>269828929.61000001</v>
      </c>
      <c r="BE207" s="141">
        <v>269404295.14999998</v>
      </c>
      <c r="BU207" s="141">
        <v>269404295.14999998</v>
      </c>
    </row>
    <row r="208" spans="1:73" ht="14.4" x14ac:dyDescent="0.3">
      <c r="A208" s="160" t="s">
        <v>253</v>
      </c>
      <c r="B208" s="161">
        <v>2011</v>
      </c>
      <c r="C208" s="161">
        <v>199385167.56999999</v>
      </c>
      <c r="D208" s="161">
        <v>305588401.02999997</v>
      </c>
      <c r="E208" s="161">
        <v>315460905.23999995</v>
      </c>
      <c r="F208" s="161">
        <v>320241333.00999999</v>
      </c>
      <c r="G208" s="161">
        <v>321389592.43000001</v>
      </c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149"/>
      <c r="W208" s="149"/>
      <c r="X208" s="161">
        <v>321389592.43000001</v>
      </c>
      <c r="Y208" s="145"/>
      <c r="Z208" s="145"/>
      <c r="AX208" s="141" t="s">
        <v>238</v>
      </c>
      <c r="AY208" s="141">
        <v>2008</v>
      </c>
      <c r="AZ208" s="141">
        <v>176553842.09</v>
      </c>
      <c r="BA208" s="141">
        <v>308138280.37</v>
      </c>
      <c r="BB208" s="141">
        <v>325354762.94</v>
      </c>
      <c r="BC208" s="141">
        <v>333128552</v>
      </c>
      <c r="BD208" s="141">
        <v>335404505.45999998</v>
      </c>
      <c r="BU208" s="141">
        <v>335404505.45999998</v>
      </c>
    </row>
    <row r="209" spans="1:73" ht="14.4" x14ac:dyDescent="0.3">
      <c r="A209" s="160" t="s">
        <v>253</v>
      </c>
      <c r="B209" s="161">
        <v>2012</v>
      </c>
      <c r="C209" s="161">
        <v>210452998.31999999</v>
      </c>
      <c r="D209" s="161">
        <v>368975064.80000001</v>
      </c>
      <c r="E209" s="161">
        <v>382097892.77999997</v>
      </c>
      <c r="F209" s="161">
        <v>385527330.84999996</v>
      </c>
      <c r="G209" s="149"/>
      <c r="H209" s="149"/>
      <c r="I209" s="149"/>
      <c r="J209" s="149"/>
      <c r="K209" s="149"/>
      <c r="L209" s="149"/>
      <c r="M209" s="149"/>
      <c r="N209" s="149"/>
      <c r="O209" s="149"/>
      <c r="P209" s="149"/>
      <c r="Q209" s="149"/>
      <c r="R209" s="149"/>
      <c r="S209" s="149"/>
      <c r="T209" s="149"/>
      <c r="U209" s="149"/>
      <c r="V209" s="149"/>
      <c r="W209" s="149"/>
      <c r="X209" s="161">
        <v>385527330.84999996</v>
      </c>
      <c r="Y209" s="145"/>
      <c r="Z209" s="145"/>
      <c r="AX209" s="141" t="s">
        <v>238</v>
      </c>
      <c r="AY209" s="141">
        <v>2009</v>
      </c>
      <c r="AZ209" s="141">
        <v>146504428.28999999</v>
      </c>
      <c r="BA209" s="141">
        <v>213358629.36000001</v>
      </c>
      <c r="BB209" s="141">
        <v>220543740.75</v>
      </c>
      <c r="BC209" s="141">
        <v>221259575.22</v>
      </c>
      <c r="BU209" s="141">
        <v>221259575.22</v>
      </c>
    </row>
    <row r="210" spans="1:73" ht="14.4" x14ac:dyDescent="0.3">
      <c r="A210" s="160" t="s">
        <v>253</v>
      </c>
      <c r="B210" s="161">
        <v>2013</v>
      </c>
      <c r="C210" s="161">
        <v>194536857.44</v>
      </c>
      <c r="D210" s="161">
        <v>288766417.97000003</v>
      </c>
      <c r="E210" s="161">
        <v>302963650.32999998</v>
      </c>
      <c r="F210" s="149"/>
      <c r="G210" s="149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149"/>
      <c r="W210" s="149"/>
      <c r="X210" s="161">
        <v>302963650.32999998</v>
      </c>
      <c r="Y210" s="145"/>
      <c r="Z210" s="145"/>
      <c r="AX210" s="141" t="s">
        <v>238</v>
      </c>
      <c r="AY210" s="141">
        <v>2010</v>
      </c>
      <c r="AZ210" s="141">
        <v>152171776.5</v>
      </c>
      <c r="BA210" s="141">
        <v>238989083.91</v>
      </c>
      <c r="BB210" s="141">
        <v>251961791.59999999</v>
      </c>
      <c r="BU210" s="141">
        <v>251961791.59999999</v>
      </c>
    </row>
    <row r="211" spans="1:73" ht="14.4" x14ac:dyDescent="0.3">
      <c r="A211" s="160" t="s">
        <v>253</v>
      </c>
      <c r="B211" s="161">
        <v>2014</v>
      </c>
      <c r="C211" s="161">
        <v>181266926.95000002</v>
      </c>
      <c r="D211" s="161">
        <v>252777505.39999998</v>
      </c>
      <c r="E211" s="149"/>
      <c r="F211" s="149"/>
      <c r="G211" s="149"/>
      <c r="H211" s="149"/>
      <c r="I211" s="149"/>
      <c r="J211" s="149"/>
      <c r="K211" s="149"/>
      <c r="L211" s="149"/>
      <c r="M211" s="149"/>
      <c r="N211" s="149"/>
      <c r="O211" s="149"/>
      <c r="P211" s="149"/>
      <c r="Q211" s="149"/>
      <c r="R211" s="149"/>
      <c r="S211" s="149"/>
      <c r="T211" s="149"/>
      <c r="U211" s="149"/>
      <c r="V211" s="149"/>
      <c r="W211" s="149"/>
      <c r="X211" s="161">
        <v>252777505.39999998</v>
      </c>
      <c r="Y211" s="145"/>
      <c r="Z211" s="145"/>
      <c r="AX211" s="141" t="s">
        <v>238</v>
      </c>
      <c r="AY211" s="141">
        <v>2011</v>
      </c>
      <c r="AZ211" s="141">
        <v>199396172.91999999</v>
      </c>
      <c r="BA211" s="141">
        <v>305624406.38</v>
      </c>
      <c r="BU211" s="141">
        <v>305624406.38</v>
      </c>
    </row>
    <row r="212" spans="1:73" ht="14.4" x14ac:dyDescent="0.3">
      <c r="A212" s="160" t="s">
        <v>253</v>
      </c>
      <c r="B212" s="161">
        <v>2015</v>
      </c>
      <c r="C212" s="161">
        <v>164435834.08000001</v>
      </c>
      <c r="D212" s="149"/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49"/>
      <c r="W212" s="149"/>
      <c r="X212" s="161">
        <v>164435834.08000001</v>
      </c>
      <c r="Y212" s="145"/>
      <c r="Z212" s="145"/>
      <c r="AX212" s="141" t="s">
        <v>238</v>
      </c>
      <c r="AY212" s="141">
        <v>2012</v>
      </c>
      <c r="AZ212" s="141">
        <v>210464654.91999999</v>
      </c>
      <c r="BU212" s="141">
        <v>210464654.91999999</v>
      </c>
    </row>
    <row r="213" spans="1:73" ht="14.4" x14ac:dyDescent="0.3">
      <c r="A213" s="160" t="s">
        <v>254</v>
      </c>
      <c r="B213" s="161">
        <v>1995</v>
      </c>
      <c r="C213" s="161">
        <v>82299124.090000004</v>
      </c>
      <c r="D213" s="161">
        <v>148977277.22</v>
      </c>
      <c r="E213" s="161">
        <v>168594345</v>
      </c>
      <c r="F213" s="161">
        <v>177847105.78999999</v>
      </c>
      <c r="G213" s="161">
        <v>183944673.69</v>
      </c>
      <c r="H213" s="161">
        <v>187775309.53</v>
      </c>
      <c r="I213" s="161">
        <v>188831116.41</v>
      </c>
      <c r="J213" s="161">
        <v>189312559.77000001</v>
      </c>
      <c r="K213" s="161">
        <v>190592628</v>
      </c>
      <c r="L213" s="161">
        <v>190702690.35999998</v>
      </c>
      <c r="M213" s="161">
        <v>191951406.29999998</v>
      </c>
      <c r="N213" s="161">
        <v>192182320.88</v>
      </c>
      <c r="O213" s="161">
        <v>192423977.59999999</v>
      </c>
      <c r="P213" s="161">
        <v>192419269.89000002</v>
      </c>
      <c r="Q213" s="161">
        <v>192484420.38999999</v>
      </c>
      <c r="R213" s="161">
        <v>192484983.94999999</v>
      </c>
      <c r="S213" s="161">
        <v>192498868.92000002</v>
      </c>
      <c r="T213" s="161">
        <v>192516165.43000001</v>
      </c>
      <c r="U213" s="161">
        <v>192516165.43000001</v>
      </c>
      <c r="V213" s="161">
        <v>192516165.43000001</v>
      </c>
      <c r="W213" s="161">
        <v>192516165.43000001</v>
      </c>
      <c r="X213" s="161">
        <v>192516165.43000001</v>
      </c>
      <c r="Y213" s="145"/>
      <c r="Z213" s="145"/>
      <c r="AX213" s="141" t="s">
        <v>239</v>
      </c>
      <c r="AY213" s="141">
        <v>1992</v>
      </c>
      <c r="AZ213" s="141">
        <v>920945394.75999999</v>
      </c>
      <c r="BA213" s="141">
        <v>970846845.85000002</v>
      </c>
      <c r="BB213" s="141">
        <v>979293401.37</v>
      </c>
      <c r="BC213" s="141">
        <v>987522641.70000005</v>
      </c>
      <c r="BD213" s="141">
        <v>994773078.82000005</v>
      </c>
      <c r="BE213" s="141">
        <v>999869253.00999999</v>
      </c>
      <c r="BF213" s="141">
        <v>1003658985.5599999</v>
      </c>
      <c r="BG213" s="141">
        <v>1007065899.1799999</v>
      </c>
      <c r="BH213" s="141">
        <v>1007641524.12</v>
      </c>
      <c r="BI213" s="141">
        <v>1009565249.24</v>
      </c>
      <c r="BJ213" s="141">
        <v>1011285908.53</v>
      </c>
      <c r="BK213" s="141">
        <v>1011807317.04</v>
      </c>
      <c r="BL213" s="141">
        <v>1012322021.1799999</v>
      </c>
      <c r="BM213" s="141">
        <v>1011089090.64</v>
      </c>
      <c r="BN213" s="141">
        <v>1011522702.42</v>
      </c>
      <c r="BO213" s="141">
        <v>1012227740.65</v>
      </c>
      <c r="BP213" s="141">
        <v>1012804886.27</v>
      </c>
      <c r="BQ213" s="141">
        <v>1012270468.88</v>
      </c>
      <c r="BR213" s="141">
        <v>1012438513.11</v>
      </c>
      <c r="BS213" s="141">
        <v>1012752200.99</v>
      </c>
      <c r="BT213" s="141">
        <v>1012848919.76</v>
      </c>
      <c r="BU213" s="141">
        <v>1012848919.76</v>
      </c>
    </row>
    <row r="214" spans="1:73" ht="14.4" x14ac:dyDescent="0.3">
      <c r="A214" s="160" t="s">
        <v>254</v>
      </c>
      <c r="B214" s="161">
        <v>1996</v>
      </c>
      <c r="C214" s="161">
        <v>89530930.439999998</v>
      </c>
      <c r="D214" s="161">
        <v>174418336.63</v>
      </c>
      <c r="E214" s="161">
        <v>195664085.82999998</v>
      </c>
      <c r="F214" s="161">
        <v>208613434.32999998</v>
      </c>
      <c r="G214" s="161">
        <v>217578768.69999999</v>
      </c>
      <c r="H214" s="161">
        <v>218820925.84</v>
      </c>
      <c r="I214" s="161">
        <v>218325936.71000001</v>
      </c>
      <c r="J214" s="161">
        <v>218196590.92000002</v>
      </c>
      <c r="K214" s="161">
        <v>218496638.44999999</v>
      </c>
      <c r="L214" s="161">
        <v>218993864.89999998</v>
      </c>
      <c r="M214" s="161">
        <v>219258768.47</v>
      </c>
      <c r="N214" s="161">
        <v>219260932.91</v>
      </c>
      <c r="O214" s="161">
        <v>219784928.66000003</v>
      </c>
      <c r="P214" s="161">
        <v>218931573.78000003</v>
      </c>
      <c r="Q214" s="161">
        <v>218961932.06999999</v>
      </c>
      <c r="R214" s="161">
        <v>218965102.98000002</v>
      </c>
      <c r="S214" s="161">
        <v>219027599.98000002</v>
      </c>
      <c r="T214" s="161">
        <v>219027599.96000001</v>
      </c>
      <c r="U214" s="161">
        <v>219233804.59000003</v>
      </c>
      <c r="V214" s="161">
        <v>219234545.19000003</v>
      </c>
      <c r="W214" s="149"/>
      <c r="X214" s="161">
        <v>219234545.19000003</v>
      </c>
      <c r="Y214" s="145"/>
      <c r="Z214" s="145"/>
      <c r="AX214" s="141" t="s">
        <v>239</v>
      </c>
      <c r="AY214" s="141">
        <v>1993</v>
      </c>
      <c r="AZ214" s="141">
        <v>79829312.519999996</v>
      </c>
      <c r="BA214" s="141">
        <v>137579410.80000001</v>
      </c>
      <c r="BB214" s="141">
        <v>151589900.09999999</v>
      </c>
      <c r="BC214" s="141">
        <v>160568388.96000001</v>
      </c>
      <c r="BD214" s="141">
        <v>163675418.84999999</v>
      </c>
      <c r="BE214" s="141">
        <v>165658445.38</v>
      </c>
      <c r="BF214" s="141">
        <v>168781046.47999999</v>
      </c>
      <c r="BG214" s="141">
        <v>168941408.61000001</v>
      </c>
      <c r="BH214" s="141">
        <v>169375783.37</v>
      </c>
      <c r="BI214" s="141">
        <v>169596846.63999999</v>
      </c>
      <c r="BJ214" s="141">
        <v>169982783.56999999</v>
      </c>
      <c r="BK214" s="141">
        <v>170603824.05000001</v>
      </c>
      <c r="BL214" s="141">
        <v>170168933.46000001</v>
      </c>
      <c r="BM214" s="141">
        <v>170191753.47</v>
      </c>
      <c r="BN214" s="141">
        <v>170214698.05000001</v>
      </c>
      <c r="BO214" s="141">
        <v>170085381.28</v>
      </c>
      <c r="BP214" s="141">
        <v>170112313.05000001</v>
      </c>
      <c r="BQ214" s="141">
        <v>170116616.81999999</v>
      </c>
      <c r="BR214" s="141">
        <v>170112247.90000001</v>
      </c>
      <c r="BS214" s="141">
        <v>170111495.24000001</v>
      </c>
      <c r="BU214" s="141">
        <v>170111495.24000001</v>
      </c>
    </row>
    <row r="215" spans="1:73" ht="14.4" x14ac:dyDescent="0.3">
      <c r="A215" s="160" t="s">
        <v>254</v>
      </c>
      <c r="B215" s="161">
        <v>1997</v>
      </c>
      <c r="C215" s="161">
        <v>89826776.00999999</v>
      </c>
      <c r="D215" s="161">
        <v>150951736.47</v>
      </c>
      <c r="E215" s="161">
        <v>189780495.23000002</v>
      </c>
      <c r="F215" s="161">
        <v>199989880.90000001</v>
      </c>
      <c r="G215" s="161">
        <v>203648960.84999999</v>
      </c>
      <c r="H215" s="161">
        <v>201566930.25</v>
      </c>
      <c r="I215" s="161">
        <v>204615677.56999999</v>
      </c>
      <c r="J215" s="161">
        <v>206525915.97999999</v>
      </c>
      <c r="K215" s="161">
        <v>206180177.66</v>
      </c>
      <c r="L215" s="161">
        <v>206574958.95000002</v>
      </c>
      <c r="M215" s="161">
        <v>206578700.53999999</v>
      </c>
      <c r="N215" s="161">
        <v>206609313.09</v>
      </c>
      <c r="O215" s="161">
        <v>206621900.47999999</v>
      </c>
      <c r="P215" s="161">
        <v>206641790.96000001</v>
      </c>
      <c r="Q215" s="161">
        <v>206652855.65000001</v>
      </c>
      <c r="R215" s="161">
        <v>206655903.50999999</v>
      </c>
      <c r="S215" s="161">
        <v>206662761.07999998</v>
      </c>
      <c r="T215" s="161">
        <v>206676450.84999999</v>
      </c>
      <c r="U215" s="161">
        <v>206679750.61000001</v>
      </c>
      <c r="V215" s="149"/>
      <c r="W215" s="149"/>
      <c r="X215" s="161">
        <v>206679750.61000001</v>
      </c>
      <c r="Y215" s="145"/>
      <c r="Z215" s="145"/>
      <c r="AX215" s="141" t="s">
        <v>239</v>
      </c>
      <c r="AY215" s="141">
        <v>1994</v>
      </c>
      <c r="AZ215" s="141">
        <v>84231302.579999998</v>
      </c>
      <c r="BA215" s="141">
        <v>145364995.21000001</v>
      </c>
      <c r="BB215" s="141">
        <v>160761836.84999999</v>
      </c>
      <c r="BC215" s="141">
        <v>166285683.62</v>
      </c>
      <c r="BD215" s="141">
        <v>170698250.81</v>
      </c>
      <c r="BE215" s="141">
        <v>176395303.61000001</v>
      </c>
      <c r="BF215" s="141">
        <v>178517166</v>
      </c>
      <c r="BG215" s="141">
        <v>179941205.22999999</v>
      </c>
      <c r="BH215" s="141">
        <v>180210413.46000001</v>
      </c>
      <c r="BI215" s="141">
        <v>180417340.37</v>
      </c>
      <c r="BJ215" s="141">
        <v>180664915.99000001</v>
      </c>
      <c r="BK215" s="141">
        <v>180718514.31</v>
      </c>
      <c r="BL215" s="141">
        <v>181152448.38</v>
      </c>
      <c r="BM215" s="141">
        <v>181281294.56</v>
      </c>
      <c r="BN215" s="141">
        <v>181436884.19999999</v>
      </c>
      <c r="BO215" s="141">
        <v>181449845.65000001</v>
      </c>
      <c r="BP215" s="141">
        <v>181445473.87</v>
      </c>
      <c r="BQ215" s="141">
        <v>181451701.22</v>
      </c>
      <c r="BR215" s="141">
        <v>181451701.22</v>
      </c>
      <c r="BU215" s="141">
        <v>181451701.22</v>
      </c>
    </row>
    <row r="216" spans="1:73" ht="14.4" x14ac:dyDescent="0.3">
      <c r="A216" s="160" t="s">
        <v>254</v>
      </c>
      <c r="B216" s="161">
        <v>1998</v>
      </c>
      <c r="C216" s="161">
        <v>62209037.549999997</v>
      </c>
      <c r="D216" s="161">
        <v>134431840.85999998</v>
      </c>
      <c r="E216" s="161">
        <v>157532814.90000001</v>
      </c>
      <c r="F216" s="161">
        <v>165608175.5</v>
      </c>
      <c r="G216" s="161">
        <v>169471125.73000002</v>
      </c>
      <c r="H216" s="161">
        <v>178660074.34</v>
      </c>
      <c r="I216" s="161">
        <v>179461902.31999999</v>
      </c>
      <c r="J216" s="161">
        <v>179950760.44</v>
      </c>
      <c r="K216" s="161">
        <v>181005630.92000002</v>
      </c>
      <c r="L216" s="161">
        <v>181091341.53</v>
      </c>
      <c r="M216" s="161">
        <v>181151785.57000002</v>
      </c>
      <c r="N216" s="161">
        <v>181101138.78</v>
      </c>
      <c r="O216" s="161">
        <v>180924218.62</v>
      </c>
      <c r="P216" s="161">
        <v>179636646.51000002</v>
      </c>
      <c r="Q216" s="161">
        <v>179784127.17000002</v>
      </c>
      <c r="R216" s="161">
        <v>179782466.13</v>
      </c>
      <c r="S216" s="161">
        <v>179783698.63</v>
      </c>
      <c r="T216" s="161">
        <v>179783698.63</v>
      </c>
      <c r="U216" s="149"/>
      <c r="V216" s="149"/>
      <c r="W216" s="149"/>
      <c r="X216" s="161">
        <v>179783698.63</v>
      </c>
      <c r="Y216" s="145"/>
      <c r="Z216" s="145"/>
      <c r="AX216" s="141" t="s">
        <v>239</v>
      </c>
      <c r="AY216" s="141">
        <v>1995</v>
      </c>
      <c r="AZ216" s="141">
        <v>82299124.090000004</v>
      </c>
      <c r="BA216" s="141">
        <v>149031047.91999999</v>
      </c>
      <c r="BB216" s="141">
        <v>168647651.47</v>
      </c>
      <c r="BC216" s="141">
        <v>177865148.50999999</v>
      </c>
      <c r="BD216" s="141">
        <v>183961090.72999999</v>
      </c>
      <c r="BE216" s="141">
        <v>187791706.56999999</v>
      </c>
      <c r="BF216" s="141">
        <v>188847513.44999999</v>
      </c>
      <c r="BG216" s="141">
        <v>189328956.81</v>
      </c>
      <c r="BH216" s="141">
        <v>190609025.03999999</v>
      </c>
      <c r="BI216" s="141">
        <v>190719087.40000001</v>
      </c>
      <c r="BJ216" s="141">
        <v>191967803.34</v>
      </c>
      <c r="BK216" s="141">
        <v>192198717.91999999</v>
      </c>
      <c r="BL216" s="141">
        <v>192440374.63999999</v>
      </c>
      <c r="BM216" s="141">
        <v>192435666.93000001</v>
      </c>
      <c r="BN216" s="141">
        <v>192500817.43000001</v>
      </c>
      <c r="BO216" s="141">
        <v>192501380.99000001</v>
      </c>
      <c r="BP216" s="141">
        <v>192515265.96000001</v>
      </c>
      <c r="BQ216" s="141">
        <v>192532562.47</v>
      </c>
      <c r="BU216" s="141">
        <v>192532562.47</v>
      </c>
    </row>
    <row r="217" spans="1:73" ht="14.4" x14ac:dyDescent="0.3">
      <c r="A217" s="160" t="s">
        <v>254</v>
      </c>
      <c r="B217" s="161">
        <v>1999</v>
      </c>
      <c r="C217" s="161">
        <v>46944157.360000007</v>
      </c>
      <c r="D217" s="161">
        <v>105012486.43000001</v>
      </c>
      <c r="E217" s="161">
        <v>132800159.46000001</v>
      </c>
      <c r="F217" s="161">
        <v>143945056.16000003</v>
      </c>
      <c r="G217" s="161">
        <v>148792402.5</v>
      </c>
      <c r="H217" s="161">
        <v>157790353.22999999</v>
      </c>
      <c r="I217" s="161">
        <v>159917528.66</v>
      </c>
      <c r="J217" s="161">
        <v>160583682.78</v>
      </c>
      <c r="K217" s="161">
        <v>161697238.56</v>
      </c>
      <c r="L217" s="161">
        <v>161810447.76999998</v>
      </c>
      <c r="M217" s="161">
        <v>161876527.63</v>
      </c>
      <c r="N217" s="161">
        <v>160514638.83000001</v>
      </c>
      <c r="O217" s="161">
        <v>160742537.81999999</v>
      </c>
      <c r="P217" s="161">
        <v>160194951.81</v>
      </c>
      <c r="Q217" s="161">
        <v>160220882.57999998</v>
      </c>
      <c r="R217" s="161">
        <v>160220882.57999998</v>
      </c>
      <c r="S217" s="161">
        <v>160221309.93000001</v>
      </c>
      <c r="T217" s="149"/>
      <c r="U217" s="149"/>
      <c r="V217" s="149"/>
      <c r="W217" s="149"/>
      <c r="X217" s="161">
        <v>160221309.93000001</v>
      </c>
      <c r="Y217" s="145"/>
      <c r="Z217" s="145"/>
      <c r="AX217" s="141" t="s">
        <v>239</v>
      </c>
      <c r="AY217" s="141">
        <v>1996</v>
      </c>
      <c r="AZ217" s="141">
        <v>89530930.439999998</v>
      </c>
      <c r="BA217" s="141">
        <v>174418336.63</v>
      </c>
      <c r="BB217" s="141">
        <v>195664085.83000001</v>
      </c>
      <c r="BC217" s="141">
        <v>208613434.33000001</v>
      </c>
      <c r="BD217" s="141">
        <v>217578768.69999999</v>
      </c>
      <c r="BE217" s="141">
        <v>218820925.84</v>
      </c>
      <c r="BF217" s="141">
        <v>218325936.71000001</v>
      </c>
      <c r="BG217" s="141">
        <v>218196590.91999999</v>
      </c>
      <c r="BH217" s="141">
        <v>218496638.44999999</v>
      </c>
      <c r="BI217" s="141">
        <v>218993864.90000001</v>
      </c>
      <c r="BJ217" s="141">
        <v>219258768.47</v>
      </c>
      <c r="BK217" s="141">
        <v>219252884.47999999</v>
      </c>
      <c r="BL217" s="141">
        <v>219705704.40000001</v>
      </c>
      <c r="BM217" s="141">
        <v>218852117.02000001</v>
      </c>
      <c r="BN217" s="141">
        <v>218884926.88999999</v>
      </c>
      <c r="BO217" s="141">
        <v>218888097.80000001</v>
      </c>
      <c r="BP217" s="141">
        <v>218950594.80000001</v>
      </c>
      <c r="BU217" s="141">
        <v>218950594.80000001</v>
      </c>
    </row>
    <row r="218" spans="1:73" ht="14.4" x14ac:dyDescent="0.3">
      <c r="A218" s="160" t="s">
        <v>254</v>
      </c>
      <c r="B218" s="161">
        <v>2000</v>
      </c>
      <c r="C218" s="161">
        <v>61998942.329999998</v>
      </c>
      <c r="D218" s="161">
        <v>119917214.72</v>
      </c>
      <c r="E218" s="161">
        <v>151004980.47</v>
      </c>
      <c r="F218" s="161">
        <v>163536625.66</v>
      </c>
      <c r="G218" s="161">
        <v>178659450.13000003</v>
      </c>
      <c r="H218" s="161">
        <v>188793664.10999998</v>
      </c>
      <c r="I218" s="161">
        <v>190759119.78999999</v>
      </c>
      <c r="J218" s="161">
        <v>195486250.47</v>
      </c>
      <c r="K218" s="161">
        <v>196512660.47000003</v>
      </c>
      <c r="L218" s="161">
        <v>196556930.41</v>
      </c>
      <c r="M218" s="161">
        <v>196681417.66</v>
      </c>
      <c r="N218" s="161">
        <v>196857766.94</v>
      </c>
      <c r="O218" s="161">
        <v>197571481.47999999</v>
      </c>
      <c r="P218" s="161">
        <v>197577559.19999999</v>
      </c>
      <c r="Q218" s="161">
        <v>197603109.75999999</v>
      </c>
      <c r="R218" s="161">
        <v>197607241.06999999</v>
      </c>
      <c r="S218" s="149"/>
      <c r="T218" s="149"/>
      <c r="U218" s="149"/>
      <c r="V218" s="149"/>
      <c r="W218" s="149"/>
      <c r="X218" s="161">
        <v>197607241.06999999</v>
      </c>
      <c r="Y218" s="145"/>
      <c r="Z218" s="145"/>
      <c r="AX218" s="141" t="s">
        <v>239</v>
      </c>
      <c r="AY218" s="141">
        <v>1997</v>
      </c>
      <c r="AZ218" s="141">
        <v>89826776.010000005</v>
      </c>
      <c r="BA218" s="141">
        <v>150951736.47</v>
      </c>
      <c r="BB218" s="141">
        <v>189774795.72</v>
      </c>
      <c r="BC218" s="141">
        <v>199989880.90000001</v>
      </c>
      <c r="BD218" s="141">
        <v>203648960.84999999</v>
      </c>
      <c r="BE218" s="141">
        <v>201566930.25</v>
      </c>
      <c r="BF218" s="141">
        <v>204615677.56999999</v>
      </c>
      <c r="BG218" s="141">
        <v>206525820.22</v>
      </c>
      <c r="BH218" s="141">
        <v>206178195.02000001</v>
      </c>
      <c r="BI218" s="141">
        <v>206569156.31</v>
      </c>
      <c r="BJ218" s="141">
        <v>206572897.90000001</v>
      </c>
      <c r="BK218" s="141">
        <v>206603510.44999999</v>
      </c>
      <c r="BL218" s="141">
        <v>206616097.84</v>
      </c>
      <c r="BM218" s="141">
        <v>206635988.31999999</v>
      </c>
      <c r="BN218" s="141">
        <v>206647053.00999999</v>
      </c>
      <c r="BO218" s="141">
        <v>206650100.87</v>
      </c>
      <c r="BU218" s="141">
        <v>206650100.87</v>
      </c>
    </row>
    <row r="219" spans="1:73" ht="14.4" x14ac:dyDescent="0.3">
      <c r="A219" s="160" t="s">
        <v>254</v>
      </c>
      <c r="B219" s="161">
        <v>2001</v>
      </c>
      <c r="C219" s="161">
        <v>67047327.219999999</v>
      </c>
      <c r="D219" s="161">
        <v>118066438.14999999</v>
      </c>
      <c r="E219" s="161">
        <v>134398688.74000001</v>
      </c>
      <c r="F219" s="161">
        <v>146361952.31</v>
      </c>
      <c r="G219" s="161">
        <v>152778365.22</v>
      </c>
      <c r="H219" s="161">
        <v>156751829.53999999</v>
      </c>
      <c r="I219" s="161">
        <v>154473774.72999999</v>
      </c>
      <c r="J219" s="161">
        <v>155186540.39999998</v>
      </c>
      <c r="K219" s="161">
        <v>155530949.28999999</v>
      </c>
      <c r="L219" s="161">
        <v>155658816.83000001</v>
      </c>
      <c r="M219" s="161">
        <v>155976634.91</v>
      </c>
      <c r="N219" s="161">
        <v>156444100.83000001</v>
      </c>
      <c r="O219" s="161">
        <v>156468054.03</v>
      </c>
      <c r="P219" s="161">
        <v>156485799.62</v>
      </c>
      <c r="Q219" s="161">
        <v>156929849.19</v>
      </c>
      <c r="R219" s="149"/>
      <c r="S219" s="149"/>
      <c r="T219" s="149"/>
      <c r="U219" s="149"/>
      <c r="V219" s="149"/>
      <c r="W219" s="149"/>
      <c r="X219" s="161">
        <v>156929849.19</v>
      </c>
      <c r="Y219" s="145"/>
      <c r="Z219" s="145"/>
      <c r="AX219" s="141" t="s">
        <v>239</v>
      </c>
      <c r="AY219" s="141">
        <v>1998</v>
      </c>
      <c r="AZ219" s="141">
        <v>62209037.549999997</v>
      </c>
      <c r="BA219" s="141">
        <v>134431840.86000001</v>
      </c>
      <c r="BB219" s="141">
        <v>157532814.90000001</v>
      </c>
      <c r="BC219" s="141">
        <v>165608175.5</v>
      </c>
      <c r="BD219" s="141">
        <v>169471125.72999999</v>
      </c>
      <c r="BE219" s="141">
        <v>178660074.34</v>
      </c>
      <c r="BF219" s="141">
        <v>179461883.28999999</v>
      </c>
      <c r="BG219" s="141">
        <v>179950741.41</v>
      </c>
      <c r="BH219" s="141">
        <v>181005611.88999999</v>
      </c>
      <c r="BI219" s="141">
        <v>181091322.5</v>
      </c>
      <c r="BJ219" s="141">
        <v>181151766.53999999</v>
      </c>
      <c r="BK219" s="141">
        <v>181101119.75</v>
      </c>
      <c r="BL219" s="141">
        <v>180924199.59</v>
      </c>
      <c r="BM219" s="141">
        <v>179636627.47999999</v>
      </c>
      <c r="BN219" s="141">
        <v>179784108.13999999</v>
      </c>
      <c r="BU219" s="141">
        <v>179784108.13999999</v>
      </c>
    </row>
    <row r="220" spans="1:73" ht="14.4" x14ac:dyDescent="0.3">
      <c r="A220" s="160" t="s">
        <v>254</v>
      </c>
      <c r="B220" s="161">
        <v>2002</v>
      </c>
      <c r="C220" s="161">
        <v>61149646.789999999</v>
      </c>
      <c r="D220" s="161">
        <v>108654647.2</v>
      </c>
      <c r="E220" s="161">
        <v>127357902.87</v>
      </c>
      <c r="F220" s="161">
        <v>139055229.53999999</v>
      </c>
      <c r="G220" s="161">
        <v>146200796.21000001</v>
      </c>
      <c r="H220" s="161">
        <v>148441450.22</v>
      </c>
      <c r="I220" s="161">
        <v>151254756.88000003</v>
      </c>
      <c r="J220" s="161">
        <v>151334958.78</v>
      </c>
      <c r="K220" s="161">
        <v>152358700.80000001</v>
      </c>
      <c r="L220" s="161">
        <v>152513068.96000001</v>
      </c>
      <c r="M220" s="161">
        <v>152371296.88</v>
      </c>
      <c r="N220" s="161">
        <v>152467147.84999999</v>
      </c>
      <c r="O220" s="161">
        <v>152529376.45000002</v>
      </c>
      <c r="P220" s="161">
        <v>152668231.54999998</v>
      </c>
      <c r="Q220" s="149"/>
      <c r="R220" s="149"/>
      <c r="S220" s="149"/>
      <c r="T220" s="149"/>
      <c r="U220" s="149"/>
      <c r="V220" s="149"/>
      <c r="W220" s="149"/>
      <c r="X220" s="161">
        <v>152668231.54999998</v>
      </c>
      <c r="Y220" s="145"/>
      <c r="Z220" s="145"/>
      <c r="AX220" s="141" t="s">
        <v>239</v>
      </c>
      <c r="AY220" s="141">
        <v>1999</v>
      </c>
      <c r="AZ220" s="141">
        <v>46944157.359999999</v>
      </c>
      <c r="BA220" s="141">
        <v>105012486.43000001</v>
      </c>
      <c r="BB220" s="141">
        <v>132800159.45999999</v>
      </c>
      <c r="BC220" s="141">
        <v>143945056.16</v>
      </c>
      <c r="BD220" s="141">
        <v>148792402.5</v>
      </c>
      <c r="BE220" s="141">
        <v>157790353.22999999</v>
      </c>
      <c r="BF220" s="141">
        <v>159917528.66</v>
      </c>
      <c r="BG220" s="141">
        <v>160583682.78</v>
      </c>
      <c r="BH220" s="141">
        <v>161697238.56</v>
      </c>
      <c r="BI220" s="141">
        <v>161810447.77000001</v>
      </c>
      <c r="BJ220" s="141">
        <v>161876527.63</v>
      </c>
      <c r="BK220" s="141">
        <v>160514638.83000001</v>
      </c>
      <c r="BL220" s="141">
        <v>160742537.81999999</v>
      </c>
      <c r="BM220" s="141">
        <v>160194951.81</v>
      </c>
      <c r="BU220" s="141">
        <v>160194951.81</v>
      </c>
    </row>
    <row r="221" spans="1:73" ht="14.4" x14ac:dyDescent="0.3">
      <c r="A221" s="160" t="s">
        <v>254</v>
      </c>
      <c r="B221" s="161">
        <v>2003</v>
      </c>
      <c r="C221" s="161">
        <v>66841721.610000007</v>
      </c>
      <c r="D221" s="161">
        <v>115764066.43000001</v>
      </c>
      <c r="E221" s="161">
        <v>131020539</v>
      </c>
      <c r="F221" s="161">
        <v>137598720.21000001</v>
      </c>
      <c r="G221" s="161">
        <v>142772672.97</v>
      </c>
      <c r="H221" s="161">
        <v>144364717.66</v>
      </c>
      <c r="I221" s="161">
        <v>145029884.14000002</v>
      </c>
      <c r="J221" s="161">
        <v>145210148.90000001</v>
      </c>
      <c r="K221" s="161">
        <v>145362807.03</v>
      </c>
      <c r="L221" s="161">
        <v>146085914.94999999</v>
      </c>
      <c r="M221" s="161">
        <v>146017344.53999999</v>
      </c>
      <c r="N221" s="161">
        <v>145915413.88000003</v>
      </c>
      <c r="O221" s="161">
        <v>145918568.11000001</v>
      </c>
      <c r="P221" s="149"/>
      <c r="Q221" s="149"/>
      <c r="R221" s="149"/>
      <c r="S221" s="149"/>
      <c r="T221" s="149"/>
      <c r="U221" s="149"/>
      <c r="V221" s="149"/>
      <c r="W221" s="149"/>
      <c r="X221" s="161">
        <v>145918568.11000001</v>
      </c>
      <c r="Y221" s="145"/>
      <c r="Z221" s="145"/>
      <c r="AX221" s="141" t="s">
        <v>239</v>
      </c>
      <c r="AY221" s="141">
        <v>2000</v>
      </c>
      <c r="AZ221" s="141">
        <v>61998942.329999998</v>
      </c>
      <c r="BA221" s="141">
        <v>119917214.72</v>
      </c>
      <c r="BB221" s="141">
        <v>151004980.47</v>
      </c>
      <c r="BC221" s="141">
        <v>163536150</v>
      </c>
      <c r="BD221" s="141">
        <v>178656352.25</v>
      </c>
      <c r="BE221" s="141">
        <v>188790566.22999999</v>
      </c>
      <c r="BF221" s="141">
        <v>190756021.91</v>
      </c>
      <c r="BG221" s="141">
        <v>195483152.59</v>
      </c>
      <c r="BH221" s="141">
        <v>196509562.59</v>
      </c>
      <c r="BI221" s="141">
        <v>196553832.53</v>
      </c>
      <c r="BJ221" s="141">
        <v>196678319.78</v>
      </c>
      <c r="BK221" s="141">
        <v>196854669.06</v>
      </c>
      <c r="BL221" s="141">
        <v>197568383.59999999</v>
      </c>
      <c r="BU221" s="141">
        <v>197568383.59999999</v>
      </c>
    </row>
    <row r="222" spans="1:73" ht="14.4" x14ac:dyDescent="0.3">
      <c r="A222" s="160" t="s">
        <v>254</v>
      </c>
      <c r="B222" s="161">
        <v>2004</v>
      </c>
      <c r="C222" s="161">
        <v>109960868.7</v>
      </c>
      <c r="D222" s="161">
        <v>125200756.13</v>
      </c>
      <c r="E222" s="161">
        <v>131871798.91</v>
      </c>
      <c r="F222" s="161">
        <v>138274148.06</v>
      </c>
      <c r="G222" s="161">
        <v>141572171</v>
      </c>
      <c r="H222" s="161">
        <v>143556307.29999998</v>
      </c>
      <c r="I222" s="161">
        <v>143811606.76000002</v>
      </c>
      <c r="J222" s="161">
        <v>144207487.59999999</v>
      </c>
      <c r="K222" s="161">
        <v>144872791.20000002</v>
      </c>
      <c r="L222" s="161">
        <v>144910954.98000002</v>
      </c>
      <c r="M222" s="161">
        <v>144905870.03999999</v>
      </c>
      <c r="N222" s="161">
        <v>144905689.31</v>
      </c>
      <c r="O222" s="149"/>
      <c r="P222" s="149"/>
      <c r="Q222" s="149"/>
      <c r="R222" s="149"/>
      <c r="S222" s="149"/>
      <c r="T222" s="149"/>
      <c r="U222" s="149"/>
      <c r="V222" s="149"/>
      <c r="W222" s="149"/>
      <c r="X222" s="161">
        <v>144905689.31</v>
      </c>
      <c r="Y222" s="145"/>
      <c r="Z222" s="145"/>
      <c r="AX222" s="141" t="s">
        <v>239</v>
      </c>
      <c r="AY222" s="141">
        <v>2001</v>
      </c>
      <c r="AZ222" s="141">
        <v>67047327.219999999</v>
      </c>
      <c r="BA222" s="141">
        <v>118066438.15000001</v>
      </c>
      <c r="BB222" s="141">
        <v>134398688.74000001</v>
      </c>
      <c r="BC222" s="141">
        <v>146361952.31</v>
      </c>
      <c r="BD222" s="141">
        <v>152778365.22</v>
      </c>
      <c r="BE222" s="141">
        <v>156751829.53999999</v>
      </c>
      <c r="BF222" s="141">
        <v>154473774.72999999</v>
      </c>
      <c r="BG222" s="141">
        <v>155186540.40000001</v>
      </c>
      <c r="BH222" s="141">
        <v>155530949.28999999</v>
      </c>
      <c r="BI222" s="141">
        <v>155658816.83000001</v>
      </c>
      <c r="BJ222" s="141">
        <v>155976634.91</v>
      </c>
      <c r="BK222" s="141">
        <v>156444100.83000001</v>
      </c>
      <c r="BU222" s="141">
        <v>156444100.83000001</v>
      </c>
    </row>
    <row r="223" spans="1:73" ht="14.4" x14ac:dyDescent="0.3">
      <c r="A223" s="160" t="s">
        <v>254</v>
      </c>
      <c r="B223" s="161">
        <v>2005</v>
      </c>
      <c r="C223" s="161">
        <v>69260518.469999999</v>
      </c>
      <c r="D223" s="161">
        <v>93022016.189999983</v>
      </c>
      <c r="E223" s="161">
        <v>96464720.530000001</v>
      </c>
      <c r="F223" s="161">
        <v>103780915.04000002</v>
      </c>
      <c r="G223" s="161">
        <v>103545708.19000001</v>
      </c>
      <c r="H223" s="161">
        <v>102794662.61000001</v>
      </c>
      <c r="I223" s="161">
        <v>103069052.31999999</v>
      </c>
      <c r="J223" s="161">
        <v>103248794.26000002</v>
      </c>
      <c r="K223" s="161">
        <v>103505010.34</v>
      </c>
      <c r="L223" s="161">
        <v>103570505.17</v>
      </c>
      <c r="M223" s="161">
        <v>103571895.90000001</v>
      </c>
      <c r="N223" s="149"/>
      <c r="O223" s="149"/>
      <c r="P223" s="149"/>
      <c r="Q223" s="149"/>
      <c r="R223" s="149"/>
      <c r="S223" s="149"/>
      <c r="T223" s="149"/>
      <c r="U223" s="149"/>
      <c r="V223" s="149"/>
      <c r="W223" s="149"/>
      <c r="X223" s="161">
        <v>103571895.90000001</v>
      </c>
      <c r="Y223" s="145"/>
      <c r="Z223" s="145"/>
      <c r="AX223" s="141" t="s">
        <v>239</v>
      </c>
      <c r="AY223" s="141">
        <v>2002</v>
      </c>
      <c r="AZ223" s="141">
        <v>61149646.789999999</v>
      </c>
      <c r="BA223" s="141">
        <v>108654647.2</v>
      </c>
      <c r="BB223" s="141">
        <v>127357902.87</v>
      </c>
      <c r="BC223" s="141">
        <v>139055229.53999999</v>
      </c>
      <c r="BD223" s="141">
        <v>146200796.21000001</v>
      </c>
      <c r="BE223" s="141">
        <v>148441450.22</v>
      </c>
      <c r="BF223" s="141">
        <v>151254756.88</v>
      </c>
      <c r="BG223" s="141">
        <v>151334958.78</v>
      </c>
      <c r="BH223" s="141">
        <v>152358700.80000001</v>
      </c>
      <c r="BI223" s="141">
        <v>152513068.96000001</v>
      </c>
      <c r="BJ223" s="141">
        <v>152371296.88</v>
      </c>
      <c r="BU223" s="141">
        <v>152371296.88</v>
      </c>
    </row>
    <row r="224" spans="1:73" ht="14.4" x14ac:dyDescent="0.3">
      <c r="A224" s="160" t="s">
        <v>254</v>
      </c>
      <c r="B224" s="161">
        <v>2006</v>
      </c>
      <c r="C224" s="161">
        <v>50917564.25</v>
      </c>
      <c r="D224" s="161">
        <v>86179069.75999999</v>
      </c>
      <c r="E224" s="161">
        <v>101189651.87</v>
      </c>
      <c r="F224" s="161">
        <v>106088008.22999999</v>
      </c>
      <c r="G224" s="161">
        <v>109127618.87</v>
      </c>
      <c r="H224" s="161">
        <v>110114837.82000001</v>
      </c>
      <c r="I224" s="161">
        <v>111328570.38</v>
      </c>
      <c r="J224" s="161">
        <v>111289582.37</v>
      </c>
      <c r="K224" s="161">
        <v>111298266.97999999</v>
      </c>
      <c r="L224" s="161">
        <v>111319690.09</v>
      </c>
      <c r="M224" s="149"/>
      <c r="N224" s="149"/>
      <c r="O224" s="149"/>
      <c r="P224" s="149"/>
      <c r="Q224" s="149"/>
      <c r="R224" s="149"/>
      <c r="S224" s="149"/>
      <c r="T224" s="149"/>
      <c r="U224" s="149"/>
      <c r="V224" s="149"/>
      <c r="W224" s="149"/>
      <c r="X224" s="161">
        <v>111319690.09</v>
      </c>
      <c r="Y224" s="145"/>
      <c r="Z224" s="145"/>
      <c r="AX224" s="141" t="s">
        <v>239</v>
      </c>
      <c r="AY224" s="141">
        <v>2003</v>
      </c>
      <c r="AZ224" s="141">
        <v>66841721.609999999</v>
      </c>
      <c r="BA224" s="141">
        <v>115764066.43000001</v>
      </c>
      <c r="BB224" s="141">
        <v>131020539</v>
      </c>
      <c r="BC224" s="141">
        <v>137598720.21000001</v>
      </c>
      <c r="BD224" s="141">
        <v>142772672.97</v>
      </c>
      <c r="BE224" s="141">
        <v>144364717.66</v>
      </c>
      <c r="BF224" s="141">
        <v>145029884.13999999</v>
      </c>
      <c r="BG224" s="141">
        <v>145210148.90000001</v>
      </c>
      <c r="BH224" s="141">
        <v>145362807.03</v>
      </c>
      <c r="BI224" s="141">
        <v>146085914.94999999</v>
      </c>
      <c r="BU224" s="141">
        <v>146085914.94999999</v>
      </c>
    </row>
    <row r="225" spans="1:73" ht="14.4" x14ac:dyDescent="0.3">
      <c r="A225" s="160" t="s">
        <v>254</v>
      </c>
      <c r="B225" s="161">
        <v>2007</v>
      </c>
      <c r="C225" s="161">
        <v>41781842.170000002</v>
      </c>
      <c r="D225" s="161">
        <v>71404043.730000004</v>
      </c>
      <c r="E225" s="161">
        <v>84978397.179999992</v>
      </c>
      <c r="F225" s="161">
        <v>93172064.689999998</v>
      </c>
      <c r="G225" s="161">
        <v>97230547.890000001</v>
      </c>
      <c r="H225" s="161">
        <v>102453975.69</v>
      </c>
      <c r="I225" s="161">
        <v>103379661.46000001</v>
      </c>
      <c r="J225" s="161">
        <v>103740627.20999999</v>
      </c>
      <c r="K225" s="161">
        <v>104025169.89</v>
      </c>
      <c r="L225" s="149"/>
      <c r="M225" s="149"/>
      <c r="N225" s="149"/>
      <c r="O225" s="149"/>
      <c r="P225" s="149"/>
      <c r="Q225" s="149"/>
      <c r="R225" s="149"/>
      <c r="S225" s="149"/>
      <c r="T225" s="149"/>
      <c r="U225" s="149"/>
      <c r="V225" s="149"/>
      <c r="W225" s="149"/>
      <c r="X225" s="161">
        <v>104025169.89</v>
      </c>
      <c r="Y225" s="145"/>
      <c r="Z225" s="145"/>
      <c r="AX225" s="141" t="s">
        <v>239</v>
      </c>
      <c r="AY225" s="141">
        <v>2004</v>
      </c>
      <c r="AZ225" s="141">
        <v>109960868.7</v>
      </c>
      <c r="BA225" s="141">
        <v>125200756.13</v>
      </c>
      <c r="BB225" s="141">
        <v>131871798.91</v>
      </c>
      <c r="BC225" s="141">
        <v>138274148.06</v>
      </c>
      <c r="BD225" s="141">
        <v>141572171</v>
      </c>
      <c r="BE225" s="141">
        <v>143556307.30000001</v>
      </c>
      <c r="BF225" s="141">
        <v>143811606.75999999</v>
      </c>
      <c r="BG225" s="141">
        <v>144207487.59999999</v>
      </c>
      <c r="BH225" s="141">
        <v>144872791.19999999</v>
      </c>
      <c r="BU225" s="141">
        <v>144872791.19999999</v>
      </c>
    </row>
    <row r="226" spans="1:73" ht="14.4" x14ac:dyDescent="0.3">
      <c r="A226" s="160" t="s">
        <v>254</v>
      </c>
      <c r="B226" s="161">
        <v>2008</v>
      </c>
      <c r="C226" s="161">
        <v>58335709.229999997</v>
      </c>
      <c r="D226" s="161">
        <v>99501884.24000001</v>
      </c>
      <c r="E226" s="161">
        <v>110840048.44</v>
      </c>
      <c r="F226" s="161">
        <v>115558116.25</v>
      </c>
      <c r="G226" s="161">
        <v>117790048.05</v>
      </c>
      <c r="H226" s="161">
        <v>117251961.31</v>
      </c>
      <c r="I226" s="161">
        <v>118039322</v>
      </c>
      <c r="J226" s="161">
        <v>118316149.98999999</v>
      </c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149"/>
      <c r="W226" s="149"/>
      <c r="X226" s="161">
        <v>118316149.98999999</v>
      </c>
      <c r="Y226" s="145"/>
      <c r="Z226" s="145"/>
      <c r="AX226" s="141" t="s">
        <v>239</v>
      </c>
      <c r="AY226" s="141">
        <v>2005</v>
      </c>
      <c r="AZ226" s="141">
        <v>69260518.469999999</v>
      </c>
      <c r="BA226" s="141">
        <v>93022016.189999998</v>
      </c>
      <c r="BB226" s="141">
        <v>96464720.530000001</v>
      </c>
      <c r="BC226" s="141">
        <v>103780915.04000001</v>
      </c>
      <c r="BD226" s="141">
        <v>103545708.19</v>
      </c>
      <c r="BE226" s="141">
        <v>102794662.61</v>
      </c>
      <c r="BF226" s="141">
        <v>103069052.31999999</v>
      </c>
      <c r="BG226" s="141">
        <v>103248794.26000001</v>
      </c>
      <c r="BU226" s="141">
        <v>103248794.26000001</v>
      </c>
    </row>
    <row r="227" spans="1:73" ht="14.4" x14ac:dyDescent="0.3">
      <c r="A227" s="160" t="s">
        <v>254</v>
      </c>
      <c r="B227" s="161">
        <v>2009</v>
      </c>
      <c r="C227" s="161">
        <v>44545695.579999998</v>
      </c>
      <c r="D227" s="161">
        <v>67546890.859999999</v>
      </c>
      <c r="E227" s="161">
        <v>76227576.939999998</v>
      </c>
      <c r="F227" s="161">
        <v>82446930.419999987</v>
      </c>
      <c r="G227" s="161">
        <v>86219886.629999995</v>
      </c>
      <c r="H227" s="161">
        <v>87069370.319999993</v>
      </c>
      <c r="I227" s="161">
        <v>87653475.24000001</v>
      </c>
      <c r="J227" s="149"/>
      <c r="K227" s="149"/>
      <c r="L227" s="149"/>
      <c r="M227" s="149"/>
      <c r="N227" s="149"/>
      <c r="O227" s="149"/>
      <c r="P227" s="149"/>
      <c r="Q227" s="149"/>
      <c r="R227" s="149"/>
      <c r="S227" s="149"/>
      <c r="T227" s="149"/>
      <c r="U227" s="149"/>
      <c r="V227" s="149"/>
      <c r="W227" s="149"/>
      <c r="X227" s="161">
        <v>87653475.24000001</v>
      </c>
      <c r="Y227" s="145"/>
      <c r="Z227" s="145"/>
      <c r="AX227" s="141" t="s">
        <v>239</v>
      </c>
      <c r="AY227" s="141">
        <v>2006</v>
      </c>
      <c r="AZ227" s="141">
        <v>50917564.25</v>
      </c>
      <c r="BA227" s="141">
        <v>86179069.760000005</v>
      </c>
      <c r="BB227" s="141">
        <v>101189651.87</v>
      </c>
      <c r="BC227" s="141">
        <v>106088008.23</v>
      </c>
      <c r="BD227" s="141">
        <v>109127618.87</v>
      </c>
      <c r="BE227" s="141">
        <v>110114837.81999999</v>
      </c>
      <c r="BF227" s="141">
        <v>111328570.38</v>
      </c>
      <c r="BU227" s="141">
        <v>111328570.38</v>
      </c>
    </row>
    <row r="228" spans="1:73" ht="14.4" x14ac:dyDescent="0.3">
      <c r="A228" s="160" t="s">
        <v>254</v>
      </c>
      <c r="B228" s="161">
        <v>2010</v>
      </c>
      <c r="C228" s="161">
        <v>67201175.170000002</v>
      </c>
      <c r="D228" s="161">
        <v>98533065.350000009</v>
      </c>
      <c r="E228" s="161">
        <v>108734733.53</v>
      </c>
      <c r="F228" s="161">
        <v>114113782.59999999</v>
      </c>
      <c r="G228" s="161">
        <v>116595607.59</v>
      </c>
      <c r="H228" s="161">
        <v>118126332.69999999</v>
      </c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149"/>
      <c r="W228" s="149"/>
      <c r="X228" s="161">
        <v>118126332.69999999</v>
      </c>
      <c r="Y228" s="145"/>
      <c r="Z228" s="145"/>
      <c r="AX228" s="141" t="s">
        <v>239</v>
      </c>
      <c r="AY228" s="141">
        <v>2007</v>
      </c>
      <c r="AZ228" s="141">
        <v>41781842.170000002</v>
      </c>
      <c r="BA228" s="141">
        <v>71404043.730000004</v>
      </c>
      <c r="BB228" s="141">
        <v>84978397.180000007</v>
      </c>
      <c r="BC228" s="141">
        <v>93172064.689999998</v>
      </c>
      <c r="BD228" s="141">
        <v>97230547.890000001</v>
      </c>
      <c r="BE228" s="141">
        <v>102453975.69</v>
      </c>
      <c r="BU228" s="141">
        <v>102453975.69</v>
      </c>
    </row>
    <row r="229" spans="1:73" ht="14.4" x14ac:dyDescent="0.3">
      <c r="A229" s="160" t="s">
        <v>254</v>
      </c>
      <c r="B229" s="161">
        <v>2011</v>
      </c>
      <c r="C229" s="161">
        <v>54938238.100000001</v>
      </c>
      <c r="D229" s="161">
        <v>78307045.25</v>
      </c>
      <c r="E229" s="161">
        <v>84258318.780000001</v>
      </c>
      <c r="F229" s="161">
        <v>89092617.040000007</v>
      </c>
      <c r="G229" s="161">
        <v>90440502.50999999</v>
      </c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/>
      <c r="T229" s="149"/>
      <c r="U229" s="149"/>
      <c r="V229" s="149"/>
      <c r="W229" s="149"/>
      <c r="X229" s="161">
        <v>90440502.50999999</v>
      </c>
      <c r="Y229" s="145"/>
      <c r="Z229" s="145"/>
      <c r="AX229" s="141" t="s">
        <v>239</v>
      </c>
      <c r="AY229" s="141">
        <v>2008</v>
      </c>
      <c r="AZ229" s="141">
        <v>58335709.229999997</v>
      </c>
      <c r="BA229" s="141">
        <v>99501884.239999995</v>
      </c>
      <c r="BB229" s="141">
        <v>110840048.44</v>
      </c>
      <c r="BC229" s="141">
        <v>115558116.25</v>
      </c>
      <c r="BD229" s="141">
        <v>117790048.05</v>
      </c>
      <c r="BU229" s="141">
        <v>117790048.05</v>
      </c>
    </row>
    <row r="230" spans="1:73" ht="14.4" x14ac:dyDescent="0.3">
      <c r="A230" s="160" t="s">
        <v>254</v>
      </c>
      <c r="B230" s="161">
        <v>2012</v>
      </c>
      <c r="C230" s="161">
        <v>58444886.339999996</v>
      </c>
      <c r="D230" s="161">
        <v>140871567.23000002</v>
      </c>
      <c r="E230" s="161">
        <v>148879843.00999999</v>
      </c>
      <c r="F230" s="161">
        <v>152826432.25</v>
      </c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149"/>
      <c r="W230" s="149"/>
      <c r="X230" s="161">
        <v>152826432.25</v>
      </c>
      <c r="Y230" s="145"/>
      <c r="Z230" s="145"/>
      <c r="AX230" s="141" t="s">
        <v>239</v>
      </c>
      <c r="AY230" s="141">
        <v>2009</v>
      </c>
      <c r="AZ230" s="141">
        <v>44545695.579999998</v>
      </c>
      <c r="BA230" s="141">
        <v>67546890.859999999</v>
      </c>
      <c r="BB230" s="141">
        <v>76227576.939999998</v>
      </c>
      <c r="BC230" s="141">
        <v>82446930.420000002</v>
      </c>
      <c r="BU230" s="141">
        <v>82446930.420000002</v>
      </c>
    </row>
    <row r="231" spans="1:73" ht="14.4" x14ac:dyDescent="0.3">
      <c r="A231" s="160" t="s">
        <v>254</v>
      </c>
      <c r="B231" s="161">
        <v>2013</v>
      </c>
      <c r="C231" s="161">
        <v>26176459.839999996</v>
      </c>
      <c r="D231" s="161">
        <v>41759927.390000001</v>
      </c>
      <c r="E231" s="161">
        <v>50675521.640000001</v>
      </c>
      <c r="F231" s="149"/>
      <c r="G231" s="149"/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/>
      <c r="T231" s="149"/>
      <c r="U231" s="149"/>
      <c r="V231" s="149"/>
      <c r="W231" s="149"/>
      <c r="X231" s="161">
        <v>50675521.640000001</v>
      </c>
      <c r="Y231" s="145"/>
      <c r="Z231" s="145"/>
      <c r="AX231" s="141" t="s">
        <v>239</v>
      </c>
      <c r="AY231" s="141">
        <v>2010</v>
      </c>
      <c r="AZ231" s="141">
        <v>67201175.170000002</v>
      </c>
      <c r="BA231" s="141">
        <v>98533065.349999994</v>
      </c>
      <c r="BB231" s="141">
        <v>108736579.48999999</v>
      </c>
      <c r="BU231" s="141">
        <v>108736579.48999999</v>
      </c>
    </row>
    <row r="232" spans="1:73" ht="14.4" x14ac:dyDescent="0.3">
      <c r="A232" s="160" t="s">
        <v>254</v>
      </c>
      <c r="B232" s="161">
        <v>2014</v>
      </c>
      <c r="C232" s="161">
        <v>10406336.370000001</v>
      </c>
      <c r="D232" s="161">
        <v>29726475.670000002</v>
      </c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149"/>
      <c r="W232" s="149"/>
      <c r="X232" s="161">
        <v>29726475.670000002</v>
      </c>
      <c r="Y232" s="145"/>
      <c r="Z232" s="145"/>
      <c r="AX232" s="141" t="s">
        <v>239</v>
      </c>
      <c r="AY232" s="141">
        <v>2011</v>
      </c>
      <c r="AZ232" s="141">
        <v>54938238.100000001</v>
      </c>
      <c r="BA232" s="141">
        <v>78305199.290000007</v>
      </c>
      <c r="BU232" s="141">
        <v>78305199.290000007</v>
      </c>
    </row>
    <row r="233" spans="1:73" ht="14.4" x14ac:dyDescent="0.3">
      <c r="A233" s="160" t="s">
        <v>254</v>
      </c>
      <c r="B233" s="161">
        <v>2015</v>
      </c>
      <c r="C233" s="161">
        <v>11496427.65</v>
      </c>
      <c r="D233" s="149"/>
      <c r="E233" s="149"/>
      <c r="F233" s="149"/>
      <c r="G233" s="149"/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/>
      <c r="T233" s="149"/>
      <c r="U233" s="149"/>
      <c r="V233" s="149"/>
      <c r="W233" s="149"/>
      <c r="X233" s="161">
        <v>11496427.65</v>
      </c>
      <c r="Y233" s="145"/>
      <c r="Z233" s="145"/>
      <c r="AX233" s="141" t="s">
        <v>239</v>
      </c>
      <c r="AY233" s="141">
        <v>2012</v>
      </c>
      <c r="AZ233" s="141">
        <v>58444886.340000004</v>
      </c>
      <c r="BU233" s="141">
        <v>58444886.340000004</v>
      </c>
    </row>
    <row r="234" spans="1:73" ht="14.4" x14ac:dyDescent="0.3">
      <c r="A234" s="160" t="s">
        <v>240</v>
      </c>
      <c r="B234" s="161">
        <v>1995</v>
      </c>
      <c r="C234" s="161">
        <v>77381213.629999995</v>
      </c>
      <c r="D234" s="161">
        <v>194070692.92000002</v>
      </c>
      <c r="E234" s="161">
        <v>265459844.95000002</v>
      </c>
      <c r="F234" s="161">
        <v>299742695.04999995</v>
      </c>
      <c r="G234" s="161">
        <v>324923735.46999997</v>
      </c>
      <c r="H234" s="161">
        <v>343182629.00000006</v>
      </c>
      <c r="I234" s="161">
        <v>354682096.94</v>
      </c>
      <c r="J234" s="161">
        <v>364295893.12</v>
      </c>
      <c r="K234" s="161">
        <v>368844249.35000002</v>
      </c>
      <c r="L234" s="161">
        <v>375838815.97000003</v>
      </c>
      <c r="M234" s="161">
        <v>379631689.19999993</v>
      </c>
      <c r="N234" s="161">
        <v>382635538.53999996</v>
      </c>
      <c r="O234" s="161">
        <v>386823171.86000001</v>
      </c>
      <c r="P234" s="161">
        <v>389643020.75</v>
      </c>
      <c r="Q234" s="161">
        <v>391868277.91999996</v>
      </c>
      <c r="R234" s="161">
        <v>393991094.80000001</v>
      </c>
      <c r="S234" s="161">
        <v>395375584.23000002</v>
      </c>
      <c r="T234" s="161">
        <v>396633907.37</v>
      </c>
      <c r="U234" s="161">
        <v>397862075.87000006</v>
      </c>
      <c r="V234" s="161">
        <v>398902709.78000003</v>
      </c>
      <c r="W234" s="161">
        <v>397487029.78000003</v>
      </c>
      <c r="X234" s="161">
        <v>397487029.78000003</v>
      </c>
      <c r="Y234" s="145"/>
      <c r="Z234" s="145"/>
      <c r="AX234" s="141" t="s">
        <v>249</v>
      </c>
      <c r="AY234" s="141">
        <v>1992</v>
      </c>
      <c r="AZ234" s="141">
        <v>0</v>
      </c>
      <c r="BA234" s="141">
        <v>0</v>
      </c>
      <c r="BB234" s="141">
        <v>0</v>
      </c>
      <c r="BC234" s="141">
        <v>6345.68</v>
      </c>
      <c r="BD234" s="141">
        <v>8293.18</v>
      </c>
      <c r="BE234" s="141">
        <v>8293.18</v>
      </c>
      <c r="BF234" s="141">
        <v>8293.18</v>
      </c>
      <c r="BG234" s="141">
        <v>8293.18</v>
      </c>
      <c r="BH234" s="141">
        <v>8293.18</v>
      </c>
      <c r="BI234" s="141">
        <v>8293.18</v>
      </c>
      <c r="BJ234" s="141">
        <v>8294.18</v>
      </c>
      <c r="BK234" s="141">
        <v>1008294.18</v>
      </c>
      <c r="BL234" s="141">
        <v>1008294.18</v>
      </c>
      <c r="BM234" s="141">
        <v>1008294.18</v>
      </c>
      <c r="BN234" s="141">
        <v>1008294.18</v>
      </c>
      <c r="BO234" s="141">
        <v>1008294.18</v>
      </c>
      <c r="BP234" s="141">
        <v>1008294.18</v>
      </c>
      <c r="BQ234" s="141">
        <v>1008294.18</v>
      </c>
      <c r="BR234" s="141">
        <v>1008294.18</v>
      </c>
      <c r="BS234" s="141">
        <v>1008294.18</v>
      </c>
      <c r="BT234" s="141">
        <v>1008294.18</v>
      </c>
      <c r="BU234" s="141">
        <v>1008294.18</v>
      </c>
    </row>
    <row r="235" spans="1:73" ht="14.4" x14ac:dyDescent="0.3">
      <c r="A235" s="160" t="s">
        <v>240</v>
      </c>
      <c r="B235" s="161">
        <v>1996</v>
      </c>
      <c r="C235" s="161">
        <v>98648497.079999998</v>
      </c>
      <c r="D235" s="161">
        <v>256642997.81999996</v>
      </c>
      <c r="E235" s="161">
        <v>338414592.41999996</v>
      </c>
      <c r="F235" s="161">
        <v>389987913.50999999</v>
      </c>
      <c r="G235" s="161">
        <v>423597443.51999998</v>
      </c>
      <c r="H235" s="161">
        <v>445854326.29000002</v>
      </c>
      <c r="I235" s="161">
        <v>461288923.64999998</v>
      </c>
      <c r="J235" s="161">
        <v>472276281.66999996</v>
      </c>
      <c r="K235" s="161">
        <v>488118367.01999998</v>
      </c>
      <c r="L235" s="161">
        <v>484758156.89000005</v>
      </c>
      <c r="M235" s="161">
        <v>490679029.48000002</v>
      </c>
      <c r="N235" s="161">
        <v>495111197.10000002</v>
      </c>
      <c r="O235" s="161">
        <v>498509475.6400001</v>
      </c>
      <c r="P235" s="161">
        <v>502366770.75999999</v>
      </c>
      <c r="Q235" s="161">
        <v>505906878.92000002</v>
      </c>
      <c r="R235" s="161">
        <v>507869219.52999991</v>
      </c>
      <c r="S235" s="161">
        <v>509813180.62</v>
      </c>
      <c r="T235" s="161">
        <v>511915136.08000004</v>
      </c>
      <c r="U235" s="161">
        <v>514191012.41000003</v>
      </c>
      <c r="V235" s="161">
        <v>515596502.93000001</v>
      </c>
      <c r="W235" s="149"/>
      <c r="X235" s="161">
        <v>515596502.93000001</v>
      </c>
      <c r="Y235" s="145"/>
      <c r="Z235" s="145"/>
      <c r="AX235" s="141" t="s">
        <v>249</v>
      </c>
      <c r="AY235" s="141">
        <v>1993</v>
      </c>
      <c r="AZ235" s="141">
        <v>0</v>
      </c>
      <c r="BA235" s="141">
        <v>619552.23</v>
      </c>
      <c r="BB235" s="141">
        <v>839578.72</v>
      </c>
      <c r="BC235" s="141">
        <v>1194759.4099999999</v>
      </c>
      <c r="BD235" s="141">
        <v>1202469.1100000001</v>
      </c>
      <c r="BE235" s="141">
        <v>1201011.17</v>
      </c>
      <c r="BF235" s="141">
        <v>1201011.17</v>
      </c>
      <c r="BG235" s="141">
        <v>1201014.1499999999</v>
      </c>
      <c r="BH235" s="141">
        <v>1206993.1200000001</v>
      </c>
      <c r="BI235" s="141">
        <v>1673120.53</v>
      </c>
      <c r="BJ235" s="141">
        <v>2495401.27</v>
      </c>
      <c r="BK235" s="141">
        <v>2495401.27</v>
      </c>
      <c r="BL235" s="141">
        <v>2503891.04</v>
      </c>
      <c r="BM235" s="141">
        <v>2503891.04</v>
      </c>
      <c r="BN235" s="141">
        <v>2503891.04</v>
      </c>
      <c r="BO235" s="141">
        <v>2503891.04</v>
      </c>
      <c r="BP235" s="141">
        <v>2503891.04</v>
      </c>
      <c r="BQ235" s="141">
        <v>2503891.04</v>
      </c>
      <c r="BR235" s="141">
        <v>2503891.04</v>
      </c>
      <c r="BS235" s="141">
        <v>2503891.04</v>
      </c>
      <c r="BU235" s="141">
        <v>2503891.04</v>
      </c>
    </row>
    <row r="236" spans="1:73" ht="14.4" x14ac:dyDescent="0.3">
      <c r="A236" s="160" t="s">
        <v>240</v>
      </c>
      <c r="B236" s="161">
        <v>1997</v>
      </c>
      <c r="C236" s="161">
        <v>135464936.38</v>
      </c>
      <c r="D236" s="161">
        <v>315297346.33999997</v>
      </c>
      <c r="E236" s="161">
        <v>387932776.19</v>
      </c>
      <c r="F236" s="161">
        <v>443091146.17000008</v>
      </c>
      <c r="G236" s="161">
        <v>493204688.19000006</v>
      </c>
      <c r="H236" s="161">
        <v>514188417.76000005</v>
      </c>
      <c r="I236" s="161">
        <v>530794883.57000005</v>
      </c>
      <c r="J236" s="161">
        <v>533978807.53999996</v>
      </c>
      <c r="K236" s="161">
        <v>543111165.20999992</v>
      </c>
      <c r="L236" s="161">
        <v>548760999.7299999</v>
      </c>
      <c r="M236" s="161">
        <v>552702038.73000014</v>
      </c>
      <c r="N236" s="161">
        <v>556372910.65999997</v>
      </c>
      <c r="O236" s="161">
        <v>559215412.38000011</v>
      </c>
      <c r="P236" s="161">
        <v>561598750.96999991</v>
      </c>
      <c r="Q236" s="161">
        <v>563570805.92000008</v>
      </c>
      <c r="R236" s="161">
        <v>565606314.91000009</v>
      </c>
      <c r="S236" s="161">
        <v>567221254.02999997</v>
      </c>
      <c r="T236" s="161">
        <v>568731790.76999986</v>
      </c>
      <c r="U236" s="161">
        <v>570395829.16000009</v>
      </c>
      <c r="V236" s="149"/>
      <c r="W236" s="149"/>
      <c r="X236" s="161">
        <v>570395829.16000009</v>
      </c>
      <c r="Y236" s="145"/>
      <c r="Z236" s="145"/>
      <c r="AX236" s="141" t="s">
        <v>249</v>
      </c>
      <c r="AY236" s="141">
        <v>1994</v>
      </c>
      <c r="AZ236" s="141">
        <v>20905.09</v>
      </c>
      <c r="BA236" s="141">
        <v>675458.6</v>
      </c>
      <c r="BB236" s="141">
        <v>954570.7</v>
      </c>
      <c r="BC236" s="141">
        <v>2012416.53</v>
      </c>
      <c r="BD236" s="141">
        <v>2226733.46</v>
      </c>
      <c r="BE236" s="141">
        <v>3152700.06</v>
      </c>
      <c r="BF236" s="141">
        <v>3217952.16</v>
      </c>
      <c r="BG236" s="141">
        <v>3773315.37</v>
      </c>
      <c r="BH236" s="141">
        <v>3773340.25</v>
      </c>
      <c r="BI236" s="141">
        <v>3773340.25</v>
      </c>
      <c r="BJ236" s="141">
        <v>3773340.25</v>
      </c>
      <c r="BK236" s="141">
        <v>3771477.5</v>
      </c>
      <c r="BL236" s="141">
        <v>3771477.5</v>
      </c>
      <c r="BM236" s="141">
        <v>3771477.5</v>
      </c>
      <c r="BN236" s="141">
        <v>3771477.5</v>
      </c>
      <c r="BO236" s="141">
        <v>3771477.5</v>
      </c>
      <c r="BP236" s="141">
        <v>3771477.5</v>
      </c>
      <c r="BQ236" s="141">
        <v>3771477.5</v>
      </c>
      <c r="BR236" s="141">
        <v>3771477.5</v>
      </c>
      <c r="BU236" s="141">
        <v>3771477.5</v>
      </c>
    </row>
    <row r="237" spans="1:73" ht="14.4" x14ac:dyDescent="0.3">
      <c r="A237" s="160" t="s">
        <v>240</v>
      </c>
      <c r="B237" s="161">
        <v>1998</v>
      </c>
      <c r="C237" s="161">
        <v>139526071.90000001</v>
      </c>
      <c r="D237" s="161">
        <v>323935944.39999998</v>
      </c>
      <c r="E237" s="161">
        <v>428291898.20999998</v>
      </c>
      <c r="F237" s="161">
        <v>490754526.72999996</v>
      </c>
      <c r="G237" s="161">
        <v>523356371.70999992</v>
      </c>
      <c r="H237" s="161">
        <v>554626124.40999997</v>
      </c>
      <c r="I237" s="161">
        <v>556492559.49000001</v>
      </c>
      <c r="J237" s="161">
        <v>559915019.05999982</v>
      </c>
      <c r="K237" s="161">
        <v>567692936.79999995</v>
      </c>
      <c r="L237" s="161">
        <v>573273388.75</v>
      </c>
      <c r="M237" s="161">
        <v>577589440.71000004</v>
      </c>
      <c r="N237" s="161">
        <v>581228815.14999998</v>
      </c>
      <c r="O237" s="161">
        <v>583755286.6099999</v>
      </c>
      <c r="P237" s="161">
        <v>587175612.29000008</v>
      </c>
      <c r="Q237" s="161">
        <v>589375859.53000009</v>
      </c>
      <c r="R237" s="161">
        <v>591933533.70000005</v>
      </c>
      <c r="S237" s="161">
        <v>594518431.86000001</v>
      </c>
      <c r="T237" s="161">
        <v>595741651.80000007</v>
      </c>
      <c r="U237" s="149"/>
      <c r="V237" s="149"/>
      <c r="W237" s="149"/>
      <c r="X237" s="161">
        <v>595741651.80000007</v>
      </c>
      <c r="Y237" s="145"/>
      <c r="Z237" s="145"/>
      <c r="AX237" s="141" t="s">
        <v>249</v>
      </c>
      <c r="AY237" s="141">
        <v>1995</v>
      </c>
      <c r="AZ237" s="141">
        <v>18517.080000000002</v>
      </c>
      <c r="BA237" s="141">
        <v>1291501.17</v>
      </c>
      <c r="BB237" s="141">
        <v>1655691.86</v>
      </c>
      <c r="BC237" s="141">
        <v>2068763.47</v>
      </c>
      <c r="BD237" s="141">
        <v>2092185.31</v>
      </c>
      <c r="BE237" s="141">
        <v>2097681.71</v>
      </c>
      <c r="BF237" s="141">
        <v>2112781.09</v>
      </c>
      <c r="BG237" s="141">
        <v>2127977.7799999998</v>
      </c>
      <c r="BH237" s="141">
        <v>2133326.65</v>
      </c>
      <c r="BI237" s="141">
        <v>2133326.65</v>
      </c>
      <c r="BJ237" s="141">
        <v>3180696.9</v>
      </c>
      <c r="BK237" s="141">
        <v>3171049.62</v>
      </c>
      <c r="BL237" s="141">
        <v>3171049.62</v>
      </c>
      <c r="BM237" s="141">
        <v>3171049.62</v>
      </c>
      <c r="BN237" s="141">
        <v>3171049.62</v>
      </c>
      <c r="BO237" s="141">
        <v>3171049.62</v>
      </c>
      <c r="BP237" s="141">
        <v>3171049.62</v>
      </c>
      <c r="BQ237" s="141">
        <v>3171049.62</v>
      </c>
      <c r="BU237" s="141">
        <v>3171049.62</v>
      </c>
    </row>
    <row r="238" spans="1:73" ht="14.4" x14ac:dyDescent="0.3">
      <c r="A238" s="160" t="s">
        <v>240</v>
      </c>
      <c r="B238" s="161">
        <v>1999</v>
      </c>
      <c r="C238" s="161">
        <v>144352121.90000001</v>
      </c>
      <c r="D238" s="161">
        <v>368604641.93000007</v>
      </c>
      <c r="E238" s="161">
        <v>494900458.40999985</v>
      </c>
      <c r="F238" s="161">
        <v>537001853.11000001</v>
      </c>
      <c r="G238" s="161">
        <v>561989153.38000011</v>
      </c>
      <c r="H238" s="161">
        <v>592110924.79999995</v>
      </c>
      <c r="I238" s="161">
        <v>614590548.57999992</v>
      </c>
      <c r="J238" s="161">
        <v>628591597.77999997</v>
      </c>
      <c r="K238" s="161">
        <v>638725049.73000002</v>
      </c>
      <c r="L238" s="161">
        <v>645648474.4000001</v>
      </c>
      <c r="M238" s="161">
        <v>650526717.96000004</v>
      </c>
      <c r="N238" s="161">
        <v>654187625.22000003</v>
      </c>
      <c r="O238" s="161">
        <v>657561309.42999995</v>
      </c>
      <c r="P238" s="161">
        <v>660688938.13000011</v>
      </c>
      <c r="Q238" s="161">
        <v>663722664.75999999</v>
      </c>
      <c r="R238" s="161">
        <v>666725381.22000003</v>
      </c>
      <c r="S238" s="161">
        <v>668748390.55999994</v>
      </c>
      <c r="T238" s="149"/>
      <c r="U238" s="149"/>
      <c r="V238" s="149"/>
      <c r="W238" s="149"/>
      <c r="X238" s="161">
        <v>668748390.55999994</v>
      </c>
      <c r="Y238" s="145"/>
      <c r="Z238" s="145"/>
      <c r="AX238" s="141" t="s">
        <v>249</v>
      </c>
      <c r="AY238" s="141">
        <v>1996</v>
      </c>
      <c r="AZ238" s="141">
        <v>170140.2</v>
      </c>
      <c r="BA238" s="141">
        <v>655558.21</v>
      </c>
      <c r="BB238" s="141">
        <v>1895316.84</v>
      </c>
      <c r="BC238" s="141">
        <v>3652852.04</v>
      </c>
      <c r="BD238" s="141">
        <v>4063014.71</v>
      </c>
      <c r="BE238" s="141">
        <v>4372638.01</v>
      </c>
      <c r="BF238" s="141">
        <v>5090406.6900000004</v>
      </c>
      <c r="BG238" s="141">
        <v>5090903.25</v>
      </c>
      <c r="BH238" s="141">
        <v>7359443.5</v>
      </c>
      <c r="BI238" s="141">
        <v>7388084.1100000003</v>
      </c>
      <c r="BJ238" s="141">
        <v>7388084.1100000003</v>
      </c>
      <c r="BK238" s="141">
        <v>7388084.1100000003</v>
      </c>
      <c r="BL238" s="141">
        <v>7388084.1100000003</v>
      </c>
      <c r="BM238" s="141">
        <v>7388084.1100000003</v>
      </c>
      <c r="BN238" s="141">
        <v>7388084.1100000003</v>
      </c>
      <c r="BO238" s="141">
        <v>7388084.1100000003</v>
      </c>
      <c r="BP238" s="141">
        <v>7388084.1100000003</v>
      </c>
      <c r="BU238" s="141">
        <v>7388084.1100000003</v>
      </c>
    </row>
    <row r="239" spans="1:73" ht="14.4" x14ac:dyDescent="0.3">
      <c r="A239" s="160" t="s">
        <v>240</v>
      </c>
      <c r="B239" s="161">
        <v>2000</v>
      </c>
      <c r="C239" s="161">
        <v>153922148.20999998</v>
      </c>
      <c r="D239" s="161">
        <v>404945616.94999999</v>
      </c>
      <c r="E239" s="161">
        <v>534010150.06</v>
      </c>
      <c r="F239" s="161">
        <v>612944677.75999999</v>
      </c>
      <c r="G239" s="161">
        <v>644519152.58000016</v>
      </c>
      <c r="H239" s="161">
        <v>667879119.86000013</v>
      </c>
      <c r="I239" s="161">
        <v>686605787.13999987</v>
      </c>
      <c r="J239" s="161">
        <v>703265601.52999997</v>
      </c>
      <c r="K239" s="161">
        <v>711177161.16000009</v>
      </c>
      <c r="L239" s="161">
        <v>716972518.73000002</v>
      </c>
      <c r="M239" s="161">
        <v>721554952.09000003</v>
      </c>
      <c r="N239" s="161">
        <v>725407297.27999997</v>
      </c>
      <c r="O239" s="161">
        <v>727887641.86000013</v>
      </c>
      <c r="P239" s="161">
        <v>731514309.05999994</v>
      </c>
      <c r="Q239" s="161">
        <v>733865839.28000009</v>
      </c>
      <c r="R239" s="161">
        <v>736262358.45000005</v>
      </c>
      <c r="S239" s="149"/>
      <c r="T239" s="149"/>
      <c r="U239" s="149"/>
      <c r="V239" s="149"/>
      <c r="W239" s="149"/>
      <c r="X239" s="161">
        <v>736262358.45000005</v>
      </c>
      <c r="Y239" s="145"/>
      <c r="Z239" s="145"/>
      <c r="AX239" s="141" t="s">
        <v>249</v>
      </c>
      <c r="AY239" s="141">
        <v>1997</v>
      </c>
      <c r="AZ239" s="141">
        <v>17844</v>
      </c>
      <c r="BA239" s="141">
        <v>5754122.8399999999</v>
      </c>
      <c r="BB239" s="141">
        <v>7382893.4500000002</v>
      </c>
      <c r="BC239" s="141">
        <v>8790026.1099999994</v>
      </c>
      <c r="BD239" s="141">
        <v>12823418.93</v>
      </c>
      <c r="BE239" s="141">
        <v>13173445.619999999</v>
      </c>
      <c r="BF239" s="141">
        <v>12877626.67</v>
      </c>
      <c r="BG239" s="141">
        <v>12960705.33</v>
      </c>
      <c r="BH239" s="141">
        <v>12960705.33</v>
      </c>
      <c r="BI239" s="141">
        <v>12960705.33</v>
      </c>
      <c r="BJ239" s="141">
        <v>12960705.33</v>
      </c>
      <c r="BK239" s="141">
        <v>12960580.789999999</v>
      </c>
      <c r="BL239" s="141">
        <v>12960580.789999999</v>
      </c>
      <c r="BM239" s="141">
        <v>12960580.789999999</v>
      </c>
      <c r="BN239" s="141">
        <v>12959025.880000001</v>
      </c>
      <c r="BO239" s="141">
        <v>12959025.880000001</v>
      </c>
      <c r="BU239" s="141">
        <v>12959025.880000001</v>
      </c>
    </row>
    <row r="240" spans="1:73" ht="14.4" x14ac:dyDescent="0.3">
      <c r="A240" s="160" t="s">
        <v>240</v>
      </c>
      <c r="B240" s="161">
        <v>2001</v>
      </c>
      <c r="C240" s="161">
        <v>183637514.55000001</v>
      </c>
      <c r="D240" s="161">
        <v>468813748.31999999</v>
      </c>
      <c r="E240" s="161">
        <v>647172594.95000005</v>
      </c>
      <c r="F240" s="161">
        <v>751192505.22000003</v>
      </c>
      <c r="G240" s="161">
        <v>806457662.12</v>
      </c>
      <c r="H240" s="161">
        <v>844414741.43999994</v>
      </c>
      <c r="I240" s="161">
        <v>862993110.84000015</v>
      </c>
      <c r="J240" s="161">
        <v>873679729.70000005</v>
      </c>
      <c r="K240" s="161">
        <v>880776182.11999989</v>
      </c>
      <c r="L240" s="161">
        <v>885683248.69000006</v>
      </c>
      <c r="M240" s="161">
        <v>890325732.8499999</v>
      </c>
      <c r="N240" s="161">
        <v>893400842.3900001</v>
      </c>
      <c r="O240" s="161">
        <v>896951708.13999987</v>
      </c>
      <c r="P240" s="161">
        <v>900521113.34000003</v>
      </c>
      <c r="Q240" s="161">
        <v>903338195.91999996</v>
      </c>
      <c r="R240" s="149"/>
      <c r="S240" s="149"/>
      <c r="T240" s="149"/>
      <c r="U240" s="149"/>
      <c r="V240" s="149"/>
      <c r="W240" s="149"/>
      <c r="X240" s="161">
        <v>903338195.91999996</v>
      </c>
      <c r="Y240" s="145"/>
      <c r="Z240" s="145"/>
      <c r="AX240" s="141" t="s">
        <v>249</v>
      </c>
      <c r="AY240" s="141">
        <v>1998</v>
      </c>
      <c r="AZ240" s="141">
        <v>394948.24</v>
      </c>
      <c r="BA240" s="141">
        <v>2150807.2200000002</v>
      </c>
      <c r="BB240" s="141">
        <v>5436720.5199999996</v>
      </c>
      <c r="BC240" s="141">
        <v>12669073.300000001</v>
      </c>
      <c r="BD240" s="141">
        <v>18539106.440000001</v>
      </c>
      <c r="BE240" s="141">
        <v>29076512.239999998</v>
      </c>
      <c r="BF240" s="141">
        <v>29784481.530000001</v>
      </c>
      <c r="BG240" s="141">
        <v>32359936.52</v>
      </c>
      <c r="BH240" s="141">
        <v>32359936.52</v>
      </c>
      <c r="BI240" s="141">
        <v>32359936.52</v>
      </c>
      <c r="BJ240" s="141">
        <v>32359936.52</v>
      </c>
      <c r="BK240" s="141">
        <v>32457488.579999998</v>
      </c>
      <c r="BL240" s="141">
        <v>38603293.210000001</v>
      </c>
      <c r="BM240" s="141">
        <v>40800658.210000001</v>
      </c>
      <c r="BN240" s="141">
        <v>40800658.210000001</v>
      </c>
      <c r="BU240" s="141">
        <v>40800658.210000001</v>
      </c>
    </row>
    <row r="241" spans="1:73" ht="14.4" x14ac:dyDescent="0.3">
      <c r="A241" s="160" t="s">
        <v>240</v>
      </c>
      <c r="B241" s="161">
        <v>2002</v>
      </c>
      <c r="C241" s="161">
        <v>161885099.28</v>
      </c>
      <c r="D241" s="161">
        <v>423897783.96999997</v>
      </c>
      <c r="E241" s="161">
        <v>587983017.6500001</v>
      </c>
      <c r="F241" s="161">
        <v>690596621.11000001</v>
      </c>
      <c r="G241" s="161">
        <v>750758720.44000018</v>
      </c>
      <c r="H241" s="161">
        <v>787216877.61000013</v>
      </c>
      <c r="I241" s="161">
        <v>807249578.64999998</v>
      </c>
      <c r="J241" s="161">
        <v>818864606.57999992</v>
      </c>
      <c r="K241" s="161">
        <v>824522656.27999997</v>
      </c>
      <c r="L241" s="161">
        <v>828020555.93000007</v>
      </c>
      <c r="M241" s="161">
        <v>833126315.13999999</v>
      </c>
      <c r="N241" s="161">
        <v>837374847.19999993</v>
      </c>
      <c r="O241" s="161">
        <v>841905143.04000008</v>
      </c>
      <c r="P241" s="161">
        <v>844738933.94000006</v>
      </c>
      <c r="Q241" s="149"/>
      <c r="R241" s="149"/>
      <c r="S241" s="149"/>
      <c r="T241" s="149"/>
      <c r="U241" s="149"/>
      <c r="V241" s="149"/>
      <c r="W241" s="149"/>
      <c r="X241" s="161">
        <v>844738933.94000006</v>
      </c>
      <c r="Y241" s="145"/>
      <c r="Z241" s="145"/>
      <c r="AX241" s="141" t="s">
        <v>249</v>
      </c>
      <c r="AY241" s="141">
        <v>1999</v>
      </c>
      <c r="AZ241" s="141">
        <v>316518.18</v>
      </c>
      <c r="BA241" s="141">
        <v>2560725.4300000002</v>
      </c>
      <c r="BB241" s="141">
        <v>8782170.0700000003</v>
      </c>
      <c r="BC241" s="141">
        <v>10348041.74</v>
      </c>
      <c r="BD241" s="141">
        <v>13136686.08</v>
      </c>
      <c r="BE241" s="141">
        <v>15137843.199999999</v>
      </c>
      <c r="BF241" s="141">
        <v>16263273.59</v>
      </c>
      <c r="BG241" s="141">
        <v>17255579.18</v>
      </c>
      <c r="BH241" s="141">
        <v>18935883.460000001</v>
      </c>
      <c r="BI241" s="141">
        <v>19790034.079999998</v>
      </c>
      <c r="BJ241" s="141">
        <v>20254893.289999999</v>
      </c>
      <c r="BK241" s="141">
        <v>26152013.170000002</v>
      </c>
      <c r="BL241" s="141">
        <v>28090582.579999998</v>
      </c>
      <c r="BM241" s="141">
        <v>28090582.579999998</v>
      </c>
      <c r="BU241" s="141">
        <v>28090582.579999998</v>
      </c>
    </row>
    <row r="242" spans="1:73" ht="14.4" x14ac:dyDescent="0.3">
      <c r="A242" s="160" t="s">
        <v>240</v>
      </c>
      <c r="B242" s="161">
        <v>2003</v>
      </c>
      <c r="C242" s="161">
        <v>119159691.91</v>
      </c>
      <c r="D242" s="161">
        <v>291614871.89999998</v>
      </c>
      <c r="E242" s="161">
        <v>396368952.19000006</v>
      </c>
      <c r="F242" s="161">
        <v>460203704.29000002</v>
      </c>
      <c r="G242" s="161">
        <v>497275720.00999999</v>
      </c>
      <c r="H242" s="161">
        <v>521423226.06</v>
      </c>
      <c r="I242" s="161">
        <v>536148644.33999997</v>
      </c>
      <c r="J242" s="161">
        <v>544922314.20000005</v>
      </c>
      <c r="K242" s="161">
        <v>552315695.24000001</v>
      </c>
      <c r="L242" s="161">
        <v>556710394.55000007</v>
      </c>
      <c r="M242" s="161">
        <v>562127854.15999997</v>
      </c>
      <c r="N242" s="161">
        <v>567010542.32000005</v>
      </c>
      <c r="O242" s="161">
        <v>569653179.54999995</v>
      </c>
      <c r="P242" s="149"/>
      <c r="Q242" s="149"/>
      <c r="R242" s="149"/>
      <c r="S242" s="149"/>
      <c r="T242" s="149"/>
      <c r="U242" s="149"/>
      <c r="V242" s="149"/>
      <c r="W242" s="149"/>
      <c r="X242" s="161">
        <v>569653179.54999995</v>
      </c>
      <c r="Y242" s="145"/>
      <c r="Z242" s="145"/>
      <c r="AX242" s="141" t="s">
        <v>249</v>
      </c>
      <c r="AY242" s="141">
        <v>2000</v>
      </c>
      <c r="AZ242" s="141">
        <v>157615.4</v>
      </c>
      <c r="BA242" s="141">
        <v>1911597.83</v>
      </c>
      <c r="BB242" s="141">
        <v>6574673.0999999996</v>
      </c>
      <c r="BC242" s="141">
        <v>7425139.8099999996</v>
      </c>
      <c r="BD242" s="141">
        <v>8097691.3300000001</v>
      </c>
      <c r="BE242" s="141">
        <v>8182088.0899999999</v>
      </c>
      <c r="BF242" s="141">
        <v>8822608.0600000005</v>
      </c>
      <c r="BG242" s="141">
        <v>8926668.4299999997</v>
      </c>
      <c r="BH242" s="141">
        <v>10066170.08</v>
      </c>
      <c r="BI242" s="141">
        <v>10504302.17</v>
      </c>
      <c r="BJ242" s="141">
        <v>10604503.689999999</v>
      </c>
      <c r="BK242" s="141">
        <v>12242847.75</v>
      </c>
      <c r="BL242" s="141">
        <v>12242847.75</v>
      </c>
      <c r="BU242" s="141">
        <v>12242847.75</v>
      </c>
    </row>
    <row r="243" spans="1:73" ht="14.4" x14ac:dyDescent="0.3">
      <c r="A243" s="160" t="s">
        <v>240</v>
      </c>
      <c r="B243" s="161">
        <v>2004</v>
      </c>
      <c r="C243" s="161">
        <v>92250421.910000011</v>
      </c>
      <c r="D243" s="161">
        <v>221604371.98999998</v>
      </c>
      <c r="E243" s="161">
        <v>301240610.53000003</v>
      </c>
      <c r="F243" s="161">
        <v>347339437.28999996</v>
      </c>
      <c r="G243" s="161">
        <v>374806226.97999996</v>
      </c>
      <c r="H243" s="161">
        <v>393867310.44999999</v>
      </c>
      <c r="I243" s="161">
        <v>406414183.73000002</v>
      </c>
      <c r="J243" s="161">
        <v>414828294.03000003</v>
      </c>
      <c r="K243" s="161">
        <v>421431990.45000005</v>
      </c>
      <c r="L243" s="161">
        <v>427372722.80999994</v>
      </c>
      <c r="M243" s="161">
        <v>432188648.91000003</v>
      </c>
      <c r="N243" s="161">
        <v>435511502.76999992</v>
      </c>
      <c r="O243" s="149"/>
      <c r="P243" s="149"/>
      <c r="Q243" s="149"/>
      <c r="R243" s="149"/>
      <c r="S243" s="149"/>
      <c r="T243" s="149"/>
      <c r="U243" s="149"/>
      <c r="V243" s="149"/>
      <c r="W243" s="149"/>
      <c r="X243" s="161">
        <v>435511502.76999992</v>
      </c>
      <c r="Y243" s="145"/>
      <c r="Z243" s="145"/>
      <c r="AX243" s="141" t="s">
        <v>249</v>
      </c>
      <c r="AY243" s="141">
        <v>2001</v>
      </c>
      <c r="AZ243" s="141">
        <v>90003.46</v>
      </c>
      <c r="BA243" s="141">
        <v>3083738.34</v>
      </c>
      <c r="BB243" s="141">
        <v>5074016.97</v>
      </c>
      <c r="BC243" s="141">
        <v>6997833.04</v>
      </c>
      <c r="BD243" s="141">
        <v>7464436.6500000004</v>
      </c>
      <c r="BE243" s="141">
        <v>8226416.3200000003</v>
      </c>
      <c r="BF243" s="141">
        <v>16759854.689999999</v>
      </c>
      <c r="BG243" s="141">
        <v>16801192.66</v>
      </c>
      <c r="BH243" s="141">
        <v>16726891.9</v>
      </c>
      <c r="BI243" s="141">
        <v>16726891.9</v>
      </c>
      <c r="BJ243" s="141">
        <v>16715932.880000001</v>
      </c>
      <c r="BK243" s="141">
        <v>16715932.880000001</v>
      </c>
      <c r="BU243" s="141">
        <v>16715932.880000001</v>
      </c>
    </row>
    <row r="244" spans="1:73" ht="14.4" x14ac:dyDescent="0.3">
      <c r="A244" s="160" t="s">
        <v>240</v>
      </c>
      <c r="B244" s="161">
        <v>2005</v>
      </c>
      <c r="C244" s="161">
        <v>47924040.150000006</v>
      </c>
      <c r="D244" s="161">
        <v>119736220.76000001</v>
      </c>
      <c r="E244" s="161">
        <v>158157864.86999997</v>
      </c>
      <c r="F244" s="161">
        <v>181665432.88</v>
      </c>
      <c r="G244" s="161">
        <v>197515266.63</v>
      </c>
      <c r="H244" s="161">
        <v>207317005.70000002</v>
      </c>
      <c r="I244" s="161">
        <v>215167560.25999999</v>
      </c>
      <c r="J244" s="161">
        <v>220444971.09999999</v>
      </c>
      <c r="K244" s="161">
        <v>224707950.42999998</v>
      </c>
      <c r="L244" s="161">
        <v>228579600.34999999</v>
      </c>
      <c r="M244" s="161">
        <v>231464379.89999998</v>
      </c>
      <c r="N244" s="149"/>
      <c r="O244" s="149"/>
      <c r="P244" s="149"/>
      <c r="Q244" s="149"/>
      <c r="R244" s="149"/>
      <c r="S244" s="149"/>
      <c r="T244" s="149"/>
      <c r="U244" s="149"/>
      <c r="V244" s="149"/>
      <c r="W244" s="149"/>
      <c r="X244" s="161">
        <v>231464379.89999998</v>
      </c>
      <c r="Y244" s="145"/>
      <c r="Z244" s="145"/>
      <c r="AX244" s="141" t="s">
        <v>249</v>
      </c>
      <c r="AY244" s="141">
        <v>2002</v>
      </c>
      <c r="AZ244" s="141">
        <v>723707.06</v>
      </c>
      <c r="BA244" s="141">
        <v>1690932.56</v>
      </c>
      <c r="BB244" s="141">
        <v>6207757.8899999997</v>
      </c>
      <c r="BC244" s="141">
        <v>10294321.4</v>
      </c>
      <c r="BD244" s="141">
        <v>10316780.98</v>
      </c>
      <c r="BE244" s="141">
        <v>10326066.310000001</v>
      </c>
      <c r="BF244" s="141">
        <v>10377695.550000001</v>
      </c>
      <c r="BG244" s="141">
        <v>10377695.550000001</v>
      </c>
      <c r="BH244" s="141">
        <v>11763507.66</v>
      </c>
      <c r="BI244" s="141">
        <v>16988918.440000001</v>
      </c>
      <c r="BJ244" s="141">
        <v>16988918.440000001</v>
      </c>
      <c r="BU244" s="141">
        <v>16988918.440000001</v>
      </c>
    </row>
    <row r="245" spans="1:73" ht="14.4" x14ac:dyDescent="0.3">
      <c r="A245" s="160" t="s">
        <v>240</v>
      </c>
      <c r="B245" s="161">
        <v>2006</v>
      </c>
      <c r="C245" s="161">
        <v>40137192.369999997</v>
      </c>
      <c r="D245" s="161">
        <v>101091007.05</v>
      </c>
      <c r="E245" s="161">
        <v>137435681.06999999</v>
      </c>
      <c r="F245" s="161">
        <v>159750358.88999999</v>
      </c>
      <c r="G245" s="161">
        <v>173532607.03999999</v>
      </c>
      <c r="H245" s="161">
        <v>182106378.93000001</v>
      </c>
      <c r="I245" s="161">
        <v>187759172.84999996</v>
      </c>
      <c r="J245" s="161">
        <v>193117963.25</v>
      </c>
      <c r="K245" s="161">
        <v>196173540.24000001</v>
      </c>
      <c r="L245" s="161">
        <v>199210433.69999999</v>
      </c>
      <c r="M245" s="149"/>
      <c r="N245" s="149"/>
      <c r="O245" s="149"/>
      <c r="P245" s="149"/>
      <c r="Q245" s="149"/>
      <c r="R245" s="149"/>
      <c r="S245" s="149"/>
      <c r="T245" s="149"/>
      <c r="U245" s="149"/>
      <c r="V245" s="149"/>
      <c r="W245" s="149"/>
      <c r="X245" s="161">
        <v>199210433.69999999</v>
      </c>
      <c r="Y245" s="145"/>
      <c r="Z245" s="145"/>
      <c r="AX245" s="141" t="s">
        <v>249</v>
      </c>
      <c r="AY245" s="141">
        <v>2003</v>
      </c>
      <c r="AZ245" s="141">
        <v>253604.66</v>
      </c>
      <c r="BA245" s="141">
        <v>6738704.7199999997</v>
      </c>
      <c r="BB245" s="141">
        <v>8882810.9499999993</v>
      </c>
      <c r="BC245" s="141">
        <v>12015682.93</v>
      </c>
      <c r="BD245" s="141">
        <v>12045460.26</v>
      </c>
      <c r="BE245" s="141">
        <v>14655715.32</v>
      </c>
      <c r="BF245" s="141">
        <v>18525769.800000001</v>
      </c>
      <c r="BG245" s="141">
        <v>25399389.940000001</v>
      </c>
      <c r="BH245" s="141">
        <v>25470221.510000002</v>
      </c>
      <c r="BI245" s="141">
        <v>25470221.510000002</v>
      </c>
      <c r="BU245" s="141">
        <v>25470221.510000002</v>
      </c>
    </row>
    <row r="246" spans="1:73" ht="14.4" x14ac:dyDescent="0.3">
      <c r="A246" s="160" t="s">
        <v>240</v>
      </c>
      <c r="B246" s="161">
        <v>2007</v>
      </c>
      <c r="C246" s="161">
        <v>37082447.819999993</v>
      </c>
      <c r="D246" s="161">
        <v>87779946.970000014</v>
      </c>
      <c r="E246" s="161">
        <v>116208371.95</v>
      </c>
      <c r="F246" s="161">
        <v>133636578.34999999</v>
      </c>
      <c r="G246" s="161">
        <v>143292267.29000002</v>
      </c>
      <c r="H246" s="161">
        <v>149576777.19</v>
      </c>
      <c r="I246" s="161">
        <v>154242058.10000002</v>
      </c>
      <c r="J246" s="161">
        <v>157311858.58000001</v>
      </c>
      <c r="K246" s="161">
        <v>159655732.76999998</v>
      </c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149"/>
      <c r="W246" s="149"/>
      <c r="X246" s="161">
        <v>159655732.76999998</v>
      </c>
      <c r="Y246" s="145"/>
      <c r="Z246" s="145"/>
      <c r="AX246" s="141" t="s">
        <v>249</v>
      </c>
      <c r="AY246" s="141">
        <v>2004</v>
      </c>
      <c r="AZ246" s="141">
        <v>570521.23</v>
      </c>
      <c r="BA246" s="141">
        <v>4127137.75</v>
      </c>
      <c r="BB246" s="141">
        <v>11546663.26</v>
      </c>
      <c r="BC246" s="141">
        <v>17130237.309999999</v>
      </c>
      <c r="BD246" s="141">
        <v>27537946.260000002</v>
      </c>
      <c r="BE246" s="141">
        <v>28754758.039999999</v>
      </c>
      <c r="BF246" s="141">
        <v>27849785.34</v>
      </c>
      <c r="BG246" s="141">
        <v>33063216.010000002</v>
      </c>
      <c r="BH246" s="141">
        <v>33339684.079999998</v>
      </c>
      <c r="BU246" s="141">
        <v>33339684.079999998</v>
      </c>
    </row>
    <row r="247" spans="1:73" ht="14.4" x14ac:dyDescent="0.3">
      <c r="A247" s="160" t="s">
        <v>240</v>
      </c>
      <c r="B247" s="161">
        <v>2008</v>
      </c>
      <c r="C247" s="161">
        <v>29138086.560000002</v>
      </c>
      <c r="D247" s="161">
        <v>70029236.320000008</v>
      </c>
      <c r="E247" s="161">
        <v>95022685.030000001</v>
      </c>
      <c r="F247" s="161">
        <v>109751247.71000001</v>
      </c>
      <c r="G247" s="161">
        <v>119741717.06999999</v>
      </c>
      <c r="H247" s="161">
        <v>126226945.59</v>
      </c>
      <c r="I247" s="161">
        <v>128956519.04000001</v>
      </c>
      <c r="J247" s="161">
        <v>130505424.14000003</v>
      </c>
      <c r="K247" s="149"/>
      <c r="L247" s="149"/>
      <c r="M247" s="149"/>
      <c r="N247" s="149"/>
      <c r="O247" s="149"/>
      <c r="P247" s="149"/>
      <c r="Q247" s="149"/>
      <c r="R247" s="149"/>
      <c r="S247" s="149"/>
      <c r="T247" s="149"/>
      <c r="U247" s="149"/>
      <c r="V247" s="149"/>
      <c r="W247" s="149"/>
      <c r="X247" s="161">
        <v>130505424.14000003</v>
      </c>
      <c r="Y247" s="145"/>
      <c r="Z247" s="145"/>
      <c r="AX247" s="141" t="s">
        <v>249</v>
      </c>
      <c r="AY247" s="141">
        <v>2005</v>
      </c>
      <c r="AZ247" s="141">
        <v>506658.95</v>
      </c>
      <c r="BA247" s="141">
        <v>5944360.9299999997</v>
      </c>
      <c r="BB247" s="141">
        <v>14932975.109999999</v>
      </c>
      <c r="BC247" s="141">
        <v>14689272.810000001</v>
      </c>
      <c r="BD247" s="141">
        <v>15800484.380000001</v>
      </c>
      <c r="BE247" s="141">
        <v>16924887.379999999</v>
      </c>
      <c r="BF247" s="141">
        <v>17035516.719999999</v>
      </c>
      <c r="BG247" s="141">
        <v>17101690.260000002</v>
      </c>
      <c r="BU247" s="141">
        <v>17101690.260000002</v>
      </c>
    </row>
    <row r="248" spans="1:73" ht="14.4" x14ac:dyDescent="0.3">
      <c r="A248" s="160" t="s">
        <v>240</v>
      </c>
      <c r="B248" s="161">
        <v>2009</v>
      </c>
      <c r="C248" s="161">
        <v>24210459.23</v>
      </c>
      <c r="D248" s="161">
        <v>63299209.029999994</v>
      </c>
      <c r="E248" s="161">
        <v>87186126.090000018</v>
      </c>
      <c r="F248" s="161">
        <v>102034902.49000001</v>
      </c>
      <c r="G248" s="161">
        <v>111679041.17</v>
      </c>
      <c r="H248" s="161">
        <v>116132451.60000001</v>
      </c>
      <c r="I248" s="161">
        <v>120009334.88999999</v>
      </c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149"/>
      <c r="W248" s="149"/>
      <c r="X248" s="161">
        <v>120009334.88999999</v>
      </c>
      <c r="Y248" s="145"/>
      <c r="Z248" s="145"/>
      <c r="AX248" s="141" t="s">
        <v>249</v>
      </c>
      <c r="AY248" s="141">
        <v>2006</v>
      </c>
      <c r="AZ248" s="141">
        <v>1265757.1599999999</v>
      </c>
      <c r="BA248" s="141">
        <v>13589176.48</v>
      </c>
      <c r="BB248" s="141">
        <v>16389531.02</v>
      </c>
      <c r="BC248" s="141">
        <v>17427529.98</v>
      </c>
      <c r="BD248" s="141">
        <v>18235249.66</v>
      </c>
      <c r="BE248" s="141">
        <v>21084780.469999999</v>
      </c>
      <c r="BF248" s="141">
        <v>21493747.600000001</v>
      </c>
      <c r="BU248" s="141">
        <v>21493747.600000001</v>
      </c>
    </row>
    <row r="249" spans="1:73" ht="14.4" x14ac:dyDescent="0.3">
      <c r="A249" s="160" t="s">
        <v>240</v>
      </c>
      <c r="B249" s="161">
        <v>2010</v>
      </c>
      <c r="C249" s="161">
        <v>23787890.450000003</v>
      </c>
      <c r="D249" s="161">
        <v>59029850.930000007</v>
      </c>
      <c r="E249" s="161">
        <v>80481941.260000005</v>
      </c>
      <c r="F249" s="161">
        <v>93667147.250000015</v>
      </c>
      <c r="G249" s="161">
        <v>100297091.91000001</v>
      </c>
      <c r="H249" s="161">
        <v>106176784.65000001</v>
      </c>
      <c r="I249" s="149"/>
      <c r="J249" s="149"/>
      <c r="K249" s="149"/>
      <c r="L249" s="149"/>
      <c r="M249" s="149"/>
      <c r="N249" s="149"/>
      <c r="O249" s="149"/>
      <c r="P249" s="149"/>
      <c r="Q249" s="149"/>
      <c r="R249" s="149"/>
      <c r="S249" s="149"/>
      <c r="T249" s="149"/>
      <c r="U249" s="149"/>
      <c r="V249" s="149"/>
      <c r="W249" s="149"/>
      <c r="X249" s="161">
        <v>106176784.65000001</v>
      </c>
      <c r="Y249" s="145"/>
      <c r="Z249" s="145"/>
      <c r="AX249" s="141" t="s">
        <v>249</v>
      </c>
      <c r="AY249" s="141">
        <v>2007</v>
      </c>
      <c r="AZ249" s="141">
        <v>2625818.61</v>
      </c>
      <c r="BA249" s="141">
        <v>14819574.4</v>
      </c>
      <c r="BB249" s="141">
        <v>26373180.649999999</v>
      </c>
      <c r="BC249" s="141">
        <v>28483262.68</v>
      </c>
      <c r="BD249" s="141">
        <v>30542184.640000001</v>
      </c>
      <c r="BE249" s="141">
        <v>33075932.91</v>
      </c>
      <c r="BU249" s="141">
        <v>33075932.91</v>
      </c>
    </row>
    <row r="250" spans="1:73" ht="14.4" x14ac:dyDescent="0.3">
      <c r="A250" s="160" t="s">
        <v>240</v>
      </c>
      <c r="B250" s="161">
        <v>2011</v>
      </c>
      <c r="C250" s="161">
        <v>21677694.41</v>
      </c>
      <c r="D250" s="161">
        <v>55878347.200000003</v>
      </c>
      <c r="E250" s="161">
        <v>75707644.300000012</v>
      </c>
      <c r="F250" s="161">
        <v>85716998.479999989</v>
      </c>
      <c r="G250" s="161">
        <v>92467357.049999982</v>
      </c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149"/>
      <c r="W250" s="149"/>
      <c r="X250" s="161">
        <v>92467357.049999982</v>
      </c>
      <c r="Y250" s="145"/>
      <c r="Z250" s="145"/>
      <c r="AX250" s="141" t="s">
        <v>249</v>
      </c>
      <c r="AY250" s="141">
        <v>2008</v>
      </c>
      <c r="AZ250" s="141">
        <v>758037.08</v>
      </c>
      <c r="BA250" s="141">
        <v>4766988.17</v>
      </c>
      <c r="BB250" s="141">
        <v>10593509.68</v>
      </c>
      <c r="BC250" s="141">
        <v>11772523.210000001</v>
      </c>
      <c r="BD250" s="141">
        <v>12046155.5</v>
      </c>
      <c r="BU250" s="141">
        <v>12046155.5</v>
      </c>
    </row>
    <row r="251" spans="1:73" ht="14.4" x14ac:dyDescent="0.3">
      <c r="A251" s="160" t="s">
        <v>240</v>
      </c>
      <c r="B251" s="161">
        <v>2012</v>
      </c>
      <c r="C251" s="161">
        <v>23457226.280000001</v>
      </c>
      <c r="D251" s="161">
        <v>62431572.780000001</v>
      </c>
      <c r="E251" s="161">
        <v>85497890.340000004</v>
      </c>
      <c r="F251" s="161">
        <v>97831375.540000007</v>
      </c>
      <c r="G251" s="149"/>
      <c r="H251" s="149"/>
      <c r="I251" s="149"/>
      <c r="J251" s="149"/>
      <c r="K251" s="149"/>
      <c r="L251" s="149"/>
      <c r="M251" s="149"/>
      <c r="N251" s="149"/>
      <c r="O251" s="149"/>
      <c r="P251" s="149"/>
      <c r="Q251" s="149"/>
      <c r="R251" s="149"/>
      <c r="S251" s="149"/>
      <c r="T251" s="149"/>
      <c r="U251" s="149"/>
      <c r="V251" s="149"/>
      <c r="W251" s="149"/>
      <c r="X251" s="161">
        <v>97831375.540000007</v>
      </c>
      <c r="Y251" s="145"/>
      <c r="Z251" s="145"/>
      <c r="AX251" s="141" t="s">
        <v>249</v>
      </c>
      <c r="AY251" s="141">
        <v>2009</v>
      </c>
      <c r="AZ251" s="141">
        <v>863697.32</v>
      </c>
      <c r="BA251" s="141">
        <v>10192483.58</v>
      </c>
      <c r="BB251" s="141">
        <v>15740472.92</v>
      </c>
      <c r="BC251" s="141">
        <v>23824073.379999999</v>
      </c>
      <c r="BU251" s="141">
        <v>23824073.379999999</v>
      </c>
    </row>
    <row r="252" spans="1:73" ht="14.4" x14ac:dyDescent="0.3">
      <c r="A252" s="160" t="s">
        <v>240</v>
      </c>
      <c r="B252" s="161">
        <v>2013</v>
      </c>
      <c r="C252" s="161">
        <v>24441639.519999996</v>
      </c>
      <c r="D252" s="161">
        <v>61585623.299999997</v>
      </c>
      <c r="E252" s="161">
        <v>81642093.760000005</v>
      </c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149"/>
      <c r="W252" s="149"/>
      <c r="X252" s="161">
        <v>81642093.760000005</v>
      </c>
      <c r="Y252" s="145"/>
      <c r="Z252" s="145"/>
      <c r="AX252" s="141" t="s">
        <v>249</v>
      </c>
      <c r="AY252" s="141">
        <v>2010</v>
      </c>
      <c r="AZ252" s="141">
        <v>1376995.44</v>
      </c>
      <c r="BA252" s="141">
        <v>17591571.550000001</v>
      </c>
      <c r="BB252" s="141">
        <v>31324758.399999999</v>
      </c>
      <c r="BU252" s="141">
        <v>31324758.399999999</v>
      </c>
    </row>
    <row r="253" spans="1:73" ht="14.4" x14ac:dyDescent="0.3">
      <c r="A253" s="160" t="s">
        <v>240</v>
      </c>
      <c r="B253" s="161">
        <v>2014</v>
      </c>
      <c r="C253" s="161">
        <v>24367972.469999999</v>
      </c>
      <c r="D253" s="161">
        <v>61800919.140000008</v>
      </c>
      <c r="E253" s="149"/>
      <c r="F253" s="149"/>
      <c r="G253" s="149"/>
      <c r="H253" s="149"/>
      <c r="I253" s="149"/>
      <c r="J253" s="149"/>
      <c r="K253" s="149"/>
      <c r="L253" s="149"/>
      <c r="M253" s="149"/>
      <c r="N253" s="149"/>
      <c r="O253" s="149"/>
      <c r="P253" s="149"/>
      <c r="Q253" s="149"/>
      <c r="R253" s="149"/>
      <c r="S253" s="149"/>
      <c r="T253" s="149"/>
      <c r="U253" s="149"/>
      <c r="V253" s="149"/>
      <c r="W253" s="149"/>
      <c r="X253" s="161">
        <v>61800919.140000008</v>
      </c>
      <c r="Y253" s="145"/>
      <c r="Z253" s="145"/>
      <c r="AX253" s="141" t="s">
        <v>249</v>
      </c>
      <c r="AY253" s="141">
        <v>2011</v>
      </c>
      <c r="AZ253" s="141">
        <v>15273835.92</v>
      </c>
      <c r="BA253" s="141">
        <v>45081297.649999999</v>
      </c>
      <c r="BU253" s="141">
        <v>45081297.649999999</v>
      </c>
    </row>
    <row r="254" spans="1:73" ht="14.4" x14ac:dyDescent="0.3">
      <c r="A254" s="160" t="s">
        <v>240</v>
      </c>
      <c r="B254" s="161">
        <v>2015</v>
      </c>
      <c r="C254" s="161">
        <v>22379813.82</v>
      </c>
      <c r="D254" s="149"/>
      <c r="E254" s="149"/>
      <c r="F254" s="149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149"/>
      <c r="W254" s="149"/>
      <c r="X254" s="161">
        <v>22379813.82</v>
      </c>
      <c r="Y254" s="145"/>
      <c r="Z254" s="145"/>
      <c r="AX254" s="141" t="s">
        <v>249</v>
      </c>
      <c r="AY254" s="141">
        <v>2012</v>
      </c>
      <c r="AZ254" s="141">
        <v>3000938.19</v>
      </c>
      <c r="BU254" s="141">
        <v>3000938.19</v>
      </c>
    </row>
    <row r="255" spans="1:73" ht="14.4" x14ac:dyDescent="0.3">
      <c r="A255" s="160" t="s">
        <v>241</v>
      </c>
      <c r="B255" s="161">
        <v>1995</v>
      </c>
      <c r="C255" s="161">
        <v>0</v>
      </c>
      <c r="D255" s="161">
        <v>0</v>
      </c>
      <c r="E255" s="161">
        <v>0</v>
      </c>
      <c r="F255" s="161">
        <v>0</v>
      </c>
      <c r="G255" s="161">
        <v>0</v>
      </c>
      <c r="H255" s="161">
        <v>0</v>
      </c>
      <c r="I255" s="161">
        <v>0</v>
      </c>
      <c r="J255" s="161">
        <v>0</v>
      </c>
      <c r="K255" s="161">
        <v>0</v>
      </c>
      <c r="L255" s="161">
        <v>0</v>
      </c>
      <c r="M255" s="161">
        <v>0</v>
      </c>
      <c r="N255" s="161">
        <v>0</v>
      </c>
      <c r="O255" s="161">
        <v>0</v>
      </c>
      <c r="P255" s="161">
        <v>0</v>
      </c>
      <c r="Q255" s="161">
        <v>0</v>
      </c>
      <c r="R255" s="161">
        <v>0</v>
      </c>
      <c r="S255" s="161">
        <v>0</v>
      </c>
      <c r="T255" s="161">
        <v>0</v>
      </c>
      <c r="U255" s="161">
        <v>0</v>
      </c>
      <c r="V255" s="161">
        <v>0</v>
      </c>
      <c r="W255" s="161">
        <v>0</v>
      </c>
      <c r="X255" s="161">
        <v>0</v>
      </c>
      <c r="Y255" s="145"/>
      <c r="Z255" s="145"/>
      <c r="AX255" s="141" t="s">
        <v>250</v>
      </c>
      <c r="AY255" s="141">
        <v>1992</v>
      </c>
      <c r="AZ255" s="141">
        <v>233476202.77000001</v>
      </c>
      <c r="BA255" s="141">
        <v>264891178.62</v>
      </c>
      <c r="BB255" s="141">
        <v>324076202.69999999</v>
      </c>
      <c r="BC255" s="141">
        <v>319573257.45999998</v>
      </c>
      <c r="BD255" s="141">
        <v>360689870.83999997</v>
      </c>
      <c r="BE255" s="141">
        <v>374538229.10000002</v>
      </c>
      <c r="BF255" s="141">
        <v>383944279.87</v>
      </c>
      <c r="BG255" s="141">
        <v>377015735.50999999</v>
      </c>
      <c r="BH255" s="141">
        <v>384083339.63999999</v>
      </c>
      <c r="BI255" s="141">
        <v>383953755.63999999</v>
      </c>
      <c r="BJ255" s="141">
        <v>384920339.06999999</v>
      </c>
      <c r="BK255" s="141">
        <v>386105716.79000002</v>
      </c>
      <c r="BL255" s="141">
        <v>386319083.44</v>
      </c>
      <c r="BM255" s="141">
        <v>386978466.01999998</v>
      </c>
      <c r="BN255" s="141">
        <v>386838454.45999998</v>
      </c>
      <c r="BO255" s="141">
        <v>386850967.45999998</v>
      </c>
      <c r="BP255" s="141">
        <v>386850599.87</v>
      </c>
      <c r="BQ255" s="141">
        <v>386892637.94</v>
      </c>
      <c r="BR255" s="141">
        <v>386893042.94</v>
      </c>
      <c r="BS255" s="141">
        <v>386893042.94</v>
      </c>
      <c r="BT255" s="141">
        <v>386892711.85000002</v>
      </c>
      <c r="BU255" s="141">
        <v>386892711.85000002</v>
      </c>
    </row>
    <row r="256" spans="1:73" ht="14.4" x14ac:dyDescent="0.3">
      <c r="A256" s="160" t="s">
        <v>241</v>
      </c>
      <c r="B256" s="161">
        <v>1996</v>
      </c>
      <c r="C256" s="161">
        <v>0</v>
      </c>
      <c r="D256" s="161">
        <v>0</v>
      </c>
      <c r="E256" s="161">
        <v>0</v>
      </c>
      <c r="F256" s="161">
        <v>0</v>
      </c>
      <c r="G256" s="161">
        <v>0</v>
      </c>
      <c r="H256" s="161">
        <v>0</v>
      </c>
      <c r="I256" s="161">
        <v>0</v>
      </c>
      <c r="J256" s="161">
        <v>0</v>
      </c>
      <c r="K256" s="161">
        <v>0</v>
      </c>
      <c r="L256" s="161">
        <v>0</v>
      </c>
      <c r="M256" s="161">
        <v>0</v>
      </c>
      <c r="N256" s="161">
        <v>0</v>
      </c>
      <c r="O256" s="161">
        <v>0</v>
      </c>
      <c r="P256" s="161">
        <v>0</v>
      </c>
      <c r="Q256" s="161">
        <v>0</v>
      </c>
      <c r="R256" s="161">
        <v>0</v>
      </c>
      <c r="S256" s="161">
        <v>0</v>
      </c>
      <c r="T256" s="161">
        <v>0</v>
      </c>
      <c r="U256" s="161">
        <v>0</v>
      </c>
      <c r="V256" s="161">
        <v>0</v>
      </c>
      <c r="W256" s="149"/>
      <c r="X256" s="161">
        <v>0</v>
      </c>
      <c r="Y256" s="145"/>
      <c r="Z256" s="145"/>
      <c r="AX256" s="141" t="s">
        <v>250</v>
      </c>
      <c r="AY256" s="141">
        <v>1993</v>
      </c>
      <c r="AZ256" s="141">
        <v>299847.23</v>
      </c>
      <c r="BA256" s="141">
        <v>11590409.380000001</v>
      </c>
      <c r="BB256" s="141">
        <v>23322598.239999998</v>
      </c>
      <c r="BC256" s="141">
        <v>25811769.73</v>
      </c>
      <c r="BD256" s="141">
        <v>28029110.25</v>
      </c>
      <c r="BE256" s="141">
        <v>27587868.030000001</v>
      </c>
      <c r="BF256" s="141">
        <v>27675653.18</v>
      </c>
      <c r="BG256" s="141">
        <v>27745089.850000001</v>
      </c>
      <c r="BH256" s="141">
        <v>27752383.210000001</v>
      </c>
      <c r="BI256" s="141">
        <v>27752952.02</v>
      </c>
      <c r="BJ256" s="141">
        <v>27752951.920000002</v>
      </c>
      <c r="BK256" s="141">
        <v>27752951.920000002</v>
      </c>
      <c r="BL256" s="141">
        <v>27752951.920000002</v>
      </c>
      <c r="BM256" s="141">
        <v>27752951.920000002</v>
      </c>
      <c r="BN256" s="141">
        <v>27752951.920000002</v>
      </c>
      <c r="BO256" s="141">
        <v>27752951.920000002</v>
      </c>
      <c r="BP256" s="141">
        <v>27752951.920000002</v>
      </c>
      <c r="BQ256" s="141">
        <v>27752951.920000002</v>
      </c>
      <c r="BR256" s="141">
        <v>27752951.920000002</v>
      </c>
      <c r="BS256" s="141">
        <v>27752951.920000002</v>
      </c>
      <c r="BU256" s="141">
        <v>27752951.920000002</v>
      </c>
    </row>
    <row r="257" spans="1:73" ht="14.4" x14ac:dyDescent="0.3">
      <c r="A257" s="160" t="s">
        <v>241</v>
      </c>
      <c r="B257" s="161">
        <v>1997</v>
      </c>
      <c r="C257" s="161">
        <v>0</v>
      </c>
      <c r="D257" s="161">
        <v>30690.040000000037</v>
      </c>
      <c r="E257" s="161">
        <v>30690.040000000037</v>
      </c>
      <c r="F257" s="161">
        <v>30690.040000000037</v>
      </c>
      <c r="G257" s="161">
        <v>36752.89000000013</v>
      </c>
      <c r="H257" s="161">
        <v>118895.73000000045</v>
      </c>
      <c r="I257" s="161">
        <v>118100.33000000007</v>
      </c>
      <c r="J257" s="161">
        <v>140120.54000000004</v>
      </c>
      <c r="K257" s="161">
        <v>2773899.7299999995</v>
      </c>
      <c r="L257" s="161">
        <v>2773899.7299999995</v>
      </c>
      <c r="M257" s="161">
        <v>2774688.5700000003</v>
      </c>
      <c r="N257" s="161">
        <v>2760839.4400000004</v>
      </c>
      <c r="O257" s="161">
        <v>2760839.4400000004</v>
      </c>
      <c r="P257" s="161">
        <v>2760839.4400000004</v>
      </c>
      <c r="Q257" s="161">
        <v>2760839.4400000004</v>
      </c>
      <c r="R257" s="161">
        <v>2760839.4400000004</v>
      </c>
      <c r="S257" s="161">
        <v>2760839.4400000004</v>
      </c>
      <c r="T257" s="161">
        <v>2760839.4400000004</v>
      </c>
      <c r="U257" s="161">
        <v>2760839.4400000004</v>
      </c>
      <c r="V257" s="149"/>
      <c r="W257" s="149"/>
      <c r="X257" s="161">
        <v>2760839.4400000004</v>
      </c>
      <c r="Y257" s="145"/>
      <c r="Z257" s="145"/>
      <c r="AX257" s="141" t="s">
        <v>250</v>
      </c>
      <c r="AY257" s="141">
        <v>1994</v>
      </c>
      <c r="AZ257" s="141">
        <v>1162496.44</v>
      </c>
      <c r="BA257" s="141">
        <v>13460631.140000001</v>
      </c>
      <c r="BB257" s="141">
        <v>41700850.579999998</v>
      </c>
      <c r="BC257" s="141">
        <v>55684215.969999999</v>
      </c>
      <c r="BD257" s="141">
        <v>58416948.409999996</v>
      </c>
      <c r="BE257" s="141">
        <v>60915113.359999999</v>
      </c>
      <c r="BF257" s="141">
        <v>60623495.079999998</v>
      </c>
      <c r="BG257" s="141">
        <v>61102657.350000001</v>
      </c>
      <c r="BH257" s="141">
        <v>61245083.729999997</v>
      </c>
      <c r="BI257" s="141">
        <v>62423805.939999998</v>
      </c>
      <c r="BJ257" s="141">
        <v>62434342.490000002</v>
      </c>
      <c r="BK257" s="141">
        <v>62477238.490000002</v>
      </c>
      <c r="BL257" s="141">
        <v>62504622.299999997</v>
      </c>
      <c r="BM257" s="141">
        <v>62540875.770000003</v>
      </c>
      <c r="BN257" s="141">
        <v>62700633.380000003</v>
      </c>
      <c r="BO257" s="141">
        <v>63855279.149999999</v>
      </c>
      <c r="BP257" s="141">
        <v>63855279.149999999</v>
      </c>
      <c r="BQ257" s="141">
        <v>63855279.149999999</v>
      </c>
      <c r="BR257" s="141">
        <v>63855279.149999999</v>
      </c>
      <c r="BU257" s="141">
        <v>63855279.149999999</v>
      </c>
    </row>
    <row r="258" spans="1:73" ht="14.4" x14ac:dyDescent="0.3">
      <c r="A258" s="160" t="s">
        <v>241</v>
      </c>
      <c r="B258" s="161">
        <v>1998</v>
      </c>
      <c r="C258" s="161">
        <v>8439415.9299999997</v>
      </c>
      <c r="D258" s="161">
        <v>18580986.73</v>
      </c>
      <c r="E258" s="161">
        <v>33867446.489999995</v>
      </c>
      <c r="F258" s="161">
        <v>43201622.770000011</v>
      </c>
      <c r="G258" s="161">
        <v>53340463.399999999</v>
      </c>
      <c r="H258" s="161">
        <v>66014155.060000002</v>
      </c>
      <c r="I258" s="161">
        <v>76635443.949999988</v>
      </c>
      <c r="J258" s="161">
        <v>78177047.359999985</v>
      </c>
      <c r="K258" s="161">
        <v>78588087.149999991</v>
      </c>
      <c r="L258" s="161">
        <v>79257652.01000002</v>
      </c>
      <c r="M258" s="161">
        <v>79313506.829999983</v>
      </c>
      <c r="N258" s="161">
        <v>79570504.549999982</v>
      </c>
      <c r="O258" s="161">
        <v>79611698.819999993</v>
      </c>
      <c r="P258" s="161">
        <v>79563152.489999995</v>
      </c>
      <c r="Q258" s="161">
        <v>79639132.989999995</v>
      </c>
      <c r="R258" s="161">
        <v>79641521.709999993</v>
      </c>
      <c r="S258" s="161">
        <v>79641521.709999993</v>
      </c>
      <c r="T258" s="161">
        <v>79641521.709999993</v>
      </c>
      <c r="U258" s="149"/>
      <c r="V258" s="149"/>
      <c r="W258" s="149"/>
      <c r="X258" s="161">
        <v>79641521.709999993</v>
      </c>
      <c r="Y258" s="145"/>
      <c r="Z258" s="145"/>
      <c r="AX258" s="141" t="s">
        <v>250</v>
      </c>
      <c r="AY258" s="141">
        <v>1995</v>
      </c>
      <c r="AZ258" s="141">
        <v>1003353.56</v>
      </c>
      <c r="BA258" s="141">
        <v>17758752.579999998</v>
      </c>
      <c r="BB258" s="141">
        <v>25810581.41</v>
      </c>
      <c r="BC258" s="141">
        <v>28168725.559999999</v>
      </c>
      <c r="BD258" s="141">
        <v>30227859.149999999</v>
      </c>
      <c r="BE258" s="141">
        <v>36759549.25</v>
      </c>
      <c r="BF258" s="141">
        <v>38630821.57</v>
      </c>
      <c r="BG258" s="141">
        <v>40015882.409999996</v>
      </c>
      <c r="BH258" s="141">
        <v>40005529.689999998</v>
      </c>
      <c r="BI258" s="141">
        <v>39438860.57</v>
      </c>
      <c r="BJ258" s="141">
        <v>39383758.899999999</v>
      </c>
      <c r="BK258" s="141">
        <v>39399694.68</v>
      </c>
      <c r="BL258" s="141">
        <v>39399694.68</v>
      </c>
      <c r="BM258" s="141">
        <v>39495765.409999996</v>
      </c>
      <c r="BN258" s="141">
        <v>39495765.409999996</v>
      </c>
      <c r="BO258" s="141">
        <v>39495765.409999996</v>
      </c>
      <c r="BP258" s="141">
        <v>39495765.409999996</v>
      </c>
      <c r="BQ258" s="141">
        <v>39495765.409999996</v>
      </c>
      <c r="BU258" s="141">
        <v>39495765.409999996</v>
      </c>
    </row>
    <row r="259" spans="1:73" ht="14.4" x14ac:dyDescent="0.3">
      <c r="A259" s="160" t="s">
        <v>241</v>
      </c>
      <c r="B259" s="161">
        <v>1999</v>
      </c>
      <c r="C259" s="161">
        <v>9712863.7400000002</v>
      </c>
      <c r="D259" s="161">
        <v>24355119.359999999</v>
      </c>
      <c r="E259" s="161">
        <v>43670212.079999991</v>
      </c>
      <c r="F259" s="161">
        <v>64304291.990000002</v>
      </c>
      <c r="G259" s="161">
        <v>81137097.230000004</v>
      </c>
      <c r="H259" s="161">
        <v>104110374.05</v>
      </c>
      <c r="I259" s="161">
        <v>109610933.62999998</v>
      </c>
      <c r="J259" s="161">
        <v>113261917.37000002</v>
      </c>
      <c r="K259" s="161">
        <v>114538435.53999998</v>
      </c>
      <c r="L259" s="161">
        <v>115727636.32000002</v>
      </c>
      <c r="M259" s="161">
        <v>115691447.08000003</v>
      </c>
      <c r="N259" s="161">
        <v>116428634.34000002</v>
      </c>
      <c r="O259" s="161">
        <v>114768385.33</v>
      </c>
      <c r="P259" s="161">
        <v>114793778.45</v>
      </c>
      <c r="Q259" s="161">
        <v>114797614.5</v>
      </c>
      <c r="R259" s="161">
        <v>114797614.5</v>
      </c>
      <c r="S259" s="161">
        <v>114797614.5</v>
      </c>
      <c r="T259" s="149"/>
      <c r="U259" s="149"/>
      <c r="V259" s="149"/>
      <c r="W259" s="149"/>
      <c r="X259" s="161">
        <v>114797614.5</v>
      </c>
      <c r="Y259" s="145"/>
      <c r="Z259" s="145"/>
      <c r="AX259" s="141" t="s">
        <v>250</v>
      </c>
      <c r="AY259" s="141">
        <v>1996</v>
      </c>
      <c r="AZ259" s="141">
        <v>1066023.1200000001</v>
      </c>
      <c r="BA259" s="141">
        <v>3155648.9</v>
      </c>
      <c r="BB259" s="141">
        <v>9628720.0800000001</v>
      </c>
      <c r="BC259" s="141">
        <v>11306244.619999999</v>
      </c>
      <c r="BD259" s="141">
        <v>14813766.710000001</v>
      </c>
      <c r="BE259" s="141">
        <v>15743481.800000001</v>
      </c>
      <c r="BF259" s="141">
        <v>16013982.66</v>
      </c>
      <c r="BG259" s="141">
        <v>15932911.210000001</v>
      </c>
      <c r="BH259" s="141">
        <v>14207897.210000001</v>
      </c>
      <c r="BI259" s="141">
        <v>16075085.76</v>
      </c>
      <c r="BJ259" s="141">
        <v>16267525.119999999</v>
      </c>
      <c r="BK259" s="141">
        <v>15976590.029999999</v>
      </c>
      <c r="BL259" s="141">
        <v>17854353.91</v>
      </c>
      <c r="BM259" s="141">
        <v>17953528.16</v>
      </c>
      <c r="BN259" s="141">
        <v>17953528.16</v>
      </c>
      <c r="BO259" s="141">
        <v>17953528.16</v>
      </c>
      <c r="BP259" s="141">
        <v>17953528.16</v>
      </c>
      <c r="BU259" s="141">
        <v>17953528.16</v>
      </c>
    </row>
    <row r="260" spans="1:73" ht="14.4" x14ac:dyDescent="0.3">
      <c r="A260" s="160" t="s">
        <v>241</v>
      </c>
      <c r="B260" s="161">
        <v>2000</v>
      </c>
      <c r="C260" s="161">
        <v>14303167.710000001</v>
      </c>
      <c r="D260" s="161">
        <v>35569916.029999986</v>
      </c>
      <c r="E260" s="161">
        <v>69051060.830000013</v>
      </c>
      <c r="F260" s="161">
        <v>107284407.33</v>
      </c>
      <c r="G260" s="161">
        <v>132528931.05</v>
      </c>
      <c r="H260" s="161">
        <v>143591128.97999999</v>
      </c>
      <c r="I260" s="161">
        <v>151024145.25</v>
      </c>
      <c r="J260" s="161">
        <v>152322149.70000002</v>
      </c>
      <c r="K260" s="161">
        <v>152597702.79999998</v>
      </c>
      <c r="L260" s="161">
        <v>153523280.72999999</v>
      </c>
      <c r="M260" s="161">
        <v>153842840.82000002</v>
      </c>
      <c r="N260" s="161">
        <v>153681380.50999999</v>
      </c>
      <c r="O260" s="161">
        <v>153723160.59999999</v>
      </c>
      <c r="P260" s="161">
        <v>153836210.42000002</v>
      </c>
      <c r="Q260" s="161">
        <v>153897849.28000003</v>
      </c>
      <c r="R260" s="161">
        <v>153948898.37</v>
      </c>
      <c r="S260" s="149"/>
      <c r="T260" s="149"/>
      <c r="U260" s="149"/>
      <c r="V260" s="149"/>
      <c r="W260" s="149"/>
      <c r="X260" s="161">
        <v>153948898.37</v>
      </c>
      <c r="Y260" s="145"/>
      <c r="Z260" s="145"/>
      <c r="AX260" s="141" t="s">
        <v>250</v>
      </c>
      <c r="AY260" s="141">
        <v>1997</v>
      </c>
      <c r="AZ260" s="141">
        <v>328646.15999999997</v>
      </c>
      <c r="BA260" s="141">
        <v>1904644.76</v>
      </c>
      <c r="BB260" s="141">
        <v>13742032.27</v>
      </c>
      <c r="BC260" s="141">
        <v>14640058.369999999</v>
      </c>
      <c r="BD260" s="141">
        <v>17386155.199999999</v>
      </c>
      <c r="BE260" s="141">
        <v>18898253.899999999</v>
      </c>
      <c r="BF260" s="141">
        <v>18683203.879999999</v>
      </c>
      <c r="BG260" s="141">
        <v>12479542.58</v>
      </c>
      <c r="BH260" s="141">
        <v>7589843.47000001</v>
      </c>
      <c r="BI260" s="141">
        <v>7590840.2100000102</v>
      </c>
      <c r="BJ260" s="141">
        <v>7590956.0900000203</v>
      </c>
      <c r="BK260" s="141">
        <v>7580645.0800000103</v>
      </c>
      <c r="BL260" s="141">
        <v>7580645.0800000103</v>
      </c>
      <c r="BM260" s="141">
        <v>7581005.3200000199</v>
      </c>
      <c r="BN260" s="141">
        <v>7581005.3200000199</v>
      </c>
      <c r="BO260" s="141">
        <v>7581005.3200000199</v>
      </c>
      <c r="BU260" s="141">
        <v>7581005.3200000199</v>
      </c>
    </row>
    <row r="261" spans="1:73" ht="14.4" x14ac:dyDescent="0.3">
      <c r="A261" s="160" t="s">
        <v>241</v>
      </c>
      <c r="B261" s="161">
        <v>2001</v>
      </c>
      <c r="C261" s="161">
        <v>19559905.559999999</v>
      </c>
      <c r="D261" s="161">
        <v>45382086.939999998</v>
      </c>
      <c r="E261" s="161">
        <v>92868268.020000011</v>
      </c>
      <c r="F261" s="161">
        <v>131064942.61999997</v>
      </c>
      <c r="G261" s="161">
        <v>152975284.94</v>
      </c>
      <c r="H261" s="161">
        <v>166691307.88999999</v>
      </c>
      <c r="I261" s="161">
        <v>170831320.36000001</v>
      </c>
      <c r="J261" s="161">
        <v>171992383.09</v>
      </c>
      <c r="K261" s="161">
        <v>173071948.34000003</v>
      </c>
      <c r="L261" s="161">
        <v>172699979.26000002</v>
      </c>
      <c r="M261" s="161">
        <v>172470189.84</v>
      </c>
      <c r="N261" s="161">
        <v>172491008.89000002</v>
      </c>
      <c r="O261" s="161">
        <v>172619918.56000003</v>
      </c>
      <c r="P261" s="161">
        <v>172645351.16</v>
      </c>
      <c r="Q261" s="161">
        <v>172864490.28</v>
      </c>
      <c r="R261" s="149"/>
      <c r="S261" s="149"/>
      <c r="T261" s="149"/>
      <c r="U261" s="149"/>
      <c r="V261" s="149"/>
      <c r="W261" s="149"/>
      <c r="X261" s="161">
        <v>172864490.28</v>
      </c>
      <c r="Y261" s="145"/>
      <c r="Z261" s="145"/>
      <c r="AX261" s="141" t="s">
        <v>250</v>
      </c>
      <c r="AY261" s="141">
        <v>1998</v>
      </c>
      <c r="AZ261" s="141">
        <v>640098.43000000005</v>
      </c>
      <c r="BA261" s="141">
        <v>3119372.6</v>
      </c>
      <c r="BB261" s="141">
        <v>3385069.81</v>
      </c>
      <c r="BC261" s="141">
        <v>4094627.96</v>
      </c>
      <c r="BD261" s="141">
        <v>9346858.4800000004</v>
      </c>
      <c r="BE261" s="141">
        <v>9267935.3399999999</v>
      </c>
      <c r="BF261" s="141">
        <v>1746114.77000001</v>
      </c>
      <c r="BG261" s="141">
        <v>1144345.52</v>
      </c>
      <c r="BH261" s="141">
        <v>1543771.4299999899</v>
      </c>
      <c r="BI261" s="141">
        <v>7048897.5300000003</v>
      </c>
      <c r="BJ261" s="141">
        <v>6313546.1099999798</v>
      </c>
      <c r="BK261" s="141">
        <v>5336915.1600000104</v>
      </c>
      <c r="BL261" s="141">
        <v>2590737.5899999901</v>
      </c>
      <c r="BM261" s="141">
        <v>2598760.23999999</v>
      </c>
      <c r="BN261" s="141">
        <v>2617615.19</v>
      </c>
      <c r="BU261" s="141">
        <v>2617615.19</v>
      </c>
    </row>
    <row r="262" spans="1:73" ht="14.4" x14ac:dyDescent="0.3">
      <c r="A262" s="160" t="s">
        <v>241</v>
      </c>
      <c r="B262" s="161">
        <v>2002</v>
      </c>
      <c r="C262" s="161">
        <v>17642395.170000002</v>
      </c>
      <c r="D262" s="161">
        <v>44884815.129999995</v>
      </c>
      <c r="E262" s="161">
        <v>77441872.680000007</v>
      </c>
      <c r="F262" s="161">
        <v>107478808.2</v>
      </c>
      <c r="G262" s="161">
        <v>128761098.04000004</v>
      </c>
      <c r="H262" s="161">
        <v>138173549.08999997</v>
      </c>
      <c r="I262" s="161">
        <v>139319543.41999999</v>
      </c>
      <c r="J262" s="161">
        <v>139860059.36000001</v>
      </c>
      <c r="K262" s="161">
        <v>141301659.35000002</v>
      </c>
      <c r="L262" s="161">
        <v>141517722.92999998</v>
      </c>
      <c r="M262" s="161">
        <v>142464091.68000001</v>
      </c>
      <c r="N262" s="161">
        <v>142196203.95000002</v>
      </c>
      <c r="O262" s="161">
        <v>142337020.66000003</v>
      </c>
      <c r="P262" s="161">
        <v>142349913.99000001</v>
      </c>
      <c r="Q262" s="149"/>
      <c r="R262" s="149"/>
      <c r="S262" s="149"/>
      <c r="T262" s="149"/>
      <c r="U262" s="149"/>
      <c r="V262" s="149"/>
      <c r="W262" s="149"/>
      <c r="X262" s="161">
        <v>142349913.99000001</v>
      </c>
      <c r="Y262" s="145"/>
      <c r="Z262" s="145"/>
      <c r="AX262" s="141" t="s">
        <v>250</v>
      </c>
      <c r="AY262" s="141">
        <v>1999</v>
      </c>
      <c r="AZ262" s="141">
        <v>213955.48</v>
      </c>
      <c r="BA262" s="141">
        <v>1392540.53</v>
      </c>
      <c r="BB262" s="141">
        <v>5216981.74</v>
      </c>
      <c r="BC262" s="141">
        <v>6616164.8499999996</v>
      </c>
      <c r="BD262" s="141">
        <v>-4616779.2300000004</v>
      </c>
      <c r="BE262" s="141">
        <v>-6926577.5599999996</v>
      </c>
      <c r="BF262" s="141">
        <v>-14971367.6</v>
      </c>
      <c r="BG262" s="141">
        <v>-4400997.3899999904</v>
      </c>
      <c r="BH262" s="141">
        <v>-23977609.32</v>
      </c>
      <c r="BI262" s="141">
        <v>-23896159.420000002</v>
      </c>
      <c r="BJ262" s="141">
        <v>-22335419.690000001</v>
      </c>
      <c r="BK262" s="141">
        <v>-22401573.59</v>
      </c>
      <c r="BL262" s="141">
        <v>-22365829.579999998</v>
      </c>
      <c r="BM262" s="141">
        <v>-19001016.32</v>
      </c>
      <c r="BU262" s="141">
        <v>-19001016.32</v>
      </c>
    </row>
    <row r="263" spans="1:73" ht="14.4" x14ac:dyDescent="0.3">
      <c r="A263" s="160" t="s">
        <v>241</v>
      </c>
      <c r="B263" s="161">
        <v>2003</v>
      </c>
      <c r="C263" s="161">
        <v>12901308.809999997</v>
      </c>
      <c r="D263" s="161">
        <v>35748698.059999995</v>
      </c>
      <c r="E263" s="161">
        <v>58017970</v>
      </c>
      <c r="F263" s="161">
        <v>78399934.070000008</v>
      </c>
      <c r="G263" s="161">
        <v>95687605.020000011</v>
      </c>
      <c r="H263" s="161">
        <v>104055638.02999999</v>
      </c>
      <c r="I263" s="161">
        <v>107535336.59999999</v>
      </c>
      <c r="J263" s="161">
        <v>110499378.36999999</v>
      </c>
      <c r="K263" s="161">
        <v>110808773.09000002</v>
      </c>
      <c r="L263" s="161">
        <v>111030440.09</v>
      </c>
      <c r="M263" s="161">
        <v>111533616.28</v>
      </c>
      <c r="N263" s="161">
        <v>111568768.38000003</v>
      </c>
      <c r="O263" s="161">
        <v>111621367.34999999</v>
      </c>
      <c r="P263" s="149"/>
      <c r="Q263" s="149"/>
      <c r="R263" s="149"/>
      <c r="S263" s="149"/>
      <c r="T263" s="149"/>
      <c r="U263" s="149"/>
      <c r="V263" s="149"/>
      <c r="W263" s="149"/>
      <c r="X263" s="161">
        <v>111621367.34999999</v>
      </c>
      <c r="Y263" s="145"/>
      <c r="Z263" s="145"/>
      <c r="AX263" s="141" t="s">
        <v>250</v>
      </c>
      <c r="AY263" s="141">
        <v>2000</v>
      </c>
      <c r="AZ263" s="141">
        <v>687484.65</v>
      </c>
      <c r="BA263" s="141">
        <v>2546192.27</v>
      </c>
      <c r="BB263" s="141">
        <v>10843948.92</v>
      </c>
      <c r="BC263" s="141">
        <v>27961118.16</v>
      </c>
      <c r="BD263" s="141">
        <v>24719767.5</v>
      </c>
      <c r="BE263" s="141">
        <v>24423342.57</v>
      </c>
      <c r="BF263" s="141">
        <v>35492278.130000003</v>
      </c>
      <c r="BG263" s="141">
        <v>33590213.189999998</v>
      </c>
      <c r="BH263" s="141">
        <v>30796608.390000001</v>
      </c>
      <c r="BI263" s="141">
        <v>30438069.420000002</v>
      </c>
      <c r="BJ263" s="141">
        <v>38295089.07</v>
      </c>
      <c r="BK263" s="141">
        <v>38605673.759999998</v>
      </c>
      <c r="BL263" s="141">
        <v>38882546.189999998</v>
      </c>
      <c r="BU263" s="141">
        <v>38882546.189999998</v>
      </c>
    </row>
    <row r="264" spans="1:73" ht="14.4" x14ac:dyDescent="0.3">
      <c r="A264" s="160" t="s">
        <v>241</v>
      </c>
      <c r="B264" s="161">
        <v>2004</v>
      </c>
      <c r="C264" s="161">
        <v>12003913.98</v>
      </c>
      <c r="D264" s="161">
        <v>28703847.739999998</v>
      </c>
      <c r="E264" s="161">
        <v>49964371.969999999</v>
      </c>
      <c r="F264" s="161">
        <v>68785592.170000002</v>
      </c>
      <c r="G264" s="161">
        <v>80899852.189999998</v>
      </c>
      <c r="H264" s="161">
        <v>87072970.090000018</v>
      </c>
      <c r="I264" s="161">
        <v>89663013.730000004</v>
      </c>
      <c r="J264" s="161">
        <v>90327793.280000001</v>
      </c>
      <c r="K264" s="161">
        <v>90781076.419999987</v>
      </c>
      <c r="L264" s="161">
        <v>91044880.61999999</v>
      </c>
      <c r="M264" s="161">
        <v>91519627.709999993</v>
      </c>
      <c r="N264" s="161">
        <v>91808456.819999978</v>
      </c>
      <c r="O264" s="149"/>
      <c r="P264" s="149"/>
      <c r="Q264" s="149"/>
      <c r="R264" s="149"/>
      <c r="S264" s="149"/>
      <c r="T264" s="149"/>
      <c r="U264" s="149"/>
      <c r="V264" s="149"/>
      <c r="W264" s="149"/>
      <c r="X264" s="161">
        <v>91808456.819999978</v>
      </c>
      <c r="Y264" s="145"/>
      <c r="Z264" s="145"/>
      <c r="AX264" s="141" t="s">
        <v>250</v>
      </c>
      <c r="AY264" s="141">
        <v>2001</v>
      </c>
      <c r="AZ264" s="141">
        <v>376826.88</v>
      </c>
      <c r="BA264" s="141">
        <v>8683266.9100000001</v>
      </c>
      <c r="BB264" s="141">
        <v>5535738.4999999898</v>
      </c>
      <c r="BC264" s="141">
        <v>9743761.4000000097</v>
      </c>
      <c r="BD264" s="141">
        <v>24930063.23</v>
      </c>
      <c r="BE264" s="141">
        <v>54500615.609999999</v>
      </c>
      <c r="BF264" s="141">
        <v>71127375.349999994</v>
      </c>
      <c r="BG264" s="141">
        <v>75636452.189999998</v>
      </c>
      <c r="BH264" s="141">
        <v>78254605.019999996</v>
      </c>
      <c r="BI264" s="141">
        <v>76572313.519999996</v>
      </c>
      <c r="BJ264" s="141">
        <v>76890785.659999996</v>
      </c>
      <c r="BK264" s="141">
        <v>84216396.060000002</v>
      </c>
      <c r="BU264" s="141">
        <v>84216396.060000002</v>
      </c>
    </row>
    <row r="265" spans="1:73" ht="14.4" x14ac:dyDescent="0.3">
      <c r="A265" s="160" t="s">
        <v>241</v>
      </c>
      <c r="B265" s="161">
        <v>2005</v>
      </c>
      <c r="C265" s="161">
        <v>9336947.3900000025</v>
      </c>
      <c r="D265" s="161">
        <v>23722073.850000001</v>
      </c>
      <c r="E265" s="161">
        <v>40033997.990000002</v>
      </c>
      <c r="F265" s="161">
        <v>57057404.54999999</v>
      </c>
      <c r="G265" s="161">
        <v>68868045.359999999</v>
      </c>
      <c r="H265" s="161">
        <v>82361570.929999992</v>
      </c>
      <c r="I265" s="161">
        <v>83964180.75</v>
      </c>
      <c r="J265" s="161">
        <v>83382419.549999997</v>
      </c>
      <c r="K265" s="161">
        <v>84484398.340000018</v>
      </c>
      <c r="L265" s="161">
        <v>84639708.620000005</v>
      </c>
      <c r="M265" s="161">
        <v>84981412.400000006</v>
      </c>
      <c r="N265" s="149"/>
      <c r="O265" s="149"/>
      <c r="P265" s="149"/>
      <c r="Q265" s="149"/>
      <c r="R265" s="149"/>
      <c r="S265" s="149"/>
      <c r="T265" s="149"/>
      <c r="U265" s="149"/>
      <c r="V265" s="149"/>
      <c r="W265" s="149"/>
      <c r="X265" s="161">
        <v>84981412.400000006</v>
      </c>
      <c r="Y265" s="145"/>
      <c r="Z265" s="145"/>
      <c r="AX265" s="141" t="s">
        <v>250</v>
      </c>
      <c r="AY265" s="141">
        <v>2002</v>
      </c>
      <c r="AZ265" s="141">
        <v>7843376.4800000004</v>
      </c>
      <c r="BA265" s="141">
        <v>14801874.25</v>
      </c>
      <c r="BB265" s="141">
        <v>33464573.879999999</v>
      </c>
      <c r="BC265" s="141">
        <v>64796678.100000001</v>
      </c>
      <c r="BD265" s="141">
        <v>86302942.989999995</v>
      </c>
      <c r="BE265" s="141">
        <v>101339416.42</v>
      </c>
      <c r="BF265" s="141">
        <v>110641493.94</v>
      </c>
      <c r="BG265" s="141">
        <v>105562334.23999999</v>
      </c>
      <c r="BH265" s="141">
        <v>117506647.42</v>
      </c>
      <c r="BI265" s="141">
        <v>117954514.58</v>
      </c>
      <c r="BJ265" s="141">
        <v>118481011.56999999</v>
      </c>
      <c r="BU265" s="141">
        <v>118481011.56999999</v>
      </c>
    </row>
    <row r="266" spans="1:73" ht="14.4" x14ac:dyDescent="0.3">
      <c r="A266" s="160" t="s">
        <v>241</v>
      </c>
      <c r="B266" s="161">
        <v>2006</v>
      </c>
      <c r="C266" s="161">
        <v>7761191.6399999997</v>
      </c>
      <c r="D266" s="161">
        <v>20943901.459999997</v>
      </c>
      <c r="E266" s="161">
        <v>35505931.580000006</v>
      </c>
      <c r="F266" s="161">
        <v>50660289.529999994</v>
      </c>
      <c r="G266" s="161">
        <v>62393391.940000005</v>
      </c>
      <c r="H266" s="161">
        <v>67282934.659999996</v>
      </c>
      <c r="I266" s="161">
        <v>69707576.949999988</v>
      </c>
      <c r="J266" s="161">
        <v>71360802.710000008</v>
      </c>
      <c r="K266" s="161">
        <v>72116523.409999982</v>
      </c>
      <c r="L266" s="161">
        <v>72337347.179999992</v>
      </c>
      <c r="M266" s="149"/>
      <c r="N266" s="149"/>
      <c r="O266" s="149"/>
      <c r="P266" s="149"/>
      <c r="Q266" s="149"/>
      <c r="R266" s="149"/>
      <c r="S266" s="149"/>
      <c r="T266" s="149"/>
      <c r="U266" s="149"/>
      <c r="V266" s="149"/>
      <c r="W266" s="149"/>
      <c r="X266" s="161">
        <v>72337347.179999992</v>
      </c>
      <c r="Y266" s="145"/>
      <c r="Z266" s="145"/>
      <c r="AX266" s="141" t="s">
        <v>250</v>
      </c>
      <c r="AY266" s="141">
        <v>2003</v>
      </c>
      <c r="AZ266" s="141">
        <v>-3000653.01</v>
      </c>
      <c r="BA266" s="141">
        <v>2899448.19</v>
      </c>
      <c r="BB266" s="141">
        <v>10474563.529999999</v>
      </c>
      <c r="BC266" s="141">
        <v>26013811.75</v>
      </c>
      <c r="BD266" s="141">
        <v>8496229.1699999999</v>
      </c>
      <c r="BE266" s="141">
        <v>16592631.699999999</v>
      </c>
      <c r="BF266" s="141">
        <v>16571029.949999999</v>
      </c>
      <c r="BG266" s="141">
        <v>16919814.199999999</v>
      </c>
      <c r="BH266" s="141">
        <v>19395756.98</v>
      </c>
      <c r="BI266" s="141">
        <v>31218257.640000001</v>
      </c>
      <c r="BU266" s="141">
        <v>31218257.640000001</v>
      </c>
    </row>
    <row r="267" spans="1:73" ht="14.4" x14ac:dyDescent="0.3">
      <c r="A267" s="160" t="s">
        <v>241</v>
      </c>
      <c r="B267" s="161">
        <v>2007</v>
      </c>
      <c r="C267" s="161">
        <v>7715090.2999999998</v>
      </c>
      <c r="D267" s="161">
        <v>19524576.960000005</v>
      </c>
      <c r="E267" s="161">
        <v>28562751.599999994</v>
      </c>
      <c r="F267" s="161">
        <v>38983099.109999999</v>
      </c>
      <c r="G267" s="161">
        <v>44182695.199999996</v>
      </c>
      <c r="H267" s="161">
        <v>46716336.780000001</v>
      </c>
      <c r="I267" s="161">
        <v>48747164.460000008</v>
      </c>
      <c r="J267" s="161">
        <v>49100108.560000002</v>
      </c>
      <c r="K267" s="161">
        <v>49008607.210000001</v>
      </c>
      <c r="L267" s="149"/>
      <c r="M267" s="149"/>
      <c r="N267" s="149"/>
      <c r="O267" s="149"/>
      <c r="P267" s="149"/>
      <c r="Q267" s="149"/>
      <c r="R267" s="149"/>
      <c r="S267" s="149"/>
      <c r="T267" s="149"/>
      <c r="U267" s="149"/>
      <c r="V267" s="149"/>
      <c r="W267" s="149"/>
      <c r="X267" s="161">
        <v>49008607.210000001</v>
      </c>
      <c r="Y267" s="145"/>
      <c r="Z267" s="145"/>
      <c r="AX267" s="141" t="s">
        <v>250</v>
      </c>
      <c r="AY267" s="141">
        <v>2004</v>
      </c>
      <c r="AZ267" s="141">
        <v>266985.08</v>
      </c>
      <c r="BA267" s="141">
        <v>5465419.0899999999</v>
      </c>
      <c r="BB267" s="141">
        <v>16874736.989999998</v>
      </c>
      <c r="BC267" s="141">
        <v>38474597.369999997</v>
      </c>
      <c r="BD267" s="141">
        <v>39303974.530000001</v>
      </c>
      <c r="BE267" s="141">
        <v>44240838.329999998</v>
      </c>
      <c r="BF267" s="141">
        <v>49553224.229999997</v>
      </c>
      <c r="BG267" s="141">
        <v>52176254.57</v>
      </c>
      <c r="BH267" s="141">
        <v>52203814.310000002</v>
      </c>
      <c r="BU267" s="141">
        <v>52203814.310000002</v>
      </c>
    </row>
    <row r="268" spans="1:73" ht="14.4" x14ac:dyDescent="0.3">
      <c r="A268" s="160" t="s">
        <v>241</v>
      </c>
      <c r="B268" s="161">
        <v>2008</v>
      </c>
      <c r="C268" s="161">
        <v>4372127.26</v>
      </c>
      <c r="D268" s="161">
        <v>10547875.860000001</v>
      </c>
      <c r="E268" s="161">
        <v>16882313.469999991</v>
      </c>
      <c r="F268" s="161">
        <v>22055490.379999999</v>
      </c>
      <c r="G268" s="161">
        <v>26150272.349999998</v>
      </c>
      <c r="H268" s="161">
        <v>27295558.449999999</v>
      </c>
      <c r="I268" s="161">
        <v>27732043.200000003</v>
      </c>
      <c r="J268" s="161">
        <v>28020476.390000001</v>
      </c>
      <c r="K268" s="149"/>
      <c r="L268" s="149"/>
      <c r="M268" s="149"/>
      <c r="N268" s="149"/>
      <c r="O268" s="149"/>
      <c r="P268" s="149"/>
      <c r="Q268" s="149"/>
      <c r="R268" s="149"/>
      <c r="S268" s="149"/>
      <c r="T268" s="149"/>
      <c r="U268" s="149"/>
      <c r="V268" s="149"/>
      <c r="W268" s="149"/>
      <c r="X268" s="161">
        <v>28020476.390000001</v>
      </c>
      <c r="Y268" s="145"/>
      <c r="Z268" s="145"/>
      <c r="AX268" s="141" t="s">
        <v>250</v>
      </c>
      <c r="AY268" s="141">
        <v>2005</v>
      </c>
      <c r="AZ268" s="141">
        <v>1672.66</v>
      </c>
      <c r="BA268" s="141">
        <v>1241084.17</v>
      </c>
      <c r="BB268" s="141">
        <v>6775105.2400000002</v>
      </c>
      <c r="BC268" s="141">
        <v>9771635.5399999991</v>
      </c>
      <c r="BD268" s="141">
        <v>13928565.779999999</v>
      </c>
      <c r="BE268" s="141">
        <v>16842743.690000001</v>
      </c>
      <c r="BF268" s="141">
        <v>21733414.329999998</v>
      </c>
      <c r="BG268" s="141">
        <v>22359113.710000001</v>
      </c>
      <c r="BU268" s="141">
        <v>22359113.710000001</v>
      </c>
    </row>
    <row r="269" spans="1:73" ht="14.4" x14ac:dyDescent="0.3">
      <c r="A269" s="160" t="s">
        <v>241</v>
      </c>
      <c r="B269" s="161">
        <v>2009</v>
      </c>
      <c r="C269" s="161">
        <v>3632372.0999999996</v>
      </c>
      <c r="D269" s="161">
        <v>8282857.8499999996</v>
      </c>
      <c r="E269" s="161">
        <v>13648200.710000001</v>
      </c>
      <c r="F269" s="161">
        <v>19603228.449999996</v>
      </c>
      <c r="G269" s="161">
        <v>22884944.039999999</v>
      </c>
      <c r="H269" s="161">
        <v>25595613.77</v>
      </c>
      <c r="I269" s="161">
        <v>28083588.880000003</v>
      </c>
      <c r="J269" s="149"/>
      <c r="K269" s="149"/>
      <c r="L269" s="149"/>
      <c r="M269" s="149"/>
      <c r="N269" s="149"/>
      <c r="O269" s="149"/>
      <c r="P269" s="149"/>
      <c r="Q269" s="149"/>
      <c r="R269" s="149"/>
      <c r="S269" s="149"/>
      <c r="T269" s="149"/>
      <c r="U269" s="149"/>
      <c r="V269" s="149"/>
      <c r="W269" s="149"/>
      <c r="X269" s="161">
        <v>28083588.880000003</v>
      </c>
      <c r="Y269" s="145"/>
      <c r="Z269" s="145"/>
      <c r="AX269" s="141" t="s">
        <v>250</v>
      </c>
      <c r="AY269" s="141">
        <v>2006</v>
      </c>
      <c r="AZ269" s="141">
        <v>-2084.3000000000002</v>
      </c>
      <c r="BA269" s="141">
        <v>7936440.7400000002</v>
      </c>
      <c r="BB269" s="141">
        <v>28866908.280000001</v>
      </c>
      <c r="BC269" s="141">
        <v>37403060.149999999</v>
      </c>
      <c r="BD269" s="141">
        <v>39119636.240000002</v>
      </c>
      <c r="BE269" s="141">
        <v>36108193.289999999</v>
      </c>
      <c r="BF269" s="141">
        <v>39705123.270000003</v>
      </c>
      <c r="BU269" s="141">
        <v>39705123.270000003</v>
      </c>
    </row>
    <row r="270" spans="1:73" ht="14.4" x14ac:dyDescent="0.3">
      <c r="A270" s="160" t="s">
        <v>241</v>
      </c>
      <c r="B270" s="161">
        <v>2010</v>
      </c>
      <c r="C270" s="161">
        <v>3111749.5999999996</v>
      </c>
      <c r="D270" s="161">
        <v>8786998.1400000006</v>
      </c>
      <c r="E270" s="161">
        <v>13589709.380000001</v>
      </c>
      <c r="F270" s="161">
        <v>19877066.349999998</v>
      </c>
      <c r="G270" s="161">
        <v>22608357.149999999</v>
      </c>
      <c r="H270" s="161">
        <v>24017883.77</v>
      </c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/>
      <c r="T270" s="149"/>
      <c r="U270" s="149"/>
      <c r="V270" s="149"/>
      <c r="W270" s="149"/>
      <c r="X270" s="161">
        <v>24017883.77</v>
      </c>
      <c r="Y270" s="145"/>
      <c r="Z270" s="145"/>
      <c r="AX270" s="141" t="s">
        <v>250</v>
      </c>
      <c r="AY270" s="141">
        <v>2007</v>
      </c>
      <c r="AZ270" s="141">
        <v>370824.28</v>
      </c>
      <c r="BA270" s="141">
        <v>4380765.12</v>
      </c>
      <c r="BB270" s="141">
        <v>17739981.350000001</v>
      </c>
      <c r="BC270" s="141">
        <v>24860528.57</v>
      </c>
      <c r="BD270" s="141">
        <v>30891995.59</v>
      </c>
      <c r="BE270" s="141">
        <v>33293022.809999999</v>
      </c>
      <c r="BU270" s="141">
        <v>33293022.809999999</v>
      </c>
    </row>
    <row r="271" spans="1:73" ht="14.4" x14ac:dyDescent="0.3">
      <c r="A271" s="160" t="s">
        <v>241</v>
      </c>
      <c r="B271" s="161">
        <v>2011</v>
      </c>
      <c r="C271" s="161">
        <v>4125747.67</v>
      </c>
      <c r="D271" s="161">
        <v>12431811.41</v>
      </c>
      <c r="E271" s="161">
        <v>30939707.129999999</v>
      </c>
      <c r="F271" s="161">
        <v>74891061.670000002</v>
      </c>
      <c r="G271" s="161">
        <v>134085379.8</v>
      </c>
      <c r="H271" s="149"/>
      <c r="I271" s="149"/>
      <c r="J271" s="149"/>
      <c r="K271" s="149"/>
      <c r="L271" s="149"/>
      <c r="M271" s="149"/>
      <c r="N271" s="149"/>
      <c r="O271" s="149"/>
      <c r="P271" s="149"/>
      <c r="Q271" s="149"/>
      <c r="R271" s="149"/>
      <c r="S271" s="149"/>
      <c r="T271" s="149"/>
      <c r="U271" s="149"/>
      <c r="V271" s="149"/>
      <c r="W271" s="149"/>
      <c r="X271" s="161">
        <v>134085379.8</v>
      </c>
      <c r="Y271" s="145"/>
      <c r="Z271" s="145"/>
      <c r="AX271" s="141" t="s">
        <v>250</v>
      </c>
      <c r="AY271" s="141">
        <v>2008</v>
      </c>
      <c r="AZ271" s="141">
        <v>301775.81</v>
      </c>
      <c r="BA271" s="141">
        <v>6811400.9500000002</v>
      </c>
      <c r="BB271" s="141">
        <v>63930933.549999997</v>
      </c>
      <c r="BC271" s="141">
        <v>89487919.170000002</v>
      </c>
      <c r="BD271" s="141">
        <v>111152965.36</v>
      </c>
      <c r="BU271" s="141">
        <v>111152965.36</v>
      </c>
    </row>
    <row r="272" spans="1:73" ht="14.4" x14ac:dyDescent="0.3">
      <c r="A272" s="160" t="s">
        <v>241</v>
      </c>
      <c r="B272" s="161">
        <v>2012</v>
      </c>
      <c r="C272" s="161">
        <v>3585537.41</v>
      </c>
      <c r="D272" s="161">
        <v>8127518.25</v>
      </c>
      <c r="E272" s="161">
        <v>12102747.139999999</v>
      </c>
      <c r="F272" s="161">
        <v>15803583.869999997</v>
      </c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149"/>
      <c r="W272" s="149"/>
      <c r="X272" s="161">
        <v>15803583.869999997</v>
      </c>
      <c r="Y272" s="145"/>
      <c r="Z272" s="145"/>
      <c r="AX272" s="141" t="s">
        <v>250</v>
      </c>
      <c r="AY272" s="141">
        <v>2009</v>
      </c>
      <c r="AZ272" s="141">
        <v>763277.46</v>
      </c>
      <c r="BA272" s="141">
        <v>14036998.710000001</v>
      </c>
      <c r="BB272" s="141">
        <v>29773261.940000001</v>
      </c>
      <c r="BC272" s="141">
        <v>59642547.560000002</v>
      </c>
      <c r="BU272" s="141">
        <v>59642547.560000002</v>
      </c>
    </row>
    <row r="273" spans="1:73" ht="14.4" x14ac:dyDescent="0.3">
      <c r="A273" s="160" t="s">
        <v>241</v>
      </c>
      <c r="B273" s="161">
        <v>2013</v>
      </c>
      <c r="C273" s="161">
        <v>4591973.62</v>
      </c>
      <c r="D273" s="161">
        <v>10266685.99</v>
      </c>
      <c r="E273" s="161">
        <v>16720253.769999998</v>
      </c>
      <c r="F273" s="149"/>
      <c r="G273" s="149"/>
      <c r="H273" s="149"/>
      <c r="I273" s="149"/>
      <c r="J273" s="149"/>
      <c r="K273" s="149"/>
      <c r="L273" s="149"/>
      <c r="M273" s="149"/>
      <c r="N273" s="149"/>
      <c r="O273" s="149"/>
      <c r="P273" s="149"/>
      <c r="Q273" s="149"/>
      <c r="R273" s="149"/>
      <c r="S273" s="149"/>
      <c r="T273" s="149"/>
      <c r="U273" s="149"/>
      <c r="V273" s="149"/>
      <c r="W273" s="149"/>
      <c r="X273" s="161">
        <v>16720253.769999998</v>
      </c>
      <c r="Y273" s="145"/>
      <c r="Z273" s="145"/>
      <c r="AX273" s="141" t="s">
        <v>250</v>
      </c>
      <c r="AY273" s="141">
        <v>2010</v>
      </c>
      <c r="AZ273" s="141">
        <v>262584.08</v>
      </c>
      <c r="BA273" s="141">
        <v>7763835.0700000003</v>
      </c>
      <c r="BB273" s="141">
        <v>52744144.579999998</v>
      </c>
      <c r="BU273" s="141">
        <v>52744144.579999998</v>
      </c>
    </row>
    <row r="274" spans="1:73" ht="14.4" x14ac:dyDescent="0.3">
      <c r="A274" s="160" t="s">
        <v>241</v>
      </c>
      <c r="B274" s="161">
        <v>2014</v>
      </c>
      <c r="C274" s="161">
        <v>4232530.3899999997</v>
      </c>
      <c r="D274" s="161">
        <v>8769224.879999999</v>
      </c>
      <c r="E274" s="149"/>
      <c r="F274" s="149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/>
      <c r="T274" s="149"/>
      <c r="U274" s="149"/>
      <c r="V274" s="149"/>
      <c r="W274" s="149"/>
      <c r="X274" s="161">
        <v>8769224.879999999</v>
      </c>
      <c r="Y274" s="145"/>
      <c r="Z274" s="145"/>
      <c r="AX274" s="141" t="s">
        <v>250</v>
      </c>
      <c r="AY274" s="141">
        <v>2011</v>
      </c>
      <c r="AZ274" s="141">
        <v>5670048.3099999996</v>
      </c>
      <c r="BA274" s="141">
        <v>54923606.350000001</v>
      </c>
      <c r="BU274" s="141">
        <v>54923606.350000001</v>
      </c>
    </row>
    <row r="275" spans="1:73" ht="14.4" x14ac:dyDescent="0.3">
      <c r="A275" s="160" t="s">
        <v>241</v>
      </c>
      <c r="B275" s="161">
        <v>2015</v>
      </c>
      <c r="C275" s="161">
        <v>4191256.05</v>
      </c>
      <c r="D275" s="149"/>
      <c r="E275" s="149"/>
      <c r="F275" s="149"/>
      <c r="G275" s="149"/>
      <c r="H275" s="149"/>
      <c r="I275" s="149"/>
      <c r="J275" s="149"/>
      <c r="K275" s="149"/>
      <c r="L275" s="149"/>
      <c r="M275" s="149"/>
      <c r="N275" s="149"/>
      <c r="O275" s="149"/>
      <c r="P275" s="149"/>
      <c r="Q275" s="149"/>
      <c r="R275" s="149"/>
      <c r="S275" s="149"/>
      <c r="T275" s="149"/>
      <c r="U275" s="149"/>
      <c r="V275" s="149"/>
      <c r="W275" s="149"/>
      <c r="X275" s="161">
        <v>4191256.05</v>
      </c>
      <c r="Y275" s="145"/>
      <c r="Z275" s="145"/>
      <c r="AX275" s="141" t="s">
        <v>250</v>
      </c>
      <c r="AY275" s="141">
        <v>2012</v>
      </c>
      <c r="AZ275" s="141">
        <v>10072223.74</v>
      </c>
      <c r="BU275" s="141">
        <v>10072223.74</v>
      </c>
    </row>
    <row r="276" spans="1:73" ht="14.4" x14ac:dyDescent="0.3">
      <c r="A276" s="160" t="s">
        <v>242</v>
      </c>
      <c r="B276" s="161">
        <v>1995</v>
      </c>
      <c r="C276" s="161">
        <v>3218549.45</v>
      </c>
      <c r="D276" s="161">
        <v>7168160.9900000002</v>
      </c>
      <c r="E276" s="161">
        <v>11005857.190000001</v>
      </c>
      <c r="F276" s="161">
        <v>14394691.350000001</v>
      </c>
      <c r="G276" s="161">
        <v>15633171.859999999</v>
      </c>
      <c r="H276" s="161">
        <v>16712576</v>
      </c>
      <c r="I276" s="161">
        <v>17313931.82</v>
      </c>
      <c r="J276" s="161">
        <v>17486340.870000001</v>
      </c>
      <c r="K276" s="161">
        <v>18125697.609999999</v>
      </c>
      <c r="L276" s="161">
        <v>18137078.780000001</v>
      </c>
      <c r="M276" s="161">
        <v>18296686.579999998</v>
      </c>
      <c r="N276" s="161">
        <v>18297425.079999998</v>
      </c>
      <c r="O276" s="161">
        <v>18297525.079999998</v>
      </c>
      <c r="P276" s="161">
        <v>18297419.079999998</v>
      </c>
      <c r="Q276" s="161">
        <v>18297309.079999998</v>
      </c>
      <c r="R276" s="161">
        <v>18297223.079999998</v>
      </c>
      <c r="S276" s="161">
        <v>18297007.079999998</v>
      </c>
      <c r="T276" s="161">
        <v>18296967.079999998</v>
      </c>
      <c r="U276" s="161">
        <v>18296903.079999998</v>
      </c>
      <c r="V276" s="161">
        <v>18296903.079999998</v>
      </c>
      <c r="W276" s="161">
        <v>18296903.079999998</v>
      </c>
      <c r="X276" s="161">
        <v>18296903.079999998</v>
      </c>
      <c r="Y276" s="145"/>
      <c r="Z276" s="145"/>
    </row>
    <row r="277" spans="1:73" ht="14.4" x14ac:dyDescent="0.3">
      <c r="A277" s="160" t="s">
        <v>242</v>
      </c>
      <c r="B277" s="161">
        <v>1996</v>
      </c>
      <c r="C277" s="161">
        <v>8446535.6399999987</v>
      </c>
      <c r="D277" s="161">
        <v>15673936.889999999</v>
      </c>
      <c r="E277" s="161">
        <v>22008794.550000001</v>
      </c>
      <c r="F277" s="161">
        <v>24647183.160000004</v>
      </c>
      <c r="G277" s="161">
        <v>25622217.530000001</v>
      </c>
      <c r="H277" s="161">
        <v>26848801.090000004</v>
      </c>
      <c r="I277" s="161">
        <v>27766397.43</v>
      </c>
      <c r="J277" s="161">
        <v>28480152.139999997</v>
      </c>
      <c r="K277" s="161">
        <v>28993417.759999998</v>
      </c>
      <c r="L277" s="161">
        <v>29090609.669999998</v>
      </c>
      <c r="M277" s="161">
        <v>29134711.949999996</v>
      </c>
      <c r="N277" s="161">
        <v>29164913.289999999</v>
      </c>
      <c r="O277" s="161">
        <v>29199809.349999998</v>
      </c>
      <c r="P277" s="161">
        <v>29331712.559999999</v>
      </c>
      <c r="Q277" s="161">
        <v>29399529.899999999</v>
      </c>
      <c r="R277" s="161">
        <v>29407498.319999997</v>
      </c>
      <c r="S277" s="161">
        <v>29417198.48</v>
      </c>
      <c r="T277" s="161">
        <v>29425123.469999995</v>
      </c>
      <c r="U277" s="161">
        <v>29431657.489999998</v>
      </c>
      <c r="V277" s="161">
        <v>29442123.429999996</v>
      </c>
      <c r="W277" s="149"/>
      <c r="X277" s="161">
        <v>29442123.429999996</v>
      </c>
      <c r="Y277" s="145"/>
      <c r="Z277" s="145"/>
    </row>
    <row r="278" spans="1:73" ht="14.4" x14ac:dyDescent="0.3">
      <c r="A278" s="160" t="s">
        <v>242</v>
      </c>
      <c r="B278" s="161">
        <v>1997</v>
      </c>
      <c r="C278" s="161">
        <v>4810639.6899999995</v>
      </c>
      <c r="D278" s="161">
        <v>15239870.1</v>
      </c>
      <c r="E278" s="161">
        <v>29448579.649999999</v>
      </c>
      <c r="F278" s="161">
        <v>45829660.43</v>
      </c>
      <c r="G278" s="161">
        <v>66860270.460000001</v>
      </c>
      <c r="H278" s="161">
        <v>71995490.979999989</v>
      </c>
      <c r="I278" s="161">
        <v>77561318.709999993</v>
      </c>
      <c r="J278" s="161">
        <v>79891670.829999998</v>
      </c>
      <c r="K278" s="161">
        <v>80617268.959999993</v>
      </c>
      <c r="L278" s="161">
        <v>80908035.030000001</v>
      </c>
      <c r="M278" s="161">
        <v>81024820.579999998</v>
      </c>
      <c r="N278" s="161">
        <v>81353616.969999999</v>
      </c>
      <c r="O278" s="161">
        <v>81495595.999999985</v>
      </c>
      <c r="P278" s="161">
        <v>81525332.849999994</v>
      </c>
      <c r="Q278" s="161">
        <v>81541801.239999995</v>
      </c>
      <c r="R278" s="161">
        <v>81638441.209999993</v>
      </c>
      <c r="S278" s="161">
        <v>81784892.169999987</v>
      </c>
      <c r="T278" s="161">
        <v>81792978.689999998</v>
      </c>
      <c r="U278" s="161">
        <v>81802589.519999996</v>
      </c>
      <c r="V278" s="149"/>
      <c r="W278" s="149"/>
      <c r="X278" s="161">
        <v>81802589.519999996</v>
      </c>
      <c r="Y278" s="145"/>
      <c r="Z278" s="145"/>
    </row>
    <row r="279" spans="1:73" ht="14.4" x14ac:dyDescent="0.3">
      <c r="A279" s="160" t="s">
        <v>242</v>
      </c>
      <c r="B279" s="161">
        <v>1998</v>
      </c>
      <c r="C279" s="161">
        <v>9567956.3199999984</v>
      </c>
      <c r="D279" s="161">
        <v>27155451.579999994</v>
      </c>
      <c r="E279" s="161">
        <v>55925401.599999994</v>
      </c>
      <c r="F279" s="161">
        <v>78425635.219999999</v>
      </c>
      <c r="G279" s="161">
        <v>100871740.08</v>
      </c>
      <c r="H279" s="161">
        <v>112238729.64999999</v>
      </c>
      <c r="I279" s="161">
        <v>119302839.08</v>
      </c>
      <c r="J279" s="161">
        <v>121382532.09999999</v>
      </c>
      <c r="K279" s="161">
        <v>123047536.34</v>
      </c>
      <c r="L279" s="161">
        <v>124162440.25</v>
      </c>
      <c r="M279" s="161">
        <v>125055287.37</v>
      </c>
      <c r="N279" s="161">
        <v>125138424.45</v>
      </c>
      <c r="O279" s="161">
        <v>125297329.03</v>
      </c>
      <c r="P279" s="161">
        <v>125313509.44999999</v>
      </c>
      <c r="Q279" s="161">
        <v>125425877.75</v>
      </c>
      <c r="R279" s="161">
        <v>125502966.05</v>
      </c>
      <c r="S279" s="161">
        <v>125537243.84</v>
      </c>
      <c r="T279" s="161">
        <v>125586692.02000001</v>
      </c>
      <c r="U279" s="149"/>
      <c r="V279" s="149"/>
      <c r="W279" s="149"/>
      <c r="X279" s="161">
        <v>125586692.02000001</v>
      </c>
      <c r="Y279" s="145"/>
      <c r="Z279" s="145"/>
    </row>
    <row r="280" spans="1:73" ht="14.4" x14ac:dyDescent="0.3">
      <c r="A280" s="160" t="s">
        <v>242</v>
      </c>
      <c r="B280" s="161">
        <v>1999</v>
      </c>
      <c r="C280" s="161">
        <v>13142356.470000003</v>
      </c>
      <c r="D280" s="161">
        <v>41973804.680000007</v>
      </c>
      <c r="E280" s="161">
        <v>92212116.879999995</v>
      </c>
      <c r="F280" s="161">
        <v>130706313.36000001</v>
      </c>
      <c r="G280" s="161">
        <v>154890188.64000002</v>
      </c>
      <c r="H280" s="161">
        <v>175309095.35000002</v>
      </c>
      <c r="I280" s="161">
        <v>183653617.21000001</v>
      </c>
      <c r="J280" s="161">
        <v>188186977.84999999</v>
      </c>
      <c r="K280" s="161">
        <v>191137536.75999999</v>
      </c>
      <c r="L280" s="161">
        <v>192630531.19999999</v>
      </c>
      <c r="M280" s="161">
        <v>192902461.43000001</v>
      </c>
      <c r="N280" s="161">
        <v>193457335.88</v>
      </c>
      <c r="O280" s="161">
        <v>193681558.74000001</v>
      </c>
      <c r="P280" s="161">
        <v>194000574.02999997</v>
      </c>
      <c r="Q280" s="161">
        <v>194129658.96000001</v>
      </c>
      <c r="R280" s="161">
        <v>194211400.84</v>
      </c>
      <c r="S280" s="161">
        <v>194548901.24000001</v>
      </c>
      <c r="T280" s="149"/>
      <c r="U280" s="149"/>
      <c r="V280" s="149"/>
      <c r="W280" s="149"/>
      <c r="X280" s="161">
        <v>194548901.24000001</v>
      </c>
      <c r="Y280" s="145"/>
      <c r="Z280" s="145"/>
    </row>
    <row r="281" spans="1:73" ht="14.4" x14ac:dyDescent="0.3">
      <c r="A281" s="160" t="s">
        <v>242</v>
      </c>
      <c r="B281" s="161">
        <v>2000</v>
      </c>
      <c r="C281" s="161">
        <v>13824915.859999998</v>
      </c>
      <c r="D281" s="161">
        <v>34547829.57</v>
      </c>
      <c r="E281" s="161">
        <v>62858424.009999998</v>
      </c>
      <c r="F281" s="161">
        <v>99095342.019999996</v>
      </c>
      <c r="G281" s="161">
        <v>118619240.03999999</v>
      </c>
      <c r="H281" s="161">
        <v>135212274.53999999</v>
      </c>
      <c r="I281" s="161">
        <v>141812704.95000002</v>
      </c>
      <c r="J281" s="161">
        <v>145713222.38999999</v>
      </c>
      <c r="K281" s="161">
        <v>147018582.11000001</v>
      </c>
      <c r="L281" s="161">
        <v>147169385.80000001</v>
      </c>
      <c r="M281" s="161">
        <v>147613000.47</v>
      </c>
      <c r="N281" s="161">
        <v>148354542.08000001</v>
      </c>
      <c r="O281" s="161">
        <v>148666572.24000001</v>
      </c>
      <c r="P281" s="161">
        <v>148594908.75999999</v>
      </c>
      <c r="Q281" s="161">
        <v>148710937.47</v>
      </c>
      <c r="R281" s="161">
        <v>148811230.70999998</v>
      </c>
      <c r="S281" s="149"/>
      <c r="T281" s="149"/>
      <c r="U281" s="149"/>
      <c r="V281" s="149"/>
      <c r="W281" s="149"/>
      <c r="X281" s="161">
        <v>148811230.70999998</v>
      </c>
      <c r="Y281" s="145"/>
      <c r="Z281" s="145"/>
    </row>
    <row r="282" spans="1:73" ht="14.4" x14ac:dyDescent="0.3">
      <c r="A282" s="160" t="s">
        <v>242</v>
      </c>
      <c r="B282" s="161">
        <v>2001</v>
      </c>
      <c r="C282" s="161">
        <v>7727736.3600000003</v>
      </c>
      <c r="D282" s="161">
        <v>26186334.359999999</v>
      </c>
      <c r="E282" s="161">
        <v>48250029.169999994</v>
      </c>
      <c r="F282" s="161">
        <v>68750383.100000009</v>
      </c>
      <c r="G282" s="161">
        <v>84463427.420000002</v>
      </c>
      <c r="H282" s="161">
        <v>95121391.850000009</v>
      </c>
      <c r="I282" s="161">
        <v>101859417.58000001</v>
      </c>
      <c r="J282" s="161">
        <v>108699585.79000001</v>
      </c>
      <c r="K282" s="161">
        <v>110307225</v>
      </c>
      <c r="L282" s="161">
        <v>110771167.17000002</v>
      </c>
      <c r="M282" s="161">
        <v>110944794.04000001</v>
      </c>
      <c r="N282" s="161">
        <v>111092803.01000001</v>
      </c>
      <c r="O282" s="161">
        <v>111010419.35000001</v>
      </c>
      <c r="P282" s="161">
        <v>111050533.70999999</v>
      </c>
      <c r="Q282" s="161">
        <v>111070303.39000002</v>
      </c>
      <c r="R282" s="149"/>
      <c r="S282" s="149"/>
      <c r="T282" s="149"/>
      <c r="U282" s="149"/>
      <c r="V282" s="149"/>
      <c r="W282" s="149"/>
      <c r="X282" s="161">
        <v>111070303.39000002</v>
      </c>
      <c r="Y282" s="145"/>
      <c r="Z282" s="145"/>
    </row>
    <row r="283" spans="1:73" ht="14.4" x14ac:dyDescent="0.3">
      <c r="A283" s="160" t="s">
        <v>242</v>
      </c>
      <c r="B283" s="161">
        <v>2002</v>
      </c>
      <c r="C283" s="161">
        <v>6825726.9699999997</v>
      </c>
      <c r="D283" s="161">
        <v>17143386.790000003</v>
      </c>
      <c r="E283" s="161">
        <v>37903199.920000002</v>
      </c>
      <c r="F283" s="161">
        <v>47167439.700000003</v>
      </c>
      <c r="G283" s="161">
        <v>54242119.830000006</v>
      </c>
      <c r="H283" s="161">
        <v>69045719.670000002</v>
      </c>
      <c r="I283" s="161">
        <v>74675102.150000006</v>
      </c>
      <c r="J283" s="161">
        <v>76612724.489999995</v>
      </c>
      <c r="K283" s="161">
        <v>77677309.670000002</v>
      </c>
      <c r="L283" s="161">
        <v>78413210.849999994</v>
      </c>
      <c r="M283" s="161">
        <v>79030590.680000007</v>
      </c>
      <c r="N283" s="161">
        <v>79080900.510000005</v>
      </c>
      <c r="O283" s="161">
        <v>79283682.790000007</v>
      </c>
      <c r="P283" s="161">
        <v>79362186.430000007</v>
      </c>
      <c r="Q283" s="149"/>
      <c r="R283" s="149"/>
      <c r="S283" s="149"/>
      <c r="T283" s="149"/>
      <c r="U283" s="149"/>
      <c r="V283" s="149"/>
      <c r="W283" s="149"/>
      <c r="X283" s="161">
        <v>79362186.430000007</v>
      </c>
      <c r="Y283" s="145"/>
      <c r="Z283" s="145"/>
    </row>
    <row r="284" spans="1:73" ht="14.4" x14ac:dyDescent="0.3">
      <c r="A284" s="160" t="s">
        <v>242</v>
      </c>
      <c r="B284" s="161">
        <v>2003</v>
      </c>
      <c r="C284" s="161">
        <v>9558356.0099999998</v>
      </c>
      <c r="D284" s="161">
        <v>22491369.530000001</v>
      </c>
      <c r="E284" s="161">
        <v>30720247.09</v>
      </c>
      <c r="F284" s="161">
        <v>40950591.75</v>
      </c>
      <c r="G284" s="161">
        <v>44544113.329999998</v>
      </c>
      <c r="H284" s="161">
        <v>47714431.93</v>
      </c>
      <c r="I284" s="161">
        <v>49898614.690000005</v>
      </c>
      <c r="J284" s="161">
        <v>50716794.859999999</v>
      </c>
      <c r="K284" s="161">
        <v>50805611.059999995</v>
      </c>
      <c r="L284" s="161">
        <v>51349348.859999999</v>
      </c>
      <c r="M284" s="161">
        <v>51363630.550000004</v>
      </c>
      <c r="N284" s="161">
        <v>52050929.07</v>
      </c>
      <c r="O284" s="161">
        <v>52051970.020000003</v>
      </c>
      <c r="P284" s="149"/>
      <c r="Q284" s="149"/>
      <c r="R284" s="149"/>
      <c r="S284" s="149"/>
      <c r="T284" s="149"/>
      <c r="U284" s="149"/>
      <c r="V284" s="149"/>
      <c r="W284" s="149"/>
      <c r="X284" s="161">
        <v>52051970.020000003</v>
      </c>
      <c r="Y284" s="145"/>
      <c r="Z284" s="145"/>
    </row>
    <row r="285" spans="1:73" ht="14.4" x14ac:dyDescent="0.3">
      <c r="A285" s="160" t="s">
        <v>242</v>
      </c>
      <c r="B285" s="161">
        <v>2004</v>
      </c>
      <c r="C285" s="161">
        <v>8440062.790000001</v>
      </c>
      <c r="D285" s="161">
        <v>20313228.719999999</v>
      </c>
      <c r="E285" s="161">
        <v>34279190.57</v>
      </c>
      <c r="F285" s="161">
        <v>41631337.32</v>
      </c>
      <c r="G285" s="161">
        <v>46002182.380000003</v>
      </c>
      <c r="H285" s="161">
        <v>47612393.030000001</v>
      </c>
      <c r="I285" s="161">
        <v>48677768.129999995</v>
      </c>
      <c r="J285" s="161">
        <v>49122877.269999996</v>
      </c>
      <c r="K285" s="161">
        <v>49640778</v>
      </c>
      <c r="L285" s="161">
        <v>49713023.640000001</v>
      </c>
      <c r="M285" s="161">
        <v>51105176.5</v>
      </c>
      <c r="N285" s="161">
        <v>51108774.649999999</v>
      </c>
      <c r="O285" s="149"/>
      <c r="P285" s="149"/>
      <c r="Q285" s="149"/>
      <c r="R285" s="149"/>
      <c r="S285" s="149"/>
      <c r="T285" s="149"/>
      <c r="U285" s="149"/>
      <c r="V285" s="149"/>
      <c r="W285" s="149"/>
      <c r="X285" s="161">
        <v>51108774.649999999</v>
      </c>
      <c r="Y285" s="145"/>
      <c r="Z285" s="145"/>
    </row>
    <row r="286" spans="1:73" ht="14.4" x14ac:dyDescent="0.3">
      <c r="A286" s="160" t="s">
        <v>242</v>
      </c>
      <c r="B286" s="161">
        <v>2005</v>
      </c>
      <c r="C286" s="161">
        <v>6832488.3399999999</v>
      </c>
      <c r="D286" s="161">
        <v>21048010.969999999</v>
      </c>
      <c r="E286" s="161">
        <v>37319504.240000002</v>
      </c>
      <c r="F286" s="161">
        <v>54922666.579999998</v>
      </c>
      <c r="G286" s="161">
        <v>63691259.159999996</v>
      </c>
      <c r="H286" s="161">
        <v>65013325.5</v>
      </c>
      <c r="I286" s="161">
        <v>67528644.810000002</v>
      </c>
      <c r="J286" s="161">
        <v>68471366.620000005</v>
      </c>
      <c r="K286" s="161">
        <v>69303169.479999989</v>
      </c>
      <c r="L286" s="161">
        <v>72547830.480000004</v>
      </c>
      <c r="M286" s="161">
        <v>72578927.019999996</v>
      </c>
      <c r="N286" s="149"/>
      <c r="O286" s="149"/>
      <c r="P286" s="149"/>
      <c r="Q286" s="149"/>
      <c r="R286" s="149"/>
      <c r="S286" s="149"/>
      <c r="T286" s="149"/>
      <c r="U286" s="149"/>
      <c r="V286" s="149"/>
      <c r="W286" s="149"/>
      <c r="X286" s="161">
        <v>72578927.019999996</v>
      </c>
      <c r="Y286" s="145"/>
      <c r="Z286" s="145"/>
    </row>
    <row r="287" spans="1:73" ht="14.4" x14ac:dyDescent="0.3">
      <c r="A287" s="160" t="s">
        <v>242</v>
      </c>
      <c r="B287" s="161">
        <v>2006</v>
      </c>
      <c r="C287" s="161">
        <v>8717797.75</v>
      </c>
      <c r="D287" s="161">
        <v>31355275.25</v>
      </c>
      <c r="E287" s="161">
        <v>50931884.240000002</v>
      </c>
      <c r="F287" s="161">
        <v>63114972.019999996</v>
      </c>
      <c r="G287" s="161">
        <v>68385429.769999996</v>
      </c>
      <c r="H287" s="161">
        <v>73394417.789999992</v>
      </c>
      <c r="I287" s="161">
        <v>75155759.909999996</v>
      </c>
      <c r="J287" s="161">
        <v>77557632.379999995</v>
      </c>
      <c r="K287" s="161">
        <v>82417239.439999998</v>
      </c>
      <c r="L287" s="161">
        <v>82555250.519999996</v>
      </c>
      <c r="M287" s="149"/>
      <c r="N287" s="149"/>
      <c r="O287" s="149"/>
      <c r="P287" s="149"/>
      <c r="Q287" s="149"/>
      <c r="R287" s="149"/>
      <c r="S287" s="149"/>
      <c r="T287" s="149"/>
      <c r="U287" s="149"/>
      <c r="V287" s="149"/>
      <c r="W287" s="149"/>
      <c r="X287" s="161">
        <v>82555250.519999996</v>
      </c>
      <c r="Y287" s="145"/>
      <c r="Z287" s="145"/>
    </row>
    <row r="288" spans="1:73" ht="14.4" x14ac:dyDescent="0.3">
      <c r="A288" s="160" t="s">
        <v>242</v>
      </c>
      <c r="B288" s="161">
        <v>2007</v>
      </c>
      <c r="C288" s="161">
        <v>14967489.68</v>
      </c>
      <c r="D288" s="161">
        <v>47138660.829999998</v>
      </c>
      <c r="E288" s="161">
        <v>65196547.420000002</v>
      </c>
      <c r="F288" s="161">
        <v>80424631.960000008</v>
      </c>
      <c r="G288" s="161">
        <v>89291857.5</v>
      </c>
      <c r="H288" s="161">
        <v>93515346.229999989</v>
      </c>
      <c r="I288" s="161">
        <v>95676721.099999994</v>
      </c>
      <c r="J288" s="161">
        <v>99796808.599999994</v>
      </c>
      <c r="K288" s="161">
        <v>100592716.86000001</v>
      </c>
      <c r="L288" s="149"/>
      <c r="M288" s="149"/>
      <c r="N288" s="149"/>
      <c r="O288" s="149"/>
      <c r="P288" s="149"/>
      <c r="Q288" s="149"/>
      <c r="R288" s="149"/>
      <c r="S288" s="149"/>
      <c r="T288" s="149"/>
      <c r="U288" s="149"/>
      <c r="V288" s="149"/>
      <c r="W288" s="149"/>
      <c r="X288" s="161">
        <v>100592716.86000001</v>
      </c>
      <c r="Y288" s="145"/>
      <c r="Z288" s="145"/>
    </row>
    <row r="289" spans="1:26" ht="14.4" x14ac:dyDescent="0.3">
      <c r="A289" s="160" t="s">
        <v>242</v>
      </c>
      <c r="B289" s="161">
        <v>2008</v>
      </c>
      <c r="C289" s="161">
        <v>10476298.219999999</v>
      </c>
      <c r="D289" s="161">
        <v>47982919.689999998</v>
      </c>
      <c r="E289" s="161">
        <v>74974018.790000007</v>
      </c>
      <c r="F289" s="161">
        <v>91858700.659999996</v>
      </c>
      <c r="G289" s="161">
        <v>102010577.97</v>
      </c>
      <c r="H289" s="161">
        <v>112680481.78</v>
      </c>
      <c r="I289" s="161">
        <v>117701865.19</v>
      </c>
      <c r="J289" s="161">
        <v>121445544.69</v>
      </c>
      <c r="K289" s="149"/>
      <c r="L289" s="149"/>
      <c r="M289" s="149"/>
      <c r="N289" s="149"/>
      <c r="O289" s="149"/>
      <c r="P289" s="149"/>
      <c r="Q289" s="149"/>
      <c r="R289" s="149"/>
      <c r="S289" s="149"/>
      <c r="T289" s="149"/>
      <c r="U289" s="149"/>
      <c r="V289" s="149"/>
      <c r="W289" s="149"/>
      <c r="X289" s="161">
        <v>121445544.69</v>
      </c>
      <c r="Y289" s="145"/>
      <c r="Z289" s="145"/>
    </row>
    <row r="290" spans="1:26" ht="14.4" x14ac:dyDescent="0.3">
      <c r="A290" s="160" t="s">
        <v>242</v>
      </c>
      <c r="B290" s="161">
        <v>2009</v>
      </c>
      <c r="C290" s="161">
        <v>15804040.940000001</v>
      </c>
      <c r="D290" s="161">
        <v>44664060.980000004</v>
      </c>
      <c r="E290" s="161">
        <v>72898677.099999994</v>
      </c>
      <c r="F290" s="161">
        <v>96643634.840000004</v>
      </c>
      <c r="G290" s="161">
        <v>105562064.16000001</v>
      </c>
      <c r="H290" s="161">
        <v>115877339.77000001</v>
      </c>
      <c r="I290" s="161">
        <v>117284912.44999999</v>
      </c>
      <c r="J290" s="149"/>
      <c r="K290" s="149"/>
      <c r="L290" s="149"/>
      <c r="M290" s="149"/>
      <c r="N290" s="149"/>
      <c r="O290" s="149"/>
      <c r="P290" s="149"/>
      <c r="Q290" s="149"/>
      <c r="R290" s="149"/>
      <c r="S290" s="149"/>
      <c r="T290" s="149"/>
      <c r="U290" s="149"/>
      <c r="V290" s="149"/>
      <c r="W290" s="149"/>
      <c r="X290" s="161">
        <v>117284912.44999999</v>
      </c>
      <c r="Y290" s="145"/>
      <c r="Z290" s="145"/>
    </row>
    <row r="291" spans="1:26" ht="14.4" x14ac:dyDescent="0.3">
      <c r="A291" s="160" t="s">
        <v>242</v>
      </c>
      <c r="B291" s="161">
        <v>2010</v>
      </c>
      <c r="C291" s="161">
        <v>16759268.609999999</v>
      </c>
      <c r="D291" s="161">
        <v>51649450.810000002</v>
      </c>
      <c r="E291" s="161">
        <v>78121052.569999993</v>
      </c>
      <c r="F291" s="161">
        <v>115609061.73</v>
      </c>
      <c r="G291" s="161">
        <v>133681159.86</v>
      </c>
      <c r="H291" s="161">
        <v>139379451.75</v>
      </c>
      <c r="I291" s="149"/>
      <c r="J291" s="149"/>
      <c r="K291" s="149"/>
      <c r="L291" s="149"/>
      <c r="M291" s="149"/>
      <c r="N291" s="149"/>
      <c r="O291" s="149"/>
      <c r="P291" s="149"/>
      <c r="Q291" s="149"/>
      <c r="R291" s="149"/>
      <c r="S291" s="149"/>
      <c r="T291" s="149"/>
      <c r="U291" s="149"/>
      <c r="V291" s="149"/>
      <c r="W291" s="149"/>
      <c r="X291" s="161">
        <v>139379451.75</v>
      </c>
      <c r="Y291" s="145"/>
      <c r="Z291" s="145"/>
    </row>
    <row r="292" spans="1:26" ht="14.4" x14ac:dyDescent="0.3">
      <c r="A292" s="160" t="s">
        <v>242</v>
      </c>
      <c r="B292" s="161">
        <v>2011</v>
      </c>
      <c r="C292" s="161">
        <v>18348828.719999999</v>
      </c>
      <c r="D292" s="161">
        <v>54040969.539999999</v>
      </c>
      <c r="E292" s="161">
        <v>90141884.219999999</v>
      </c>
      <c r="F292" s="161">
        <v>125967884.11</v>
      </c>
      <c r="G292" s="161">
        <v>140808241.21000001</v>
      </c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149"/>
      <c r="W292" s="149"/>
      <c r="X292" s="161">
        <v>140808241.21000001</v>
      </c>
      <c r="Y292" s="145"/>
      <c r="Z292" s="145"/>
    </row>
    <row r="293" spans="1:26" ht="14.4" x14ac:dyDescent="0.3">
      <c r="A293" s="160" t="s">
        <v>242</v>
      </c>
      <c r="B293" s="161">
        <v>2012</v>
      </c>
      <c r="C293" s="161">
        <v>18585985.469999999</v>
      </c>
      <c r="D293" s="161">
        <v>62304383.609999999</v>
      </c>
      <c r="E293" s="161">
        <v>101998521.72</v>
      </c>
      <c r="F293" s="161">
        <v>133108904.09</v>
      </c>
      <c r="G293" s="149"/>
      <c r="H293" s="149"/>
      <c r="I293" s="149"/>
      <c r="J293" s="149"/>
      <c r="K293" s="149"/>
      <c r="L293" s="149"/>
      <c r="M293" s="149"/>
      <c r="N293" s="149"/>
      <c r="O293" s="149"/>
      <c r="P293" s="149"/>
      <c r="Q293" s="149"/>
      <c r="R293" s="149"/>
      <c r="S293" s="149"/>
      <c r="T293" s="149"/>
      <c r="U293" s="149"/>
      <c r="V293" s="149"/>
      <c r="W293" s="149"/>
      <c r="X293" s="161">
        <v>133108904.09</v>
      </c>
      <c r="Y293" s="145"/>
      <c r="Z293" s="145"/>
    </row>
    <row r="294" spans="1:26" ht="14.4" x14ac:dyDescent="0.3">
      <c r="A294" s="160" t="s">
        <v>242</v>
      </c>
      <c r="B294" s="161">
        <v>2013</v>
      </c>
      <c r="C294" s="161">
        <v>28280367.949999999</v>
      </c>
      <c r="D294" s="161">
        <v>86806044.350000009</v>
      </c>
      <c r="E294" s="161">
        <v>141729070.03</v>
      </c>
      <c r="F294" s="149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/>
      <c r="T294" s="149"/>
      <c r="U294" s="149"/>
      <c r="V294" s="149"/>
      <c r="W294" s="149"/>
      <c r="X294" s="161">
        <v>141729070.03</v>
      </c>
      <c r="Y294" s="145"/>
      <c r="Z294" s="145"/>
    </row>
    <row r="295" spans="1:26" ht="14.4" x14ac:dyDescent="0.3">
      <c r="A295" s="160" t="s">
        <v>242</v>
      </c>
      <c r="B295" s="161">
        <v>2014</v>
      </c>
      <c r="C295" s="161">
        <v>39010410.579999998</v>
      </c>
      <c r="D295" s="161">
        <v>118276742.81999999</v>
      </c>
      <c r="E295" s="149"/>
      <c r="F295" s="149"/>
      <c r="G295" s="149"/>
      <c r="H295" s="149"/>
      <c r="I295" s="149"/>
      <c r="J295" s="149"/>
      <c r="K295" s="149"/>
      <c r="L295" s="149"/>
      <c r="M295" s="149"/>
      <c r="N295" s="149"/>
      <c r="O295" s="149"/>
      <c r="P295" s="149"/>
      <c r="Q295" s="149"/>
      <c r="R295" s="149"/>
      <c r="S295" s="149"/>
      <c r="T295" s="149"/>
      <c r="U295" s="149"/>
      <c r="V295" s="149"/>
      <c r="W295" s="149"/>
      <c r="X295" s="161">
        <v>118276742.81999999</v>
      </c>
      <c r="Y295" s="145"/>
      <c r="Z295" s="145"/>
    </row>
    <row r="296" spans="1:26" ht="14.4" x14ac:dyDescent="0.3">
      <c r="A296" s="160" t="s">
        <v>242</v>
      </c>
      <c r="B296" s="161">
        <v>2015</v>
      </c>
      <c r="C296" s="161">
        <v>33644996.689999998</v>
      </c>
      <c r="D296" s="149"/>
      <c r="E296" s="149"/>
      <c r="F296" s="149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/>
      <c r="T296" s="149"/>
      <c r="U296" s="149"/>
      <c r="V296" s="149"/>
      <c r="W296" s="149"/>
      <c r="X296" s="161">
        <v>33644996.689999998</v>
      </c>
      <c r="Y296" s="145"/>
      <c r="Z296" s="145"/>
    </row>
    <row r="297" spans="1:26" ht="14.4" x14ac:dyDescent="0.3">
      <c r="A297" s="160" t="s">
        <v>243</v>
      </c>
      <c r="B297" s="161">
        <v>1995</v>
      </c>
      <c r="C297" s="161">
        <v>23517259.049999997</v>
      </c>
      <c r="D297" s="161">
        <v>121541561.20000002</v>
      </c>
      <c r="E297" s="161">
        <v>233337800.40000001</v>
      </c>
      <c r="F297" s="161">
        <v>330846358.83999997</v>
      </c>
      <c r="G297" s="161">
        <v>369818132.73999995</v>
      </c>
      <c r="H297" s="161">
        <v>389369294.42999995</v>
      </c>
      <c r="I297" s="161">
        <v>399576885.63999999</v>
      </c>
      <c r="J297" s="161">
        <v>398969678.48999995</v>
      </c>
      <c r="K297" s="161">
        <v>406886853.22999996</v>
      </c>
      <c r="L297" s="161">
        <v>406442124.52999991</v>
      </c>
      <c r="M297" s="161">
        <v>413733270.74999994</v>
      </c>
      <c r="N297" s="161">
        <v>414703866.74999994</v>
      </c>
      <c r="O297" s="161">
        <v>415308710.56999993</v>
      </c>
      <c r="P297" s="161">
        <v>415374593.37999994</v>
      </c>
      <c r="Q297" s="161">
        <v>415377987.44999993</v>
      </c>
      <c r="R297" s="161">
        <v>415397522.31</v>
      </c>
      <c r="S297" s="161">
        <v>415369859.65999997</v>
      </c>
      <c r="T297" s="161">
        <v>415332879.12</v>
      </c>
      <c r="U297" s="161">
        <v>415327812.27999997</v>
      </c>
      <c r="V297" s="161">
        <v>415295774.90999991</v>
      </c>
      <c r="W297" s="161">
        <v>415311983.00999993</v>
      </c>
      <c r="X297" s="161">
        <v>415311983.00999993</v>
      </c>
      <c r="Y297" s="145"/>
      <c r="Z297" s="145"/>
    </row>
    <row r="298" spans="1:26" ht="14.4" x14ac:dyDescent="0.3">
      <c r="A298" s="160" t="s">
        <v>243</v>
      </c>
      <c r="B298" s="161">
        <v>1996</v>
      </c>
      <c r="C298" s="161">
        <v>24880483.469999999</v>
      </c>
      <c r="D298" s="161">
        <v>118675892.39</v>
      </c>
      <c r="E298" s="161">
        <v>203668253.58000001</v>
      </c>
      <c r="F298" s="161">
        <v>270228748.64999998</v>
      </c>
      <c r="G298" s="161">
        <v>322898354.36999995</v>
      </c>
      <c r="H298" s="161">
        <v>345570644.51000005</v>
      </c>
      <c r="I298" s="161">
        <v>364134554.97000003</v>
      </c>
      <c r="J298" s="161">
        <v>363519130.81000006</v>
      </c>
      <c r="K298" s="161">
        <v>366966558.27000004</v>
      </c>
      <c r="L298" s="161">
        <v>371779146.61000001</v>
      </c>
      <c r="M298" s="161">
        <v>372229487.03000003</v>
      </c>
      <c r="N298" s="161">
        <v>372292885.56000006</v>
      </c>
      <c r="O298" s="161">
        <v>374483489.9000001</v>
      </c>
      <c r="P298" s="161">
        <v>374650013.68000001</v>
      </c>
      <c r="Q298" s="161">
        <v>375630737.27000004</v>
      </c>
      <c r="R298" s="161">
        <v>375690756.88000005</v>
      </c>
      <c r="S298" s="161">
        <v>375727497.58000004</v>
      </c>
      <c r="T298" s="161">
        <v>375746745.5</v>
      </c>
      <c r="U298" s="161">
        <v>375762624.30000007</v>
      </c>
      <c r="V298" s="161">
        <v>375774776.5</v>
      </c>
      <c r="W298" s="149"/>
      <c r="X298" s="161">
        <v>375774776.5</v>
      </c>
      <c r="Y298" s="145"/>
      <c r="Z298" s="145"/>
    </row>
    <row r="299" spans="1:26" ht="14.4" x14ac:dyDescent="0.3">
      <c r="A299" s="160" t="s">
        <v>243</v>
      </c>
      <c r="B299" s="161">
        <v>1997</v>
      </c>
      <c r="C299" s="161">
        <v>21696626.899999999</v>
      </c>
      <c r="D299" s="161">
        <v>103173768.35000001</v>
      </c>
      <c r="E299" s="161">
        <v>195755037.5</v>
      </c>
      <c r="F299" s="161">
        <v>260721788.47</v>
      </c>
      <c r="G299" s="161">
        <v>305760140.65000004</v>
      </c>
      <c r="H299" s="161">
        <v>345428847.27000004</v>
      </c>
      <c r="I299" s="161">
        <v>347094942.43000001</v>
      </c>
      <c r="J299" s="161">
        <v>356614041.05000001</v>
      </c>
      <c r="K299" s="161">
        <v>366429516.71000004</v>
      </c>
      <c r="L299" s="161">
        <v>370435066.01999998</v>
      </c>
      <c r="M299" s="161">
        <v>368110247.82999998</v>
      </c>
      <c r="N299" s="161">
        <v>368332394.69</v>
      </c>
      <c r="O299" s="161">
        <v>368775820.13</v>
      </c>
      <c r="P299" s="161">
        <v>368840870.26000005</v>
      </c>
      <c r="Q299" s="161">
        <v>368863856.25999999</v>
      </c>
      <c r="R299" s="161">
        <v>368873724.83000004</v>
      </c>
      <c r="S299" s="161">
        <v>368883329.88000005</v>
      </c>
      <c r="T299" s="161">
        <v>368898870.98000008</v>
      </c>
      <c r="U299" s="161">
        <v>368904744.63000005</v>
      </c>
      <c r="V299" s="149"/>
      <c r="W299" s="149"/>
      <c r="X299" s="161">
        <v>368904744.63000005</v>
      </c>
      <c r="Y299" s="145"/>
      <c r="Z299" s="145"/>
    </row>
    <row r="300" spans="1:26" ht="14.4" x14ac:dyDescent="0.3">
      <c r="A300" s="160" t="s">
        <v>243</v>
      </c>
      <c r="B300" s="161">
        <v>1998</v>
      </c>
      <c r="C300" s="161">
        <v>26579215.75</v>
      </c>
      <c r="D300" s="161">
        <v>97726425.260000005</v>
      </c>
      <c r="E300" s="161">
        <v>177953569.28</v>
      </c>
      <c r="F300" s="161">
        <v>245601287.88</v>
      </c>
      <c r="G300" s="161">
        <v>293138737.49999994</v>
      </c>
      <c r="H300" s="161">
        <v>326801842.79000002</v>
      </c>
      <c r="I300" s="161">
        <v>338237535.20999998</v>
      </c>
      <c r="J300" s="161">
        <v>342498323.36999995</v>
      </c>
      <c r="K300" s="161">
        <v>345670314.25999999</v>
      </c>
      <c r="L300" s="161">
        <v>353319676.64999998</v>
      </c>
      <c r="M300" s="161">
        <v>354032323.81999999</v>
      </c>
      <c r="N300" s="161">
        <v>355615911.31</v>
      </c>
      <c r="O300" s="161">
        <v>356385803.37</v>
      </c>
      <c r="P300" s="161">
        <v>357105311.92000002</v>
      </c>
      <c r="Q300" s="161">
        <v>357144273.25999999</v>
      </c>
      <c r="R300" s="161">
        <v>357253093.07999998</v>
      </c>
      <c r="S300" s="161">
        <v>357409507.92000002</v>
      </c>
      <c r="T300" s="161">
        <v>357459544.5</v>
      </c>
      <c r="U300" s="149"/>
      <c r="V300" s="149"/>
      <c r="W300" s="149"/>
      <c r="X300" s="161">
        <v>357459544.5</v>
      </c>
      <c r="Y300" s="145"/>
      <c r="Z300" s="145"/>
    </row>
    <row r="301" spans="1:26" ht="14.4" x14ac:dyDescent="0.3">
      <c r="A301" s="160" t="s">
        <v>243</v>
      </c>
      <c r="B301" s="161">
        <v>1999</v>
      </c>
      <c r="C301" s="161">
        <v>20052433.130000003</v>
      </c>
      <c r="D301" s="161">
        <v>73820735.219999999</v>
      </c>
      <c r="E301" s="161">
        <v>149808039.28999999</v>
      </c>
      <c r="F301" s="161">
        <v>192121269.72</v>
      </c>
      <c r="G301" s="161">
        <v>119426089.08999997</v>
      </c>
      <c r="H301" s="161">
        <v>131372744.61000001</v>
      </c>
      <c r="I301" s="161">
        <v>136810595.99000001</v>
      </c>
      <c r="J301" s="161">
        <v>143073533.80999997</v>
      </c>
      <c r="K301" s="161">
        <v>143970590.95000002</v>
      </c>
      <c r="L301" s="161">
        <v>145703796.91</v>
      </c>
      <c r="M301" s="161">
        <v>146784620.47000003</v>
      </c>
      <c r="N301" s="161">
        <v>147033475.00000003</v>
      </c>
      <c r="O301" s="161">
        <v>147289823.26999998</v>
      </c>
      <c r="P301" s="161">
        <v>147455312.64999998</v>
      </c>
      <c r="Q301" s="161">
        <v>147747456.88999999</v>
      </c>
      <c r="R301" s="161">
        <v>147774484.69</v>
      </c>
      <c r="S301" s="161">
        <v>147777723.47999999</v>
      </c>
      <c r="T301" s="149"/>
      <c r="U301" s="149"/>
      <c r="V301" s="149"/>
      <c r="W301" s="149"/>
      <c r="X301" s="161">
        <v>147777723.47999999</v>
      </c>
      <c r="Y301" s="145"/>
      <c r="Z301" s="145"/>
    </row>
    <row r="302" spans="1:26" ht="14.4" x14ac:dyDescent="0.3">
      <c r="A302" s="160" t="s">
        <v>243</v>
      </c>
      <c r="B302" s="161">
        <v>2000</v>
      </c>
      <c r="C302" s="161">
        <v>13602349.9</v>
      </c>
      <c r="D302" s="161">
        <v>45593138.389999993</v>
      </c>
      <c r="E302" s="161">
        <v>81727683.049999982</v>
      </c>
      <c r="F302" s="161">
        <v>11476286.679999992</v>
      </c>
      <c r="G302" s="161">
        <v>33554383.00999999</v>
      </c>
      <c r="H302" s="161">
        <v>48190309.939999983</v>
      </c>
      <c r="I302" s="161">
        <v>54318246.200000003</v>
      </c>
      <c r="J302" s="161">
        <v>58242149.419999987</v>
      </c>
      <c r="K302" s="161">
        <v>61559425.960000008</v>
      </c>
      <c r="L302" s="161">
        <v>61172389.730000019</v>
      </c>
      <c r="M302" s="161">
        <v>58077124.939999998</v>
      </c>
      <c r="N302" s="161">
        <v>58024472.230000004</v>
      </c>
      <c r="O302" s="161">
        <v>65145212.010000035</v>
      </c>
      <c r="P302" s="161">
        <v>65537169.860000029</v>
      </c>
      <c r="Q302" s="161">
        <v>65561285.330000028</v>
      </c>
      <c r="R302" s="161">
        <v>65720426.350000009</v>
      </c>
      <c r="S302" s="149"/>
      <c r="T302" s="149"/>
      <c r="U302" s="149"/>
      <c r="V302" s="149"/>
      <c r="W302" s="149"/>
      <c r="X302" s="161">
        <v>65720426.350000009</v>
      </c>
      <c r="Y302" s="145"/>
      <c r="Z302" s="145"/>
    </row>
    <row r="303" spans="1:26" ht="14.4" x14ac:dyDescent="0.3">
      <c r="A303" s="160" t="s">
        <v>243</v>
      </c>
      <c r="B303" s="161">
        <v>2001</v>
      </c>
      <c r="C303" s="161">
        <v>13524986.75</v>
      </c>
      <c r="D303" s="161">
        <v>46515912.649999999</v>
      </c>
      <c r="E303" s="161">
        <v>43230941.639999993</v>
      </c>
      <c r="F303" s="161">
        <v>65383376.099999987</v>
      </c>
      <c r="G303" s="161">
        <v>85961756.870000005</v>
      </c>
      <c r="H303" s="161">
        <v>97960640.739999995</v>
      </c>
      <c r="I303" s="161">
        <v>101898470.33999997</v>
      </c>
      <c r="J303" s="161">
        <v>105476646.04999998</v>
      </c>
      <c r="K303" s="161">
        <v>106572326.53999999</v>
      </c>
      <c r="L303" s="161">
        <v>107933861.19999999</v>
      </c>
      <c r="M303" s="161">
        <v>108409164.09999999</v>
      </c>
      <c r="N303" s="161">
        <v>108755604.25</v>
      </c>
      <c r="O303" s="161">
        <v>109500688.22999999</v>
      </c>
      <c r="P303" s="161">
        <v>109765537.73999999</v>
      </c>
      <c r="Q303" s="161">
        <v>109803439.78999999</v>
      </c>
      <c r="R303" s="149"/>
      <c r="S303" s="149"/>
      <c r="T303" s="149"/>
      <c r="U303" s="149"/>
      <c r="V303" s="149"/>
      <c r="W303" s="149"/>
      <c r="X303" s="161">
        <v>109803439.78999999</v>
      </c>
      <c r="Y303" s="145"/>
      <c r="Z303" s="145"/>
    </row>
    <row r="304" spans="1:26" ht="14.4" x14ac:dyDescent="0.3">
      <c r="A304" s="160" t="s">
        <v>243</v>
      </c>
      <c r="B304" s="161">
        <v>2002</v>
      </c>
      <c r="C304" s="161">
        <v>9435268.6099999994</v>
      </c>
      <c r="D304" s="161">
        <v>21700952.07</v>
      </c>
      <c r="E304" s="161">
        <v>41117728.460000001</v>
      </c>
      <c r="F304" s="161">
        <v>60825023.430000007</v>
      </c>
      <c r="G304" s="161">
        <v>75277242.120000005</v>
      </c>
      <c r="H304" s="161">
        <v>90077150.840000004</v>
      </c>
      <c r="I304" s="161">
        <v>97170715.359999985</v>
      </c>
      <c r="J304" s="161">
        <v>97979736.870000005</v>
      </c>
      <c r="K304" s="161">
        <v>98803150.150000006</v>
      </c>
      <c r="L304" s="161">
        <v>99888760.599999994</v>
      </c>
      <c r="M304" s="161">
        <v>100626526.84999999</v>
      </c>
      <c r="N304" s="161">
        <v>100788809.58000001</v>
      </c>
      <c r="O304" s="161">
        <v>100975771.86000001</v>
      </c>
      <c r="P304" s="161">
        <v>101023123.33000001</v>
      </c>
      <c r="Q304" s="149"/>
      <c r="R304" s="149"/>
      <c r="S304" s="149"/>
      <c r="T304" s="149"/>
      <c r="U304" s="149"/>
      <c r="V304" s="149"/>
      <c r="W304" s="149"/>
      <c r="X304" s="161">
        <v>101023123.33000001</v>
      </c>
      <c r="Y304" s="145"/>
      <c r="Z304" s="145"/>
    </row>
    <row r="305" spans="1:73" ht="14.4" x14ac:dyDescent="0.3">
      <c r="A305" s="160" t="s">
        <v>243</v>
      </c>
      <c r="B305" s="161">
        <v>2003</v>
      </c>
      <c r="C305" s="161">
        <v>7655189.2000000002</v>
      </c>
      <c r="D305" s="161">
        <v>21436306.650000002</v>
      </c>
      <c r="E305" s="161">
        <v>41659937.780000001</v>
      </c>
      <c r="F305" s="161">
        <v>57025982.349999994</v>
      </c>
      <c r="G305" s="161">
        <v>69130479.349999994</v>
      </c>
      <c r="H305" s="161">
        <v>75140314.980000004</v>
      </c>
      <c r="I305" s="161">
        <v>78508670.25</v>
      </c>
      <c r="J305" s="161">
        <v>80336250.23999998</v>
      </c>
      <c r="K305" s="161">
        <v>83148892.420000002</v>
      </c>
      <c r="L305" s="161">
        <v>84840891.170000002</v>
      </c>
      <c r="M305" s="161">
        <v>85219964.260000005</v>
      </c>
      <c r="N305" s="161">
        <v>85397484.980000004</v>
      </c>
      <c r="O305" s="161">
        <v>85549043.680000007</v>
      </c>
      <c r="P305" s="149"/>
      <c r="Q305" s="149"/>
      <c r="R305" s="149"/>
      <c r="S305" s="149"/>
      <c r="T305" s="149"/>
      <c r="U305" s="149"/>
      <c r="V305" s="149"/>
      <c r="W305" s="149"/>
      <c r="X305" s="161">
        <v>85549043.680000007</v>
      </c>
      <c r="Y305" s="145"/>
      <c r="Z305" s="145"/>
    </row>
    <row r="306" spans="1:73" ht="14.4" x14ac:dyDescent="0.3">
      <c r="A306" s="160" t="s">
        <v>243</v>
      </c>
      <c r="B306" s="161">
        <v>2004</v>
      </c>
      <c r="C306" s="161">
        <v>14688516.399999999</v>
      </c>
      <c r="D306" s="161">
        <v>29647671.620000001</v>
      </c>
      <c r="E306" s="161">
        <v>54958363.549999997</v>
      </c>
      <c r="F306" s="161">
        <v>73780665.74000001</v>
      </c>
      <c r="G306" s="161">
        <v>90349396.710000008</v>
      </c>
      <c r="H306" s="161">
        <v>103070362.28</v>
      </c>
      <c r="I306" s="161">
        <v>106707690.36</v>
      </c>
      <c r="J306" s="161">
        <v>109279380.23</v>
      </c>
      <c r="K306" s="161">
        <v>111165613.94</v>
      </c>
      <c r="L306" s="161">
        <v>112406203.72</v>
      </c>
      <c r="M306" s="161">
        <v>113031758.28</v>
      </c>
      <c r="N306" s="161">
        <v>113297487.86000001</v>
      </c>
      <c r="O306" s="149"/>
      <c r="P306" s="149"/>
      <c r="Q306" s="149"/>
      <c r="R306" s="149"/>
      <c r="S306" s="149"/>
      <c r="T306" s="149"/>
      <c r="U306" s="149"/>
      <c r="V306" s="149"/>
      <c r="W306" s="149"/>
      <c r="X306" s="161">
        <v>113297487.86000001</v>
      </c>
      <c r="Y306" s="145"/>
      <c r="Z306" s="145"/>
    </row>
    <row r="307" spans="1:73" ht="14.4" x14ac:dyDescent="0.3">
      <c r="A307" s="160" t="s">
        <v>243</v>
      </c>
      <c r="B307" s="161">
        <v>2005</v>
      </c>
      <c r="C307" s="161">
        <v>11182292.33</v>
      </c>
      <c r="D307" s="161">
        <v>34714153.020000003</v>
      </c>
      <c r="E307" s="161">
        <v>64428038.609999999</v>
      </c>
      <c r="F307" s="161">
        <v>95680373.549999997</v>
      </c>
      <c r="G307" s="161">
        <v>114297496.48</v>
      </c>
      <c r="H307" s="161">
        <v>126830195.04000001</v>
      </c>
      <c r="I307" s="161">
        <v>132999707.12</v>
      </c>
      <c r="J307" s="161">
        <v>140704452.18000001</v>
      </c>
      <c r="K307" s="161">
        <v>143346094.06999999</v>
      </c>
      <c r="L307" s="161">
        <v>145187892.97999999</v>
      </c>
      <c r="M307" s="161">
        <v>146498611.66999999</v>
      </c>
      <c r="N307" s="149"/>
      <c r="O307" s="149"/>
      <c r="P307" s="149"/>
      <c r="Q307" s="149"/>
      <c r="R307" s="149"/>
      <c r="S307" s="149"/>
      <c r="T307" s="149"/>
      <c r="U307" s="149"/>
      <c r="V307" s="149"/>
      <c r="W307" s="149"/>
      <c r="X307" s="161">
        <v>146498611.66999999</v>
      </c>
      <c r="Y307" s="145"/>
      <c r="Z307" s="145"/>
    </row>
    <row r="308" spans="1:73" ht="14.4" x14ac:dyDescent="0.3">
      <c r="A308" s="160" t="s">
        <v>243</v>
      </c>
      <c r="B308" s="161">
        <v>2006</v>
      </c>
      <c r="C308" s="161">
        <v>6729748.7400000002</v>
      </c>
      <c r="D308" s="161">
        <v>23689660.859999999</v>
      </c>
      <c r="E308" s="161">
        <v>49259953.269999996</v>
      </c>
      <c r="F308" s="161">
        <v>70965377.409999996</v>
      </c>
      <c r="G308" s="161">
        <v>89545453.109999999</v>
      </c>
      <c r="H308" s="161">
        <v>101492014.72</v>
      </c>
      <c r="I308" s="161">
        <v>113903864.50999999</v>
      </c>
      <c r="J308" s="161">
        <v>116863170.28</v>
      </c>
      <c r="K308" s="161">
        <v>118386226.55</v>
      </c>
      <c r="L308" s="161">
        <v>120692815.83</v>
      </c>
      <c r="M308" s="149"/>
      <c r="N308" s="149"/>
      <c r="O308" s="149"/>
      <c r="P308" s="149"/>
      <c r="Q308" s="149"/>
      <c r="R308" s="149"/>
      <c r="S308" s="149"/>
      <c r="T308" s="149"/>
      <c r="U308" s="149"/>
      <c r="V308" s="149"/>
      <c r="W308" s="149"/>
      <c r="X308" s="161">
        <v>120692815.83</v>
      </c>
      <c r="Y308" s="145"/>
      <c r="Z308" s="145"/>
    </row>
    <row r="309" spans="1:73" ht="14.4" x14ac:dyDescent="0.3">
      <c r="A309" s="160" t="s">
        <v>243</v>
      </c>
      <c r="B309" s="161">
        <v>2007</v>
      </c>
      <c r="C309" s="161">
        <v>9191484.5700000003</v>
      </c>
      <c r="D309" s="161">
        <v>32178545.020000003</v>
      </c>
      <c r="E309" s="161">
        <v>62428923.060000002</v>
      </c>
      <c r="F309" s="161">
        <v>92979561.140000001</v>
      </c>
      <c r="G309" s="161">
        <v>116377808.69</v>
      </c>
      <c r="H309" s="161">
        <v>131146523.55</v>
      </c>
      <c r="I309" s="161">
        <v>142401891.16999999</v>
      </c>
      <c r="J309" s="161">
        <v>150350286.73000002</v>
      </c>
      <c r="K309" s="161">
        <v>151595783.69999999</v>
      </c>
      <c r="L309" s="149"/>
      <c r="M309" s="149"/>
      <c r="N309" s="149"/>
      <c r="O309" s="149"/>
      <c r="P309" s="149"/>
      <c r="Q309" s="149"/>
      <c r="R309" s="149"/>
      <c r="S309" s="149"/>
      <c r="T309" s="149"/>
      <c r="U309" s="149"/>
      <c r="V309" s="149"/>
      <c r="W309" s="149"/>
      <c r="X309" s="161">
        <v>151595783.69999999</v>
      </c>
      <c r="Y309" s="145"/>
      <c r="Z309" s="145"/>
    </row>
    <row r="310" spans="1:73" ht="14.4" x14ac:dyDescent="0.3">
      <c r="A310" s="160" t="s">
        <v>243</v>
      </c>
      <c r="B310" s="161">
        <v>2008</v>
      </c>
      <c r="C310" s="161">
        <v>12988757.43</v>
      </c>
      <c r="D310" s="161">
        <v>42692424.969999999</v>
      </c>
      <c r="E310" s="161">
        <v>75452838</v>
      </c>
      <c r="F310" s="161">
        <v>106486121.74000001</v>
      </c>
      <c r="G310" s="161">
        <v>121918605.22</v>
      </c>
      <c r="H310" s="161">
        <v>135303233.96000001</v>
      </c>
      <c r="I310" s="161">
        <v>143955659.93000001</v>
      </c>
      <c r="J310" s="161">
        <v>149869307.72</v>
      </c>
      <c r="K310" s="149"/>
      <c r="L310" s="149"/>
      <c r="M310" s="149"/>
      <c r="N310" s="149"/>
      <c r="O310" s="149"/>
      <c r="P310" s="149"/>
      <c r="Q310" s="149"/>
      <c r="R310" s="149"/>
      <c r="S310" s="149"/>
      <c r="T310" s="149"/>
      <c r="U310" s="149"/>
      <c r="V310" s="149"/>
      <c r="W310" s="149"/>
      <c r="X310" s="161">
        <v>149869307.72</v>
      </c>
      <c r="Y310" s="145"/>
      <c r="Z310" s="145"/>
    </row>
    <row r="311" spans="1:73" ht="14.4" x14ac:dyDescent="0.3">
      <c r="A311" s="160" t="s">
        <v>243</v>
      </c>
      <c r="B311" s="161">
        <v>2009</v>
      </c>
      <c r="C311" s="161">
        <v>10868804.719999999</v>
      </c>
      <c r="D311" s="161">
        <v>38038698.780000001</v>
      </c>
      <c r="E311" s="161">
        <v>70889167.25</v>
      </c>
      <c r="F311" s="161">
        <v>106078505.78</v>
      </c>
      <c r="G311" s="161">
        <v>123453738.67999999</v>
      </c>
      <c r="H311" s="161">
        <v>133254224.97</v>
      </c>
      <c r="I311" s="161">
        <v>138318520.43000001</v>
      </c>
      <c r="J311" s="149"/>
      <c r="K311" s="149"/>
      <c r="L311" s="149"/>
      <c r="M311" s="149"/>
      <c r="N311" s="149"/>
      <c r="O311" s="149"/>
      <c r="P311" s="149"/>
      <c r="Q311" s="149"/>
      <c r="R311" s="149"/>
      <c r="S311" s="149"/>
      <c r="T311" s="149"/>
      <c r="U311" s="149"/>
      <c r="V311" s="149"/>
      <c r="W311" s="149"/>
      <c r="X311" s="161">
        <v>138318520.43000001</v>
      </c>
      <c r="Y311" s="145"/>
      <c r="Z311" s="145"/>
    </row>
    <row r="312" spans="1:73" ht="14.4" x14ac:dyDescent="0.3">
      <c r="A312" s="160" t="s">
        <v>243</v>
      </c>
      <c r="B312" s="161">
        <v>2010</v>
      </c>
      <c r="C312" s="161">
        <v>12936889.050000001</v>
      </c>
      <c r="D312" s="161">
        <v>53720863.219999999</v>
      </c>
      <c r="E312" s="161">
        <v>102089440.72999999</v>
      </c>
      <c r="F312" s="161">
        <v>132085506.95999999</v>
      </c>
      <c r="G312" s="161">
        <v>147178128.24000001</v>
      </c>
      <c r="H312" s="161">
        <v>158405597.49000001</v>
      </c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149"/>
      <c r="W312" s="149"/>
      <c r="X312" s="161">
        <v>158405597.49000001</v>
      </c>
      <c r="Y312" s="145"/>
      <c r="Z312" s="145"/>
    </row>
    <row r="313" spans="1:73" ht="14.4" x14ac:dyDescent="0.3">
      <c r="A313" s="160" t="s">
        <v>243</v>
      </c>
      <c r="B313" s="161">
        <v>2011</v>
      </c>
      <c r="C313" s="161">
        <v>20058735.789999999</v>
      </c>
      <c r="D313" s="161">
        <v>60709982.910000004</v>
      </c>
      <c r="E313" s="161">
        <v>99513069.980000004</v>
      </c>
      <c r="F313" s="161">
        <v>131697314.27</v>
      </c>
      <c r="G313" s="161">
        <v>151522150.34</v>
      </c>
      <c r="H313" s="149"/>
      <c r="I313" s="149"/>
      <c r="J313" s="149"/>
      <c r="K313" s="149"/>
      <c r="L313" s="149"/>
      <c r="M313" s="149"/>
      <c r="N313" s="149"/>
      <c r="O313" s="149"/>
      <c r="P313" s="149"/>
      <c r="Q313" s="149"/>
      <c r="R313" s="149"/>
      <c r="S313" s="149"/>
      <c r="T313" s="149"/>
      <c r="U313" s="149"/>
      <c r="V313" s="149"/>
      <c r="W313" s="149"/>
      <c r="X313" s="161">
        <v>151522150.34</v>
      </c>
      <c r="Y313" s="145"/>
      <c r="Z313" s="145"/>
    </row>
    <row r="314" spans="1:73" ht="14.4" x14ac:dyDescent="0.3">
      <c r="A314" s="160" t="s">
        <v>243</v>
      </c>
      <c r="B314" s="161">
        <v>2012</v>
      </c>
      <c r="C314" s="161">
        <v>12773890.48</v>
      </c>
      <c r="D314" s="161">
        <v>58743229.189999998</v>
      </c>
      <c r="E314" s="161">
        <v>94405904.539999992</v>
      </c>
      <c r="F314" s="161">
        <v>121264199.79000001</v>
      </c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/>
      <c r="T314" s="149"/>
      <c r="U314" s="149"/>
      <c r="V314" s="149"/>
      <c r="W314" s="149"/>
      <c r="X314" s="161">
        <v>121264199.79000001</v>
      </c>
      <c r="Y314" s="145"/>
      <c r="Z314" s="145"/>
    </row>
    <row r="315" spans="1:73" ht="14.4" x14ac:dyDescent="0.3">
      <c r="A315" s="160" t="s">
        <v>243</v>
      </c>
      <c r="B315" s="161">
        <v>2013</v>
      </c>
      <c r="C315" s="161">
        <v>16353259.189999999</v>
      </c>
      <c r="D315" s="161">
        <v>56338677.57</v>
      </c>
      <c r="E315" s="161">
        <v>92725554.150000006</v>
      </c>
      <c r="F315" s="149"/>
      <c r="G315" s="149"/>
      <c r="H315" s="149"/>
      <c r="I315" s="149"/>
      <c r="J315" s="149"/>
      <c r="K315" s="149"/>
      <c r="L315" s="149"/>
      <c r="M315" s="149"/>
      <c r="N315" s="149"/>
      <c r="O315" s="149"/>
      <c r="P315" s="149"/>
      <c r="Q315" s="149"/>
      <c r="R315" s="149"/>
      <c r="S315" s="149"/>
      <c r="T315" s="149"/>
      <c r="U315" s="149"/>
      <c r="V315" s="149"/>
      <c r="W315" s="149"/>
      <c r="X315" s="161">
        <v>92725554.150000006</v>
      </c>
      <c r="Y315" s="145"/>
      <c r="Z315" s="145"/>
    </row>
    <row r="316" spans="1:73" ht="14.4" x14ac:dyDescent="0.3">
      <c r="A316" s="160" t="s">
        <v>243</v>
      </c>
      <c r="B316" s="161">
        <v>2014</v>
      </c>
      <c r="C316" s="161">
        <v>20355617.619999997</v>
      </c>
      <c r="D316" s="161">
        <v>50112517.660000004</v>
      </c>
      <c r="E316" s="149"/>
      <c r="F316" s="149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/>
      <c r="T316" s="149"/>
      <c r="U316" s="149"/>
      <c r="V316" s="149"/>
      <c r="W316" s="149"/>
      <c r="X316" s="161">
        <v>50112517.660000004</v>
      </c>
      <c r="Y316" s="145"/>
      <c r="Z316" s="145"/>
    </row>
    <row r="317" spans="1:73" ht="14.4" x14ac:dyDescent="0.3">
      <c r="A317" s="160" t="s">
        <v>243</v>
      </c>
      <c r="B317" s="161">
        <v>2015</v>
      </c>
      <c r="C317" s="161">
        <v>14851008.039999999</v>
      </c>
      <c r="D317" s="149"/>
      <c r="E317" s="149"/>
      <c r="F317" s="149"/>
      <c r="G317" s="149"/>
      <c r="H317" s="149"/>
      <c r="I317" s="149"/>
      <c r="J317" s="149"/>
      <c r="K317" s="149"/>
      <c r="L317" s="149"/>
      <c r="M317" s="149"/>
      <c r="N317" s="149"/>
      <c r="O317" s="149"/>
      <c r="P317" s="149"/>
      <c r="Q317" s="149"/>
      <c r="R317" s="149"/>
      <c r="S317" s="149"/>
      <c r="T317" s="149"/>
      <c r="U317" s="149"/>
      <c r="V317" s="149"/>
      <c r="W317" s="149"/>
      <c r="X317" s="161">
        <v>14851008.039999999</v>
      </c>
      <c r="Y317" s="145"/>
      <c r="Z317" s="145"/>
    </row>
    <row r="318" spans="1:73" ht="14.4" x14ac:dyDescent="0.3">
      <c r="A318" s="160" t="s">
        <v>244</v>
      </c>
      <c r="B318" s="161">
        <v>1995</v>
      </c>
      <c r="C318" s="161">
        <v>3163.8</v>
      </c>
      <c r="D318" s="161">
        <v>140865.47999999998</v>
      </c>
      <c r="E318" s="161">
        <v>486589.23</v>
      </c>
      <c r="F318" s="161">
        <v>758384.41999999993</v>
      </c>
      <c r="G318" s="161">
        <v>1647685.26</v>
      </c>
      <c r="H318" s="161">
        <v>1840170.1600000001</v>
      </c>
      <c r="I318" s="161">
        <v>3858640.6799999997</v>
      </c>
      <c r="J318" s="161">
        <v>3858640.6799999997</v>
      </c>
      <c r="K318" s="161">
        <v>3873265.6799999997</v>
      </c>
      <c r="L318" s="161">
        <v>3873265.6799999997</v>
      </c>
      <c r="M318" s="161">
        <v>3873265.6799999997</v>
      </c>
      <c r="N318" s="161">
        <v>3873265.6799999997</v>
      </c>
      <c r="O318" s="161">
        <v>3873265.6799999997</v>
      </c>
      <c r="P318" s="161">
        <v>3873265.6799999997</v>
      </c>
      <c r="Q318" s="161">
        <v>3873265.6799999997</v>
      </c>
      <c r="R318" s="161">
        <v>3873265.6799999997</v>
      </c>
      <c r="S318" s="161">
        <v>3873265.6799999997</v>
      </c>
      <c r="T318" s="161">
        <v>3873265.6799999997</v>
      </c>
      <c r="U318" s="161">
        <v>3873265.6799999997</v>
      </c>
      <c r="V318" s="161">
        <v>3873265.6799999997</v>
      </c>
      <c r="W318" s="161">
        <v>3873265.6799999997</v>
      </c>
      <c r="X318" s="161">
        <v>3873265.6799999997</v>
      </c>
      <c r="Y318" s="145"/>
      <c r="Z318" s="145"/>
      <c r="AX318" s="141" t="s">
        <v>253</v>
      </c>
      <c r="AY318" s="141">
        <v>1992</v>
      </c>
      <c r="AZ318" s="141">
        <v>100216855.06</v>
      </c>
      <c r="BA318" s="141">
        <v>162411974.22999999</v>
      </c>
      <c r="BB318" s="141">
        <v>197974353.59</v>
      </c>
      <c r="BC318" s="141">
        <v>219627411.28</v>
      </c>
      <c r="BD318" s="141">
        <v>235849906.37</v>
      </c>
      <c r="BE318" s="141">
        <v>248637124.53999999</v>
      </c>
      <c r="BF318" s="141">
        <v>255888111.19</v>
      </c>
      <c r="BG318" s="141">
        <v>263162123.69</v>
      </c>
      <c r="BH318" s="141">
        <v>267857699.27000001</v>
      </c>
      <c r="BI318" s="141">
        <v>270145596.67000002</v>
      </c>
      <c r="BJ318" s="141">
        <v>272237617.56</v>
      </c>
      <c r="BK318" s="141">
        <v>274520879.92000002</v>
      </c>
      <c r="BL318" s="141">
        <v>277291826.69999999</v>
      </c>
      <c r="BM318" s="141">
        <v>277371246.97000003</v>
      </c>
      <c r="BN318" s="141">
        <v>280155557.19</v>
      </c>
      <c r="BO318" s="141">
        <v>280306589.99000001</v>
      </c>
      <c r="BP318" s="141">
        <v>280984723.95999998</v>
      </c>
      <c r="BQ318" s="141">
        <v>281641198.11000001</v>
      </c>
      <c r="BR318" s="141">
        <v>282171311.92000002</v>
      </c>
      <c r="BS318" s="141">
        <v>282912713.26999998</v>
      </c>
      <c r="BT318" s="141">
        <v>283542164.18000001</v>
      </c>
      <c r="BU318" s="141">
        <v>283542164.18000001</v>
      </c>
    </row>
    <row r="319" spans="1:73" ht="14.4" x14ac:dyDescent="0.3">
      <c r="A319" s="160" t="s">
        <v>244</v>
      </c>
      <c r="B319" s="161">
        <v>1996</v>
      </c>
      <c r="C319" s="161">
        <v>125795.94</v>
      </c>
      <c r="D319" s="161">
        <v>2194419.98</v>
      </c>
      <c r="E319" s="161">
        <v>6568605.1899999995</v>
      </c>
      <c r="F319" s="161">
        <v>11193234.120000001</v>
      </c>
      <c r="G319" s="161">
        <v>15119703.449999999</v>
      </c>
      <c r="H319" s="161">
        <v>16697157.879999999</v>
      </c>
      <c r="I319" s="161">
        <v>16850692.719999999</v>
      </c>
      <c r="J319" s="161">
        <v>16945058.399999999</v>
      </c>
      <c r="K319" s="161">
        <v>17020337.68</v>
      </c>
      <c r="L319" s="161">
        <v>17063607.289999999</v>
      </c>
      <c r="M319" s="161">
        <v>16992730.34</v>
      </c>
      <c r="N319" s="161">
        <v>17413372.350000001</v>
      </c>
      <c r="O319" s="161">
        <v>17413372.350000001</v>
      </c>
      <c r="P319" s="161">
        <v>17413372.350000001</v>
      </c>
      <c r="Q319" s="161">
        <v>17413372.350000001</v>
      </c>
      <c r="R319" s="161">
        <v>17413372.350000001</v>
      </c>
      <c r="S319" s="161">
        <v>17416212.73</v>
      </c>
      <c r="T319" s="161">
        <v>17416212.73</v>
      </c>
      <c r="U319" s="161">
        <v>17416212.73</v>
      </c>
      <c r="V319" s="161">
        <v>17416212.73</v>
      </c>
      <c r="W319" s="149"/>
      <c r="X319" s="161">
        <v>17416212.73</v>
      </c>
      <c r="Y319" s="145"/>
      <c r="Z319" s="145"/>
      <c r="AX319" s="141" t="s">
        <v>253</v>
      </c>
      <c r="AY319" s="141">
        <v>1993</v>
      </c>
      <c r="AZ319" s="141">
        <v>92643301.079999998</v>
      </c>
      <c r="BA319" s="141">
        <v>165113648.55000001</v>
      </c>
      <c r="BB319" s="141">
        <v>204707014.44</v>
      </c>
      <c r="BC319" s="141">
        <v>236695644</v>
      </c>
      <c r="BD319" s="141">
        <v>256424124.36000001</v>
      </c>
      <c r="BE319" s="141">
        <v>265293707.78999999</v>
      </c>
      <c r="BF319" s="141">
        <v>273055384.47000003</v>
      </c>
      <c r="BG319" s="141">
        <v>277803564.42000002</v>
      </c>
      <c r="BH319" s="141">
        <v>281651360.92000002</v>
      </c>
      <c r="BI319" s="141">
        <v>284946772.42000002</v>
      </c>
      <c r="BJ319" s="141">
        <v>279717254.00999999</v>
      </c>
      <c r="BK319" s="141">
        <v>284562060.33999997</v>
      </c>
      <c r="BL319" s="141">
        <v>284259165.58999997</v>
      </c>
      <c r="BM319" s="141">
        <v>286041313.88999999</v>
      </c>
      <c r="BN319" s="141">
        <v>287383986.68000001</v>
      </c>
      <c r="BO319" s="141">
        <v>288765077.79000002</v>
      </c>
      <c r="BP319" s="141">
        <v>289492092.24000001</v>
      </c>
      <c r="BQ319" s="141">
        <v>289968383.54000002</v>
      </c>
      <c r="BR319" s="141">
        <v>290517858.00999999</v>
      </c>
      <c r="BS319" s="141">
        <v>290956876.05000001</v>
      </c>
      <c r="BU319" s="141">
        <v>290956876.05000001</v>
      </c>
    </row>
    <row r="320" spans="1:73" ht="14.4" x14ac:dyDescent="0.3">
      <c r="A320" s="160" t="s">
        <v>244</v>
      </c>
      <c r="B320" s="161">
        <v>1997</v>
      </c>
      <c r="C320" s="161">
        <v>1414005.17</v>
      </c>
      <c r="D320" s="161">
        <v>9375262.5099999998</v>
      </c>
      <c r="E320" s="161">
        <v>16687272.67</v>
      </c>
      <c r="F320" s="161">
        <v>24455293.149999999</v>
      </c>
      <c r="G320" s="161">
        <v>30075593.25</v>
      </c>
      <c r="H320" s="161">
        <v>30921158.620000001</v>
      </c>
      <c r="I320" s="161">
        <v>33431238.890000001</v>
      </c>
      <c r="J320" s="161">
        <v>34114371.219999999</v>
      </c>
      <c r="K320" s="161">
        <v>34218924.909999996</v>
      </c>
      <c r="L320" s="161">
        <v>35167095.729999997</v>
      </c>
      <c r="M320" s="161">
        <v>35193052.849999994</v>
      </c>
      <c r="N320" s="161">
        <v>35291353.759999998</v>
      </c>
      <c r="O320" s="161">
        <v>35433696.450000003</v>
      </c>
      <c r="P320" s="161">
        <v>35550526.009999998</v>
      </c>
      <c r="Q320" s="161">
        <v>35712715.589999996</v>
      </c>
      <c r="R320" s="161">
        <v>35758057.089999996</v>
      </c>
      <c r="S320" s="161">
        <v>35752723.310000002</v>
      </c>
      <c r="T320" s="161">
        <v>36354549.229999997</v>
      </c>
      <c r="U320" s="161">
        <v>36354549.229999997</v>
      </c>
      <c r="V320" s="149"/>
      <c r="W320" s="149"/>
      <c r="X320" s="161">
        <v>36354549.229999997</v>
      </c>
      <c r="Y320" s="145"/>
      <c r="Z320" s="145"/>
      <c r="AX320" s="141" t="s">
        <v>253</v>
      </c>
      <c r="AY320" s="141">
        <v>1994</v>
      </c>
      <c r="AZ320" s="141">
        <v>95799492.530000001</v>
      </c>
      <c r="BA320" s="141">
        <v>179568831.19999999</v>
      </c>
      <c r="BB320" s="141">
        <v>234004617.27000001</v>
      </c>
      <c r="BC320" s="141">
        <v>274062234.16000003</v>
      </c>
      <c r="BD320" s="141">
        <v>290534933.25999999</v>
      </c>
      <c r="BE320" s="141">
        <v>301293893.30000001</v>
      </c>
      <c r="BF320" s="141">
        <v>311098989.92000002</v>
      </c>
      <c r="BG320" s="141">
        <v>316939923.13999999</v>
      </c>
      <c r="BH320" s="141">
        <v>321315992.97000003</v>
      </c>
      <c r="BI320" s="141">
        <v>320111720.44999999</v>
      </c>
      <c r="BJ320" s="141">
        <v>323485135.30000001</v>
      </c>
      <c r="BK320" s="141">
        <v>325301290.47000003</v>
      </c>
      <c r="BL320" s="141">
        <v>327760328.44</v>
      </c>
      <c r="BM320" s="141">
        <v>329056096.93000001</v>
      </c>
      <c r="BN320" s="141">
        <v>330093348.55000001</v>
      </c>
      <c r="BO320" s="141">
        <v>330863514.05000001</v>
      </c>
      <c r="BP320" s="141">
        <v>331490459.11000001</v>
      </c>
      <c r="BQ320" s="141">
        <v>332013342.06</v>
      </c>
      <c r="BR320" s="141">
        <v>332402109.97000003</v>
      </c>
      <c r="BU320" s="141">
        <v>332402109.97000003</v>
      </c>
    </row>
    <row r="321" spans="1:73" ht="14.4" x14ac:dyDescent="0.3">
      <c r="A321" s="160" t="s">
        <v>244</v>
      </c>
      <c r="B321" s="161">
        <v>1998</v>
      </c>
      <c r="C321" s="161">
        <v>3694429.12</v>
      </c>
      <c r="D321" s="161">
        <v>12307758.780000001</v>
      </c>
      <c r="E321" s="161">
        <v>21805128.59</v>
      </c>
      <c r="F321" s="161">
        <v>29172067.240000002</v>
      </c>
      <c r="G321" s="161">
        <v>37438423.519999996</v>
      </c>
      <c r="H321" s="161">
        <v>40992656.129999995</v>
      </c>
      <c r="I321" s="161">
        <v>44111604.939999998</v>
      </c>
      <c r="J321" s="161">
        <v>46486466.799999997</v>
      </c>
      <c r="K321" s="161">
        <v>47692082.82</v>
      </c>
      <c r="L321" s="161">
        <v>47655641.960000001</v>
      </c>
      <c r="M321" s="161">
        <v>48407935.189999998</v>
      </c>
      <c r="N321" s="161">
        <v>48475760.640000001</v>
      </c>
      <c r="O321" s="161">
        <v>48476190.060000002</v>
      </c>
      <c r="P321" s="161">
        <v>48477090.539999999</v>
      </c>
      <c r="Q321" s="161">
        <v>48477090.539999999</v>
      </c>
      <c r="R321" s="161">
        <v>48477527.019999996</v>
      </c>
      <c r="S321" s="161">
        <v>48527527.019999996</v>
      </c>
      <c r="T321" s="161">
        <v>48527527.019999996</v>
      </c>
      <c r="U321" s="149"/>
      <c r="V321" s="149"/>
      <c r="W321" s="149"/>
      <c r="X321" s="161">
        <v>48527527.019999996</v>
      </c>
      <c r="Y321" s="145"/>
      <c r="Z321" s="145"/>
      <c r="AX321" s="141" t="s">
        <v>253</v>
      </c>
      <c r="AY321" s="141">
        <v>1995</v>
      </c>
      <c r="AZ321" s="141">
        <v>77377031.719999999</v>
      </c>
      <c r="BA321" s="141">
        <v>194042335.78999999</v>
      </c>
      <c r="BB321" s="141">
        <v>265424022.30000001</v>
      </c>
      <c r="BC321" s="141">
        <v>299690215.50999999</v>
      </c>
      <c r="BD321" s="141">
        <v>324865675.18000001</v>
      </c>
      <c r="BE321" s="141">
        <v>343124093.70999998</v>
      </c>
      <c r="BF321" s="141">
        <v>354623561.64999998</v>
      </c>
      <c r="BG321" s="141">
        <v>364237195.32999998</v>
      </c>
      <c r="BH321" s="141">
        <v>368785551.56</v>
      </c>
      <c r="BI321" s="141">
        <v>375780118.18000001</v>
      </c>
      <c r="BJ321" s="141">
        <v>379572991.41000003</v>
      </c>
      <c r="BK321" s="141">
        <v>382576810.81999999</v>
      </c>
      <c r="BL321" s="141">
        <v>386764444.13999999</v>
      </c>
      <c r="BM321" s="141">
        <v>389496538.72000003</v>
      </c>
      <c r="BN321" s="141">
        <v>391713937.38999999</v>
      </c>
      <c r="BO321" s="141">
        <v>393831023.30000001</v>
      </c>
      <c r="BP321" s="141">
        <v>395210927.60000002</v>
      </c>
      <c r="BQ321" s="141">
        <v>396466502.63999999</v>
      </c>
      <c r="BU321" s="141">
        <v>396466502.63999999</v>
      </c>
    </row>
    <row r="322" spans="1:73" ht="14.4" x14ac:dyDescent="0.3">
      <c r="A322" s="160" t="s">
        <v>244</v>
      </c>
      <c r="B322" s="161">
        <v>1999</v>
      </c>
      <c r="C322" s="161">
        <v>975071.92</v>
      </c>
      <c r="D322" s="161">
        <v>6555600.0999999996</v>
      </c>
      <c r="E322" s="161">
        <v>14409788.58</v>
      </c>
      <c r="F322" s="161">
        <v>24962494.859999999</v>
      </c>
      <c r="G322" s="161">
        <v>29854342.75</v>
      </c>
      <c r="H322" s="161">
        <v>34655455.899999999</v>
      </c>
      <c r="I322" s="161">
        <v>35492538.129999995</v>
      </c>
      <c r="J322" s="161">
        <v>36137546.32</v>
      </c>
      <c r="K322" s="161">
        <v>36118894.100000001</v>
      </c>
      <c r="L322" s="161">
        <v>36127092.609999999</v>
      </c>
      <c r="M322" s="161">
        <v>36162150.899999999</v>
      </c>
      <c r="N322" s="161">
        <v>36315356.269999996</v>
      </c>
      <c r="O322" s="161">
        <v>36337563.810000002</v>
      </c>
      <c r="P322" s="161">
        <v>36337563.810000002</v>
      </c>
      <c r="Q322" s="161">
        <v>36376568.850000001</v>
      </c>
      <c r="R322" s="161">
        <v>36409211.489999995</v>
      </c>
      <c r="S322" s="161">
        <v>36409211.489999995</v>
      </c>
      <c r="T322" s="149"/>
      <c r="U322" s="149"/>
      <c r="V322" s="149"/>
      <c r="W322" s="149"/>
      <c r="X322" s="161">
        <v>36409211.489999995</v>
      </c>
      <c r="Y322" s="145"/>
      <c r="Z322" s="145"/>
      <c r="AX322" s="141" t="s">
        <v>253</v>
      </c>
      <c r="AY322" s="141">
        <v>1996</v>
      </c>
      <c r="AZ322" s="141">
        <v>98605613.019999996</v>
      </c>
      <c r="BA322" s="141">
        <v>256564569.68000001</v>
      </c>
      <c r="BB322" s="141">
        <v>338229465.29000002</v>
      </c>
      <c r="BC322" s="141">
        <v>389731166.88</v>
      </c>
      <c r="BD322" s="141">
        <v>423323624.51999998</v>
      </c>
      <c r="BE322" s="141">
        <v>445571126.75999999</v>
      </c>
      <c r="BF322" s="141">
        <v>460992011.77999997</v>
      </c>
      <c r="BG322" s="141">
        <v>471976710.06</v>
      </c>
      <c r="BH322" s="141">
        <v>487820419.50999999</v>
      </c>
      <c r="BI322" s="141">
        <v>484456252.66000003</v>
      </c>
      <c r="BJ322" s="141">
        <v>490377046.26999998</v>
      </c>
      <c r="BK322" s="141">
        <v>494809213.88999999</v>
      </c>
      <c r="BL322" s="141">
        <v>498207492.43000001</v>
      </c>
      <c r="BM322" s="141">
        <v>502064789.56</v>
      </c>
      <c r="BN322" s="141">
        <v>505604901.81</v>
      </c>
      <c r="BO322" s="141">
        <v>507567242.42000002</v>
      </c>
      <c r="BP322" s="141">
        <v>509533558.61000001</v>
      </c>
      <c r="BU322" s="141">
        <v>509533558.61000001</v>
      </c>
    </row>
    <row r="323" spans="1:73" ht="14.4" x14ac:dyDescent="0.3">
      <c r="A323" s="160" t="s">
        <v>244</v>
      </c>
      <c r="B323" s="161">
        <v>2000</v>
      </c>
      <c r="C323" s="161">
        <v>648252.09</v>
      </c>
      <c r="D323" s="161">
        <v>4102828.58</v>
      </c>
      <c r="E323" s="161">
        <v>12388448.109999999</v>
      </c>
      <c r="F323" s="161">
        <v>15351966.65</v>
      </c>
      <c r="G323" s="161">
        <v>20721487.57</v>
      </c>
      <c r="H323" s="161">
        <v>23145629.959999997</v>
      </c>
      <c r="I323" s="161">
        <v>25512872.189999998</v>
      </c>
      <c r="J323" s="161">
        <v>26029096.849999998</v>
      </c>
      <c r="K323" s="161">
        <v>26373527.049999997</v>
      </c>
      <c r="L323" s="161">
        <v>26511557.199999999</v>
      </c>
      <c r="M323" s="161">
        <v>26566323.399999999</v>
      </c>
      <c r="N323" s="161">
        <v>26672988.660000004</v>
      </c>
      <c r="O323" s="161">
        <v>27684777.920000002</v>
      </c>
      <c r="P323" s="161">
        <v>27685402.920000002</v>
      </c>
      <c r="Q323" s="161">
        <v>27855599.940000001</v>
      </c>
      <c r="R323" s="161">
        <v>27855599.940000001</v>
      </c>
      <c r="S323" s="149"/>
      <c r="T323" s="149"/>
      <c r="U323" s="149"/>
      <c r="V323" s="149"/>
      <c r="W323" s="149"/>
      <c r="X323" s="161">
        <v>27855599.940000001</v>
      </c>
      <c r="Y323" s="145"/>
      <c r="Z323" s="145"/>
      <c r="AX323" s="141" t="s">
        <v>253</v>
      </c>
      <c r="AY323" s="141">
        <v>1997</v>
      </c>
      <c r="AZ323" s="141">
        <v>135419679.30000001</v>
      </c>
      <c r="BA323" s="141">
        <v>315195246.48000002</v>
      </c>
      <c r="BB323" s="141">
        <v>387827915.68000001</v>
      </c>
      <c r="BC323" s="141">
        <v>442984710.44</v>
      </c>
      <c r="BD323" s="141">
        <v>493098252.45999998</v>
      </c>
      <c r="BE323" s="141">
        <v>514081982.02999997</v>
      </c>
      <c r="BF323" s="141">
        <v>530688447.83999997</v>
      </c>
      <c r="BG323" s="141">
        <v>533890410.85000002</v>
      </c>
      <c r="BH323" s="141">
        <v>543022768.51999998</v>
      </c>
      <c r="BI323" s="141">
        <v>548672603.03999996</v>
      </c>
      <c r="BJ323" s="141">
        <v>552608342.13</v>
      </c>
      <c r="BK323" s="141">
        <v>556279214.05999994</v>
      </c>
      <c r="BL323" s="141">
        <v>559121715.77999997</v>
      </c>
      <c r="BM323" s="141">
        <v>561505054.37</v>
      </c>
      <c r="BN323" s="141">
        <v>563477109.32000005</v>
      </c>
      <c r="BO323" s="141">
        <v>565512618.30999994</v>
      </c>
      <c r="BU323" s="141">
        <v>565512618.30999994</v>
      </c>
    </row>
    <row r="324" spans="1:73" ht="14.4" x14ac:dyDescent="0.3">
      <c r="A324" s="160" t="s">
        <v>244</v>
      </c>
      <c r="B324" s="161">
        <v>2001</v>
      </c>
      <c r="C324" s="161">
        <v>256139.98</v>
      </c>
      <c r="D324" s="161">
        <v>2900847.34</v>
      </c>
      <c r="E324" s="161">
        <v>3736966.8699999996</v>
      </c>
      <c r="F324" s="161">
        <v>6940159.7400000012</v>
      </c>
      <c r="G324" s="161">
        <v>11396112.100000001</v>
      </c>
      <c r="H324" s="161">
        <v>10803063.74</v>
      </c>
      <c r="I324" s="161">
        <v>11012553.350000001</v>
      </c>
      <c r="J324" s="161">
        <v>11227107.27</v>
      </c>
      <c r="K324" s="161">
        <v>11720969.390000001</v>
      </c>
      <c r="L324" s="161">
        <v>11720028.440000001</v>
      </c>
      <c r="M324" s="161">
        <v>11720028.440000001</v>
      </c>
      <c r="N324" s="161">
        <v>11720028.440000001</v>
      </c>
      <c r="O324" s="161">
        <v>11720028.440000001</v>
      </c>
      <c r="P324" s="161">
        <v>11891746.260000002</v>
      </c>
      <c r="Q324" s="161">
        <v>11891746.260000002</v>
      </c>
      <c r="R324" s="149"/>
      <c r="S324" s="149"/>
      <c r="T324" s="149"/>
      <c r="U324" s="149"/>
      <c r="V324" s="149"/>
      <c r="W324" s="149"/>
      <c r="X324" s="161">
        <v>11891746.260000002</v>
      </c>
      <c r="Y324" s="145"/>
      <c r="Z324" s="145"/>
      <c r="AX324" s="141" t="s">
        <v>253</v>
      </c>
      <c r="AY324" s="141">
        <v>1998</v>
      </c>
      <c r="AZ324" s="141">
        <v>139528125.24000001</v>
      </c>
      <c r="BA324" s="141">
        <v>323934838.58999997</v>
      </c>
      <c r="BB324" s="141">
        <v>428312199.69999999</v>
      </c>
      <c r="BC324" s="141">
        <v>490821718.38999999</v>
      </c>
      <c r="BD324" s="141">
        <v>523412757.07999998</v>
      </c>
      <c r="BE324" s="141">
        <v>554524066.01999998</v>
      </c>
      <c r="BF324" s="141">
        <v>556405773.92999995</v>
      </c>
      <c r="BG324" s="141">
        <v>559800405.62</v>
      </c>
      <c r="BH324" s="141">
        <v>567629253.28999996</v>
      </c>
      <c r="BI324" s="141">
        <v>573165532.98000002</v>
      </c>
      <c r="BJ324" s="141">
        <v>577447040.51999998</v>
      </c>
      <c r="BK324" s="141">
        <v>581074228.80999994</v>
      </c>
      <c r="BL324" s="141">
        <v>583602272.58000004</v>
      </c>
      <c r="BM324" s="141">
        <v>587029881.13</v>
      </c>
      <c r="BN324" s="141">
        <v>589231398.42999995</v>
      </c>
      <c r="BU324" s="141">
        <v>589231398.42999995</v>
      </c>
    </row>
    <row r="325" spans="1:73" ht="14.4" x14ac:dyDescent="0.3">
      <c r="A325" s="160" t="s">
        <v>244</v>
      </c>
      <c r="B325" s="161">
        <v>2002</v>
      </c>
      <c r="C325" s="161">
        <v>104915.30999999998</v>
      </c>
      <c r="D325" s="161">
        <v>68938.769999999786</v>
      </c>
      <c r="E325" s="161">
        <v>6723218.9600000009</v>
      </c>
      <c r="F325" s="161">
        <v>7480206.1200000001</v>
      </c>
      <c r="G325" s="161">
        <v>7944832.4900000002</v>
      </c>
      <c r="H325" s="161">
        <v>8863830.4400000013</v>
      </c>
      <c r="I325" s="161">
        <v>9534869</v>
      </c>
      <c r="J325" s="161">
        <v>9600390.9300000016</v>
      </c>
      <c r="K325" s="161">
        <v>10443386.75</v>
      </c>
      <c r="L325" s="161">
        <v>10468481.720000001</v>
      </c>
      <c r="M325" s="161">
        <v>10552032.960000001</v>
      </c>
      <c r="N325" s="161">
        <v>10556304.610000001</v>
      </c>
      <c r="O325" s="161">
        <v>10885734.34</v>
      </c>
      <c r="P325" s="161">
        <v>10909227.460000001</v>
      </c>
      <c r="Q325" s="149"/>
      <c r="R325" s="149"/>
      <c r="S325" s="149"/>
      <c r="T325" s="149"/>
      <c r="U325" s="149"/>
      <c r="V325" s="149"/>
      <c r="W325" s="149"/>
      <c r="X325" s="161">
        <v>10909227.460000001</v>
      </c>
      <c r="Y325" s="145"/>
      <c r="Z325" s="145"/>
      <c r="AX325" s="141" t="s">
        <v>253</v>
      </c>
      <c r="AY325" s="141">
        <v>1999</v>
      </c>
      <c r="AZ325" s="141">
        <v>144339743.81</v>
      </c>
      <c r="BA325" s="141">
        <v>368580428.05000001</v>
      </c>
      <c r="BB325" s="141">
        <v>494891172.27999997</v>
      </c>
      <c r="BC325" s="141">
        <v>536999114.07000005</v>
      </c>
      <c r="BD325" s="141">
        <v>561982202.58000004</v>
      </c>
      <c r="BE325" s="141">
        <v>592102816.04999995</v>
      </c>
      <c r="BF325" s="141">
        <v>614600985.79999995</v>
      </c>
      <c r="BG325" s="141">
        <v>628650562.41999996</v>
      </c>
      <c r="BH325" s="141">
        <v>638867899.29999995</v>
      </c>
      <c r="BI325" s="141">
        <v>645791549.25999999</v>
      </c>
      <c r="BJ325" s="141">
        <v>650665461.38999999</v>
      </c>
      <c r="BK325" s="141">
        <v>654319141.54999995</v>
      </c>
      <c r="BL325" s="141">
        <v>657676237.99000001</v>
      </c>
      <c r="BM325" s="141">
        <v>660820959.85000002</v>
      </c>
      <c r="BU325" s="141">
        <v>660820959.85000002</v>
      </c>
    </row>
    <row r="326" spans="1:73" ht="14.4" x14ac:dyDescent="0.3">
      <c r="A326" s="160" t="s">
        <v>244</v>
      </c>
      <c r="B326" s="161">
        <v>2003</v>
      </c>
      <c r="C326" s="161">
        <v>532863.83000000007</v>
      </c>
      <c r="D326" s="161">
        <v>2147522</v>
      </c>
      <c r="E326" s="161">
        <v>7694241</v>
      </c>
      <c r="F326" s="161">
        <v>11679113.359999999</v>
      </c>
      <c r="G326" s="161">
        <v>12926650.600000001</v>
      </c>
      <c r="H326" s="161">
        <v>14460994.68</v>
      </c>
      <c r="I326" s="161">
        <v>15751674.060000001</v>
      </c>
      <c r="J326" s="161">
        <v>15972981.24</v>
      </c>
      <c r="K326" s="161">
        <v>16235770.030000001</v>
      </c>
      <c r="L326" s="161">
        <v>16107242.34</v>
      </c>
      <c r="M326" s="161">
        <v>16107714.84</v>
      </c>
      <c r="N326" s="161">
        <v>17727475.390000001</v>
      </c>
      <c r="O326" s="161">
        <v>17727475.390000001</v>
      </c>
      <c r="P326" s="149"/>
      <c r="Q326" s="149"/>
      <c r="R326" s="149"/>
      <c r="S326" s="149"/>
      <c r="T326" s="149"/>
      <c r="U326" s="149"/>
      <c r="V326" s="149"/>
      <c r="W326" s="149"/>
      <c r="X326" s="161">
        <v>17727475.390000001</v>
      </c>
      <c r="Y326" s="145"/>
      <c r="Z326" s="145"/>
      <c r="AX326" s="141" t="s">
        <v>253</v>
      </c>
      <c r="AY326" s="141">
        <v>2000</v>
      </c>
      <c r="AZ326" s="141">
        <v>153908819.22999999</v>
      </c>
      <c r="BA326" s="141">
        <v>404826507.94</v>
      </c>
      <c r="BB326" s="141">
        <v>533809773.06999999</v>
      </c>
      <c r="BC326" s="141">
        <v>612741164.37</v>
      </c>
      <c r="BD326" s="141">
        <v>644230509.84000003</v>
      </c>
      <c r="BE326" s="141">
        <v>667533461.64999998</v>
      </c>
      <c r="BF326" s="141">
        <v>686258484.72000003</v>
      </c>
      <c r="BG326" s="141">
        <v>702918300.38</v>
      </c>
      <c r="BH326" s="141">
        <v>710829865.38</v>
      </c>
      <c r="BI326" s="141">
        <v>716625222.95000005</v>
      </c>
      <c r="BJ326" s="141">
        <v>721207288.85000002</v>
      </c>
      <c r="BK326" s="141">
        <v>725059248.59000003</v>
      </c>
      <c r="BL326" s="141">
        <v>727539593.16999996</v>
      </c>
      <c r="BU326" s="141">
        <v>727539593.16999996</v>
      </c>
    </row>
    <row r="327" spans="1:73" ht="14.4" x14ac:dyDescent="0.3">
      <c r="A327" s="160" t="s">
        <v>244</v>
      </c>
      <c r="B327" s="161">
        <v>2004</v>
      </c>
      <c r="C327" s="161">
        <v>656833.26</v>
      </c>
      <c r="D327" s="161">
        <v>5182920.49</v>
      </c>
      <c r="E327" s="161">
        <v>9054712.6199999992</v>
      </c>
      <c r="F327" s="161">
        <v>11689577.319999998</v>
      </c>
      <c r="G327" s="161">
        <v>13694193.199999999</v>
      </c>
      <c r="H327" s="161">
        <v>14513066.790000001</v>
      </c>
      <c r="I327" s="161">
        <v>15404292.74</v>
      </c>
      <c r="J327" s="161">
        <v>15480773.219999999</v>
      </c>
      <c r="K327" s="161">
        <v>15672242.5</v>
      </c>
      <c r="L327" s="161">
        <v>15804110.74</v>
      </c>
      <c r="M327" s="161">
        <v>18197849.66</v>
      </c>
      <c r="N327" s="161">
        <v>18311998.809999999</v>
      </c>
      <c r="O327" s="149"/>
      <c r="P327" s="149"/>
      <c r="Q327" s="149"/>
      <c r="R327" s="149"/>
      <c r="S327" s="149"/>
      <c r="T327" s="149"/>
      <c r="U327" s="149"/>
      <c r="V327" s="149"/>
      <c r="W327" s="149"/>
      <c r="X327" s="161">
        <v>18311998.809999999</v>
      </c>
      <c r="Y327" s="145"/>
      <c r="Z327" s="145"/>
      <c r="AX327" s="141" t="s">
        <v>253</v>
      </c>
      <c r="AY327" s="141">
        <v>2001</v>
      </c>
      <c r="AZ327" s="141">
        <v>183542814.53999999</v>
      </c>
      <c r="BA327" s="141">
        <v>468549100.85000002</v>
      </c>
      <c r="BB327" s="141">
        <v>646681741.47000003</v>
      </c>
      <c r="BC327" s="141">
        <v>750353251.60000002</v>
      </c>
      <c r="BD327" s="141">
        <v>805482236.54999995</v>
      </c>
      <c r="BE327" s="141">
        <v>843309684.21000004</v>
      </c>
      <c r="BF327" s="141">
        <v>861794071.05999994</v>
      </c>
      <c r="BG327" s="141">
        <v>872388209.03999996</v>
      </c>
      <c r="BH327" s="141">
        <v>879437902.13999999</v>
      </c>
      <c r="BI327" s="141">
        <v>884300936.76999998</v>
      </c>
      <c r="BJ327" s="141">
        <v>888929711.08000004</v>
      </c>
      <c r="BK327" s="141">
        <v>891950744.85000002</v>
      </c>
      <c r="BU327" s="141">
        <v>891950744.85000002</v>
      </c>
    </row>
    <row r="328" spans="1:73" ht="14.4" x14ac:dyDescent="0.3">
      <c r="A328" s="160" t="s">
        <v>244</v>
      </c>
      <c r="B328" s="161">
        <v>2005</v>
      </c>
      <c r="C328" s="161">
        <v>767289.14</v>
      </c>
      <c r="D328" s="161">
        <v>5551608.1100000003</v>
      </c>
      <c r="E328" s="161">
        <v>13682537.789999999</v>
      </c>
      <c r="F328" s="161">
        <v>16703133.640000001</v>
      </c>
      <c r="G328" s="161">
        <v>19680259.719999999</v>
      </c>
      <c r="H328" s="161">
        <v>21290822.539999999</v>
      </c>
      <c r="I328" s="161">
        <v>23015232.419999998</v>
      </c>
      <c r="J328" s="161">
        <v>23723871.449999999</v>
      </c>
      <c r="K328" s="161">
        <v>23743220.760000002</v>
      </c>
      <c r="L328" s="161">
        <v>27081844.890000001</v>
      </c>
      <c r="M328" s="161">
        <v>27114226.43</v>
      </c>
      <c r="N328" s="149"/>
      <c r="O328" s="149"/>
      <c r="P328" s="149"/>
      <c r="Q328" s="149"/>
      <c r="R328" s="149"/>
      <c r="S328" s="149"/>
      <c r="T328" s="149"/>
      <c r="U328" s="149"/>
      <c r="V328" s="149"/>
      <c r="W328" s="149"/>
      <c r="X328" s="161">
        <v>27114226.43</v>
      </c>
      <c r="Y328" s="145"/>
      <c r="Z328" s="145"/>
      <c r="AX328" s="141" t="s">
        <v>253</v>
      </c>
      <c r="AY328" s="141">
        <v>2002</v>
      </c>
      <c r="AZ328" s="141">
        <v>161697628.31999999</v>
      </c>
      <c r="BA328" s="141">
        <v>423380767.5</v>
      </c>
      <c r="BB328" s="141">
        <v>587083050.10000002</v>
      </c>
      <c r="BC328" s="141">
        <v>689314509.83000004</v>
      </c>
      <c r="BD328" s="141">
        <v>748966561.88</v>
      </c>
      <c r="BE328" s="141">
        <v>785269758.61000001</v>
      </c>
      <c r="BF328" s="141">
        <v>805145417.76999998</v>
      </c>
      <c r="BG328" s="141">
        <v>816601882.74000001</v>
      </c>
      <c r="BH328" s="141">
        <v>822181396.63999999</v>
      </c>
      <c r="BI328" s="141">
        <v>825614781.66999996</v>
      </c>
      <c r="BJ328" s="141">
        <v>830625566.27999997</v>
      </c>
      <c r="BU328" s="141">
        <v>830625566.27999997</v>
      </c>
    </row>
    <row r="329" spans="1:73" ht="14.4" x14ac:dyDescent="0.3">
      <c r="A329" s="160" t="s">
        <v>244</v>
      </c>
      <c r="B329" s="161">
        <v>2006</v>
      </c>
      <c r="C329" s="161">
        <v>840382.66999999993</v>
      </c>
      <c r="D329" s="161">
        <v>5870853.79</v>
      </c>
      <c r="E329" s="161">
        <v>13155444.719999999</v>
      </c>
      <c r="F329" s="161">
        <v>18576666.34</v>
      </c>
      <c r="G329" s="161">
        <v>24256639.210000001</v>
      </c>
      <c r="H329" s="161">
        <v>26490520.699999999</v>
      </c>
      <c r="I329" s="161">
        <v>26803798.240000002</v>
      </c>
      <c r="J329" s="161">
        <v>27550280.119999997</v>
      </c>
      <c r="K329" s="161">
        <v>33135612.399999999</v>
      </c>
      <c r="L329" s="161">
        <v>33173973.780000001</v>
      </c>
      <c r="M329" s="149"/>
      <c r="N329" s="149"/>
      <c r="O329" s="149"/>
      <c r="P329" s="149"/>
      <c r="Q329" s="149"/>
      <c r="R329" s="149"/>
      <c r="S329" s="149"/>
      <c r="T329" s="149"/>
      <c r="U329" s="149"/>
      <c r="V329" s="149"/>
      <c r="W329" s="149"/>
      <c r="X329" s="161">
        <v>33173973.780000001</v>
      </c>
      <c r="Y329" s="145"/>
      <c r="Z329" s="145"/>
      <c r="AX329" s="141" t="s">
        <v>253</v>
      </c>
      <c r="AY329" s="141">
        <v>2003</v>
      </c>
      <c r="AZ329" s="141">
        <v>119027262.69</v>
      </c>
      <c r="BA329" s="141">
        <v>291123052.37</v>
      </c>
      <c r="BB329" s="141">
        <v>395666795.27999997</v>
      </c>
      <c r="BC329" s="141">
        <v>459440839.35000002</v>
      </c>
      <c r="BD329" s="141">
        <v>496491700.5</v>
      </c>
      <c r="BE329" s="141">
        <v>520540883.97000003</v>
      </c>
      <c r="BF329" s="141">
        <v>535247935.5</v>
      </c>
      <c r="BG329" s="141">
        <v>543987599.48000002</v>
      </c>
      <c r="BH329" s="141">
        <v>551341085.48000002</v>
      </c>
      <c r="BI329" s="141">
        <v>555660777.83000004</v>
      </c>
      <c r="BU329" s="141">
        <v>555660777.83000004</v>
      </c>
    </row>
    <row r="330" spans="1:73" ht="14.4" x14ac:dyDescent="0.3">
      <c r="A330" s="160" t="s">
        <v>244</v>
      </c>
      <c r="B330" s="161">
        <v>2007</v>
      </c>
      <c r="C330" s="161">
        <v>2134729.1100000003</v>
      </c>
      <c r="D330" s="161">
        <v>11837818.93</v>
      </c>
      <c r="E330" s="161">
        <v>21863059.23</v>
      </c>
      <c r="F330" s="161">
        <v>26539108.300000001</v>
      </c>
      <c r="G330" s="161">
        <v>28531864.039999999</v>
      </c>
      <c r="H330" s="161">
        <v>30109451.219999999</v>
      </c>
      <c r="I330" s="161">
        <v>32162372.770000003</v>
      </c>
      <c r="J330" s="161">
        <v>40053977.32</v>
      </c>
      <c r="K330" s="161">
        <v>40113550.600000001</v>
      </c>
      <c r="L330" s="149"/>
      <c r="M330" s="149"/>
      <c r="N330" s="149"/>
      <c r="O330" s="149"/>
      <c r="P330" s="149"/>
      <c r="Q330" s="149"/>
      <c r="R330" s="149"/>
      <c r="S330" s="149"/>
      <c r="T330" s="149"/>
      <c r="U330" s="149"/>
      <c r="V330" s="149"/>
      <c r="W330" s="149"/>
      <c r="X330" s="161">
        <v>40113550.600000001</v>
      </c>
      <c r="Y330" s="145"/>
      <c r="Z330" s="145"/>
      <c r="AX330" s="141" t="s">
        <v>253</v>
      </c>
      <c r="AY330" s="141">
        <v>2004</v>
      </c>
      <c r="AZ330" s="141">
        <v>92186528.200000003</v>
      </c>
      <c r="BA330" s="141">
        <v>221576301.06999999</v>
      </c>
      <c r="BB330" s="141">
        <v>301309129.44999999</v>
      </c>
      <c r="BC330" s="141">
        <v>347475985.52999997</v>
      </c>
      <c r="BD330" s="141">
        <v>374945016.10000002</v>
      </c>
      <c r="BE330" s="141">
        <v>394019241.16000003</v>
      </c>
      <c r="BF330" s="141">
        <v>406594061.75999999</v>
      </c>
      <c r="BG330" s="141">
        <v>415037153.92000002</v>
      </c>
      <c r="BH330" s="141">
        <v>421670255.50999999</v>
      </c>
      <c r="BU330" s="141">
        <v>421670255.50999999</v>
      </c>
    </row>
    <row r="331" spans="1:73" ht="14.4" x14ac:dyDescent="0.3">
      <c r="A331" s="160" t="s">
        <v>244</v>
      </c>
      <c r="B331" s="161">
        <v>2008</v>
      </c>
      <c r="C331" s="161">
        <v>1038180.29</v>
      </c>
      <c r="D331" s="161">
        <v>7054462.04</v>
      </c>
      <c r="E331" s="161">
        <v>16470341.899999999</v>
      </c>
      <c r="F331" s="161">
        <v>25867517.859999999</v>
      </c>
      <c r="G331" s="161">
        <v>30479683.619999997</v>
      </c>
      <c r="H331" s="161">
        <v>34230997.93</v>
      </c>
      <c r="I331" s="161">
        <v>44649519.109999999</v>
      </c>
      <c r="J331" s="161">
        <v>45144427.170000002</v>
      </c>
      <c r="K331" s="149"/>
      <c r="L331" s="149"/>
      <c r="M331" s="149"/>
      <c r="N331" s="149"/>
      <c r="O331" s="149"/>
      <c r="P331" s="149"/>
      <c r="Q331" s="149"/>
      <c r="R331" s="149"/>
      <c r="S331" s="149"/>
      <c r="T331" s="149"/>
      <c r="U331" s="149"/>
      <c r="V331" s="149"/>
      <c r="W331" s="149"/>
      <c r="X331" s="161">
        <v>45144427.170000002</v>
      </c>
      <c r="Y331" s="145"/>
      <c r="Z331" s="145"/>
      <c r="AX331" s="141" t="s">
        <v>253</v>
      </c>
      <c r="AY331" s="141">
        <v>2005</v>
      </c>
      <c r="AZ331" s="141">
        <v>47924350.479999997</v>
      </c>
      <c r="BA331" s="141">
        <v>119742267.12</v>
      </c>
      <c r="BB331" s="141">
        <v>158165847.41</v>
      </c>
      <c r="BC331" s="141">
        <v>181692328.66999999</v>
      </c>
      <c r="BD331" s="141">
        <v>197610349.81</v>
      </c>
      <c r="BE331" s="141">
        <v>207416922.40000001</v>
      </c>
      <c r="BF331" s="141">
        <v>215260018.09999999</v>
      </c>
      <c r="BG331" s="141">
        <v>220531602.40000001</v>
      </c>
      <c r="BU331" s="141">
        <v>220531602.40000001</v>
      </c>
    </row>
    <row r="332" spans="1:73" ht="14.4" x14ac:dyDescent="0.3">
      <c r="A332" s="160" t="s">
        <v>244</v>
      </c>
      <c r="B332" s="161">
        <v>2009</v>
      </c>
      <c r="C332" s="161">
        <v>1192021.3199999998</v>
      </c>
      <c r="D332" s="161">
        <v>10116297.370000001</v>
      </c>
      <c r="E332" s="161">
        <v>24442402.43</v>
      </c>
      <c r="F332" s="161">
        <v>32443599.630000003</v>
      </c>
      <c r="G332" s="161">
        <v>38201262.120000005</v>
      </c>
      <c r="H332" s="161">
        <v>51655695.460000001</v>
      </c>
      <c r="I332" s="161">
        <v>52246558.109999999</v>
      </c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149"/>
      <c r="W332" s="149"/>
      <c r="X332" s="161">
        <v>52246558.109999999</v>
      </c>
      <c r="Y332" s="145"/>
      <c r="Z332" s="145"/>
      <c r="AX332" s="141" t="s">
        <v>253</v>
      </c>
      <c r="AY332" s="141">
        <v>2006</v>
      </c>
      <c r="AZ332" s="141">
        <v>40172791.460000001</v>
      </c>
      <c r="BA332" s="141">
        <v>101557849.90000001</v>
      </c>
      <c r="BB332" s="141">
        <v>138115669.59999999</v>
      </c>
      <c r="BC332" s="141">
        <v>160586760.94999999</v>
      </c>
      <c r="BD332" s="141">
        <v>174384181.24000001</v>
      </c>
      <c r="BE332" s="141">
        <v>182959984.65000001</v>
      </c>
      <c r="BF332" s="141">
        <v>188620826.78</v>
      </c>
      <c r="BU332" s="141">
        <v>188620826.78</v>
      </c>
    </row>
    <row r="333" spans="1:73" ht="14.4" x14ac:dyDescent="0.3">
      <c r="A333" s="160" t="s">
        <v>244</v>
      </c>
      <c r="B333" s="161">
        <v>2010</v>
      </c>
      <c r="C333" s="161">
        <v>1433549.96</v>
      </c>
      <c r="D333" s="161">
        <v>14168147.18</v>
      </c>
      <c r="E333" s="161">
        <v>24591323.210000001</v>
      </c>
      <c r="F333" s="161">
        <v>38168365.25</v>
      </c>
      <c r="G333" s="161">
        <v>52459368.289999999</v>
      </c>
      <c r="H333" s="161">
        <v>56116008.039999999</v>
      </c>
      <c r="I333" s="149"/>
      <c r="J333" s="149"/>
      <c r="K333" s="149"/>
      <c r="L333" s="149"/>
      <c r="M333" s="149"/>
      <c r="N333" s="149"/>
      <c r="O333" s="149"/>
      <c r="P333" s="149"/>
      <c r="Q333" s="149"/>
      <c r="R333" s="149"/>
      <c r="S333" s="149"/>
      <c r="T333" s="149"/>
      <c r="U333" s="149"/>
      <c r="V333" s="149"/>
      <c r="W333" s="149"/>
      <c r="X333" s="161">
        <v>56116008.039999999</v>
      </c>
      <c r="Y333" s="145"/>
      <c r="Z333" s="145"/>
      <c r="AX333" s="141" t="s">
        <v>253</v>
      </c>
      <c r="AY333" s="141">
        <v>2007</v>
      </c>
      <c r="AZ333" s="141">
        <v>37082568.210000001</v>
      </c>
      <c r="BA333" s="141">
        <v>87833674.950000003</v>
      </c>
      <c r="BB333" s="141">
        <v>116416006.2</v>
      </c>
      <c r="BC333" s="141">
        <v>133848424.51000001</v>
      </c>
      <c r="BD333" s="141">
        <v>143503668.63</v>
      </c>
      <c r="BE333" s="141">
        <v>149826119.63</v>
      </c>
      <c r="BU333" s="141">
        <v>149826119.63</v>
      </c>
    </row>
    <row r="334" spans="1:73" ht="14.4" x14ac:dyDescent="0.3">
      <c r="A334" s="160" t="s">
        <v>244</v>
      </c>
      <c r="B334" s="161">
        <v>2011</v>
      </c>
      <c r="C334" s="161">
        <v>3086859.5700000003</v>
      </c>
      <c r="D334" s="161">
        <v>18683278.32</v>
      </c>
      <c r="E334" s="161">
        <v>37745948.189999998</v>
      </c>
      <c r="F334" s="161">
        <v>63466483.100000001</v>
      </c>
      <c r="G334" s="161">
        <v>67430933.840000004</v>
      </c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/>
      <c r="T334" s="149"/>
      <c r="U334" s="149"/>
      <c r="V334" s="149"/>
      <c r="W334" s="149"/>
      <c r="X334" s="161">
        <v>67430933.840000004</v>
      </c>
      <c r="Y334" s="145"/>
      <c r="Z334" s="145"/>
      <c r="AX334" s="141" t="s">
        <v>253</v>
      </c>
      <c r="AY334" s="141">
        <v>2008</v>
      </c>
      <c r="AZ334" s="141">
        <v>29137773.890000001</v>
      </c>
      <c r="BA334" s="141">
        <v>70041226.650000006</v>
      </c>
      <c r="BB334" s="141">
        <v>95034675.359999999</v>
      </c>
      <c r="BC334" s="141">
        <v>109763238.04000001</v>
      </c>
      <c r="BD334" s="141">
        <v>119753707.40000001</v>
      </c>
      <c r="BU334" s="141">
        <v>119753707.40000001</v>
      </c>
    </row>
    <row r="335" spans="1:73" ht="14.4" x14ac:dyDescent="0.3">
      <c r="A335" s="160" t="s">
        <v>244</v>
      </c>
      <c r="B335" s="161">
        <v>2012</v>
      </c>
      <c r="C335" s="161">
        <v>3039529.91</v>
      </c>
      <c r="D335" s="161">
        <v>22176548.210000001</v>
      </c>
      <c r="E335" s="161">
        <v>44712378.049999997</v>
      </c>
      <c r="F335" s="161">
        <v>58368606.93</v>
      </c>
      <c r="G335" s="149"/>
      <c r="H335" s="149"/>
      <c r="I335" s="149"/>
      <c r="J335" s="149"/>
      <c r="K335" s="149"/>
      <c r="L335" s="149"/>
      <c r="M335" s="149"/>
      <c r="N335" s="149"/>
      <c r="O335" s="149"/>
      <c r="P335" s="149"/>
      <c r="Q335" s="149"/>
      <c r="R335" s="149"/>
      <c r="S335" s="149"/>
      <c r="T335" s="149"/>
      <c r="U335" s="149"/>
      <c r="V335" s="149"/>
      <c r="W335" s="149"/>
      <c r="X335" s="161">
        <v>58368606.93</v>
      </c>
      <c r="Y335" s="145"/>
      <c r="Z335" s="145"/>
      <c r="AX335" s="141" t="s">
        <v>253</v>
      </c>
      <c r="AY335" s="141">
        <v>2009</v>
      </c>
      <c r="AZ335" s="141">
        <v>24221747.739999998</v>
      </c>
      <c r="BA335" s="141">
        <v>63322912.060000002</v>
      </c>
      <c r="BB335" s="141">
        <v>87236290.069999993</v>
      </c>
      <c r="BC335" s="141">
        <v>102095742.62</v>
      </c>
      <c r="BU335" s="141">
        <v>102095742.62</v>
      </c>
    </row>
    <row r="336" spans="1:73" ht="14.4" x14ac:dyDescent="0.3">
      <c r="A336" s="160" t="s">
        <v>244</v>
      </c>
      <c r="B336" s="161">
        <v>2013</v>
      </c>
      <c r="C336" s="161">
        <v>2628778.4</v>
      </c>
      <c r="D336" s="161">
        <v>23547271.170000002</v>
      </c>
      <c r="E336" s="161">
        <v>46824785.239999995</v>
      </c>
      <c r="F336" s="149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149"/>
      <c r="W336" s="149"/>
      <c r="X336" s="161">
        <v>46824785.239999995</v>
      </c>
      <c r="Y336" s="145"/>
      <c r="Z336" s="145"/>
      <c r="AX336" s="141" t="s">
        <v>253</v>
      </c>
      <c r="AY336" s="141">
        <v>2010</v>
      </c>
      <c r="AZ336" s="141">
        <v>23798488.260000002</v>
      </c>
      <c r="BA336" s="141">
        <v>59063588.990000002</v>
      </c>
      <c r="BB336" s="141">
        <v>80515615.819999993</v>
      </c>
      <c r="BU336" s="141">
        <v>80515615.819999993</v>
      </c>
    </row>
    <row r="337" spans="1:73" ht="14.4" x14ac:dyDescent="0.3">
      <c r="A337" s="160" t="s">
        <v>244</v>
      </c>
      <c r="B337" s="161">
        <v>2014</v>
      </c>
      <c r="C337" s="161">
        <v>5198070.5999999996</v>
      </c>
      <c r="D337" s="161">
        <v>22534007.32</v>
      </c>
      <c r="E337" s="149"/>
      <c r="F337" s="149"/>
      <c r="G337" s="149"/>
      <c r="H337" s="149"/>
      <c r="I337" s="149"/>
      <c r="J337" s="149"/>
      <c r="K337" s="149"/>
      <c r="L337" s="149"/>
      <c r="M337" s="149"/>
      <c r="N337" s="149"/>
      <c r="O337" s="149"/>
      <c r="P337" s="149"/>
      <c r="Q337" s="149"/>
      <c r="R337" s="149"/>
      <c r="S337" s="149"/>
      <c r="T337" s="149"/>
      <c r="U337" s="149"/>
      <c r="V337" s="149"/>
      <c r="W337" s="149"/>
      <c r="X337" s="161">
        <v>22534007.32</v>
      </c>
      <c r="Y337" s="145"/>
      <c r="Z337" s="145"/>
      <c r="AX337" s="141" t="s">
        <v>253</v>
      </c>
      <c r="AY337" s="141">
        <v>2011</v>
      </c>
      <c r="AZ337" s="141">
        <v>21759895.289999999</v>
      </c>
      <c r="BA337" s="141">
        <v>56221447.68</v>
      </c>
      <c r="BU337" s="141">
        <v>56221447.68</v>
      </c>
    </row>
    <row r="338" spans="1:73" ht="14.4" x14ac:dyDescent="0.3">
      <c r="A338" s="160" t="s">
        <v>244</v>
      </c>
      <c r="B338" s="161">
        <v>2015</v>
      </c>
      <c r="C338" s="161">
        <v>2715624.41</v>
      </c>
      <c r="D338" s="149"/>
      <c r="E338" s="149"/>
      <c r="F338" s="149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149"/>
      <c r="W338" s="149"/>
      <c r="X338" s="161">
        <v>2715624.41</v>
      </c>
      <c r="Y338" s="145"/>
      <c r="Z338" s="145"/>
      <c r="AX338" s="141" t="s">
        <v>253</v>
      </c>
      <c r="AY338" s="141">
        <v>2012</v>
      </c>
      <c r="AZ338" s="141">
        <v>23458690.949999999</v>
      </c>
      <c r="BU338" s="141">
        <v>23458690.949999999</v>
      </c>
    </row>
    <row r="339" spans="1:73" ht="14.4" x14ac:dyDescent="0.3">
      <c r="A339" s="160" t="s">
        <v>245</v>
      </c>
      <c r="B339" s="161">
        <v>1995</v>
      </c>
      <c r="C339" s="161">
        <v>74163.41</v>
      </c>
      <c r="D339" s="161">
        <v>104504.06999999999</v>
      </c>
      <c r="E339" s="161">
        <v>108887.58</v>
      </c>
      <c r="F339" s="161">
        <v>1194974.1399999999</v>
      </c>
      <c r="G339" s="161">
        <v>1102801.32</v>
      </c>
      <c r="H339" s="161">
        <v>6251390.5099999998</v>
      </c>
      <c r="I339" s="161">
        <v>5570866.1799999997</v>
      </c>
      <c r="J339" s="161">
        <v>5830231.8499999996</v>
      </c>
      <c r="K339" s="161">
        <v>6582396.9499999993</v>
      </c>
      <c r="L339" s="161">
        <v>6582712.7699999996</v>
      </c>
      <c r="M339" s="161">
        <v>6582712.7699999996</v>
      </c>
      <c r="N339" s="161">
        <v>6582712.7699999996</v>
      </c>
      <c r="O339" s="161">
        <v>6582712.7699999996</v>
      </c>
      <c r="P339" s="161">
        <v>6582712.7699999996</v>
      </c>
      <c r="Q339" s="161">
        <v>6582712.7699999996</v>
      </c>
      <c r="R339" s="161">
        <v>6582712.7699999996</v>
      </c>
      <c r="S339" s="161">
        <v>6582712.7699999996</v>
      </c>
      <c r="T339" s="161">
        <v>6582712.7699999996</v>
      </c>
      <c r="U339" s="161">
        <v>6582712.7699999996</v>
      </c>
      <c r="V339" s="161">
        <v>6582712.7699999996</v>
      </c>
      <c r="W339" s="161">
        <v>6582712.7699999996</v>
      </c>
      <c r="X339" s="161">
        <v>6582712.7699999996</v>
      </c>
      <c r="Y339" s="145"/>
      <c r="Z339" s="145"/>
      <c r="AX339" s="141" t="s">
        <v>254</v>
      </c>
      <c r="AY339" s="141">
        <v>1992</v>
      </c>
      <c r="AZ339" s="141">
        <v>0</v>
      </c>
      <c r="BA339" s="141">
        <v>0</v>
      </c>
      <c r="BB339" s="141">
        <v>0</v>
      </c>
      <c r="BC339" s="141">
        <v>0</v>
      </c>
      <c r="BD339" s="141">
        <v>0</v>
      </c>
      <c r="BE339" s="141">
        <v>0</v>
      </c>
      <c r="BF339" s="141">
        <v>0</v>
      </c>
      <c r="BG339" s="141">
        <v>0</v>
      </c>
      <c r="BH339" s="141">
        <v>0</v>
      </c>
      <c r="BI339" s="141">
        <v>0</v>
      </c>
      <c r="BJ339" s="141">
        <v>0</v>
      </c>
      <c r="BK339" s="141">
        <v>0</v>
      </c>
      <c r="BL339" s="141">
        <v>0</v>
      </c>
      <c r="BM339" s="141">
        <v>0</v>
      </c>
      <c r="BN339" s="141">
        <v>0</v>
      </c>
      <c r="BO339" s="141">
        <v>0</v>
      </c>
      <c r="BP339" s="141">
        <v>0</v>
      </c>
      <c r="BQ339" s="141">
        <v>0</v>
      </c>
      <c r="BR339" s="141">
        <v>0</v>
      </c>
      <c r="BS339" s="141">
        <v>0</v>
      </c>
      <c r="BT339" s="141">
        <v>0</v>
      </c>
      <c r="BU339" s="141">
        <v>0</v>
      </c>
    </row>
    <row r="340" spans="1:73" ht="14.4" x14ac:dyDescent="0.3">
      <c r="A340" s="160" t="s">
        <v>245</v>
      </c>
      <c r="B340" s="161">
        <v>1996</v>
      </c>
      <c r="C340" s="161">
        <v>1363183.19</v>
      </c>
      <c r="D340" s="161">
        <v>2222669.7599999998</v>
      </c>
      <c r="E340" s="161">
        <v>17350984.169999998</v>
      </c>
      <c r="F340" s="161">
        <v>26665394.600000001</v>
      </c>
      <c r="G340" s="161">
        <v>22671209.640000001</v>
      </c>
      <c r="H340" s="161">
        <v>22575650.650000002</v>
      </c>
      <c r="I340" s="161">
        <v>23461145.639999997</v>
      </c>
      <c r="J340" s="161">
        <v>23762328.120000005</v>
      </c>
      <c r="K340" s="161">
        <v>27723803.550000004</v>
      </c>
      <c r="L340" s="161">
        <v>28259877.68</v>
      </c>
      <c r="M340" s="161">
        <v>32382969.060000002</v>
      </c>
      <c r="N340" s="161">
        <v>32422303.859999999</v>
      </c>
      <c r="O340" s="161">
        <v>33583570.230000004</v>
      </c>
      <c r="P340" s="161">
        <v>33513653.750000004</v>
      </c>
      <c r="Q340" s="161">
        <v>33513653.750000004</v>
      </c>
      <c r="R340" s="161">
        <v>33513653.750000004</v>
      </c>
      <c r="S340" s="161">
        <v>33513653.750000004</v>
      </c>
      <c r="T340" s="161">
        <v>33513653.750000004</v>
      </c>
      <c r="U340" s="161">
        <v>33513653.750000004</v>
      </c>
      <c r="V340" s="161">
        <v>33513653.750000004</v>
      </c>
      <c r="W340" s="149"/>
      <c r="X340" s="161">
        <v>33513653.750000004</v>
      </c>
      <c r="Y340" s="145"/>
      <c r="Z340" s="145"/>
      <c r="AX340" s="141" t="s">
        <v>254</v>
      </c>
      <c r="AY340" s="141">
        <v>1993</v>
      </c>
      <c r="AZ340" s="141">
        <v>0</v>
      </c>
      <c r="BA340" s="141">
        <v>0</v>
      </c>
      <c r="BB340" s="141">
        <v>0</v>
      </c>
      <c r="BC340" s="141">
        <v>0</v>
      </c>
      <c r="BD340" s="141">
        <v>0</v>
      </c>
      <c r="BE340" s="141">
        <v>0</v>
      </c>
      <c r="BF340" s="141">
        <v>0</v>
      </c>
      <c r="BG340" s="141">
        <v>0</v>
      </c>
      <c r="BH340" s="141">
        <v>0</v>
      </c>
      <c r="BI340" s="141">
        <v>0</v>
      </c>
      <c r="BJ340" s="141">
        <v>0</v>
      </c>
      <c r="BK340" s="141">
        <v>0</v>
      </c>
      <c r="BL340" s="141">
        <v>0</v>
      </c>
      <c r="BM340" s="141">
        <v>0</v>
      </c>
      <c r="BN340" s="141">
        <v>0</v>
      </c>
      <c r="BO340" s="141">
        <v>0</v>
      </c>
      <c r="BP340" s="141">
        <v>0</v>
      </c>
      <c r="BQ340" s="141">
        <v>0</v>
      </c>
      <c r="BR340" s="141">
        <v>0</v>
      </c>
      <c r="BS340" s="141">
        <v>0</v>
      </c>
      <c r="BU340" s="141">
        <v>0</v>
      </c>
    </row>
    <row r="341" spans="1:73" ht="14.4" x14ac:dyDescent="0.3">
      <c r="A341" s="160" t="s">
        <v>245</v>
      </c>
      <c r="B341" s="161">
        <v>1997</v>
      </c>
      <c r="C341" s="161">
        <v>7077.51</v>
      </c>
      <c r="D341" s="161">
        <v>28205494.150000002</v>
      </c>
      <c r="E341" s="161">
        <v>32066684.48</v>
      </c>
      <c r="F341" s="161">
        <v>32719625.359999999</v>
      </c>
      <c r="G341" s="161">
        <v>47297245.870000005</v>
      </c>
      <c r="H341" s="161">
        <v>54897919.200000003</v>
      </c>
      <c r="I341" s="161">
        <v>59238115.439999998</v>
      </c>
      <c r="J341" s="161">
        <v>63226107.789999999</v>
      </c>
      <c r="K341" s="161">
        <v>58981468.420000002</v>
      </c>
      <c r="L341" s="161">
        <v>59235690.520000003</v>
      </c>
      <c r="M341" s="161">
        <v>60818881.720000006</v>
      </c>
      <c r="N341" s="161">
        <v>61615387.020000003</v>
      </c>
      <c r="O341" s="161">
        <v>61793931.070000008</v>
      </c>
      <c r="P341" s="161">
        <v>61830021.100000001</v>
      </c>
      <c r="Q341" s="161">
        <v>63383848.619999997</v>
      </c>
      <c r="R341" s="161">
        <v>63271348.619999997</v>
      </c>
      <c r="S341" s="161">
        <v>63327598.630000003</v>
      </c>
      <c r="T341" s="161">
        <v>63327598.630000003</v>
      </c>
      <c r="U341" s="161">
        <v>63327598.630000003</v>
      </c>
      <c r="V341" s="149"/>
      <c r="W341" s="149"/>
      <c r="X341" s="161">
        <v>63327598.630000003</v>
      </c>
      <c r="Y341" s="145"/>
      <c r="Z341" s="145"/>
      <c r="AX341" s="141" t="s">
        <v>254</v>
      </c>
      <c r="AY341" s="141">
        <v>1994</v>
      </c>
      <c r="AZ341" s="141">
        <v>0</v>
      </c>
      <c r="BA341" s="141">
        <v>0</v>
      </c>
      <c r="BB341" s="141">
        <v>0</v>
      </c>
      <c r="BC341" s="141">
        <v>0</v>
      </c>
      <c r="BD341" s="141">
        <v>0</v>
      </c>
      <c r="BE341" s="141">
        <v>0</v>
      </c>
      <c r="BF341" s="141">
        <v>0</v>
      </c>
      <c r="BG341" s="141">
        <v>0</v>
      </c>
      <c r="BH341" s="141">
        <v>0</v>
      </c>
      <c r="BI341" s="141">
        <v>0</v>
      </c>
      <c r="BJ341" s="141">
        <v>0</v>
      </c>
      <c r="BK341" s="141">
        <v>0</v>
      </c>
      <c r="BL341" s="141">
        <v>0</v>
      </c>
      <c r="BM341" s="141">
        <v>0</v>
      </c>
      <c r="BN341" s="141">
        <v>0</v>
      </c>
      <c r="BO341" s="141">
        <v>0</v>
      </c>
      <c r="BP341" s="141">
        <v>0</v>
      </c>
      <c r="BQ341" s="141">
        <v>0</v>
      </c>
      <c r="BR341" s="141">
        <v>0</v>
      </c>
      <c r="BU341" s="141">
        <v>0</v>
      </c>
    </row>
    <row r="342" spans="1:73" ht="14.4" x14ac:dyDescent="0.3">
      <c r="A342" s="160" t="s">
        <v>245</v>
      </c>
      <c r="B342" s="161">
        <v>1998</v>
      </c>
      <c r="C342" s="161">
        <v>1638821.88</v>
      </c>
      <c r="D342" s="161">
        <v>1764864.1099999999</v>
      </c>
      <c r="E342" s="161">
        <v>5071486.5200000005</v>
      </c>
      <c r="F342" s="161">
        <v>7294989.0600000005</v>
      </c>
      <c r="G342" s="161">
        <v>15095901.729999999</v>
      </c>
      <c r="H342" s="161">
        <v>20375340.670000002</v>
      </c>
      <c r="I342" s="161">
        <v>22178745.899999999</v>
      </c>
      <c r="J342" s="161">
        <v>22789238.120000001</v>
      </c>
      <c r="K342" s="161">
        <v>23759743.449999999</v>
      </c>
      <c r="L342" s="161">
        <v>28257104.349999998</v>
      </c>
      <c r="M342" s="161">
        <v>28888721.549999997</v>
      </c>
      <c r="N342" s="161">
        <v>42781562.560000002</v>
      </c>
      <c r="O342" s="161">
        <v>41929116.009999998</v>
      </c>
      <c r="P342" s="161">
        <v>49698649.460000008</v>
      </c>
      <c r="Q342" s="161">
        <v>42470539.63000001</v>
      </c>
      <c r="R342" s="161">
        <v>42494054.45000001</v>
      </c>
      <c r="S342" s="161">
        <v>42494054.45000001</v>
      </c>
      <c r="T342" s="161">
        <v>42494054.45000001</v>
      </c>
      <c r="U342" s="149"/>
      <c r="V342" s="149"/>
      <c r="W342" s="149"/>
      <c r="X342" s="161">
        <v>42494054.45000001</v>
      </c>
      <c r="Y342" s="145"/>
      <c r="Z342" s="145"/>
      <c r="AX342" s="141" t="s">
        <v>254</v>
      </c>
      <c r="AY342" s="141">
        <v>1995</v>
      </c>
      <c r="AZ342" s="141">
        <v>0</v>
      </c>
      <c r="BA342" s="141">
        <v>0</v>
      </c>
      <c r="BB342" s="141">
        <v>0</v>
      </c>
      <c r="BC342" s="141">
        <v>0</v>
      </c>
      <c r="BD342" s="141">
        <v>0</v>
      </c>
      <c r="BE342" s="141">
        <v>0</v>
      </c>
      <c r="BF342" s="141">
        <v>0</v>
      </c>
      <c r="BG342" s="141">
        <v>0</v>
      </c>
      <c r="BH342" s="141">
        <v>0</v>
      </c>
      <c r="BI342" s="141">
        <v>0</v>
      </c>
      <c r="BJ342" s="141">
        <v>0</v>
      </c>
      <c r="BK342" s="141">
        <v>0</v>
      </c>
      <c r="BL342" s="141">
        <v>0</v>
      </c>
      <c r="BM342" s="141">
        <v>0</v>
      </c>
      <c r="BN342" s="141">
        <v>0</v>
      </c>
      <c r="BO342" s="141">
        <v>0</v>
      </c>
      <c r="BP342" s="141">
        <v>0</v>
      </c>
      <c r="BQ342" s="141">
        <v>0</v>
      </c>
      <c r="BU342" s="141">
        <v>0</v>
      </c>
    </row>
    <row r="343" spans="1:73" ht="14.4" x14ac:dyDescent="0.3">
      <c r="A343" s="160" t="s">
        <v>245</v>
      </c>
      <c r="B343" s="161">
        <v>1999</v>
      </c>
      <c r="C343" s="161">
        <v>269055.31</v>
      </c>
      <c r="D343" s="161">
        <v>1022644.5</v>
      </c>
      <c r="E343" s="161">
        <v>16734325.08</v>
      </c>
      <c r="F343" s="161">
        <v>18689614.41</v>
      </c>
      <c r="G343" s="161">
        <v>41239994.039999999</v>
      </c>
      <c r="H343" s="161">
        <v>52617683.560000002</v>
      </c>
      <c r="I343" s="161">
        <v>53680057.969999999</v>
      </c>
      <c r="J343" s="161">
        <v>55475937.789999999</v>
      </c>
      <c r="K343" s="161">
        <v>63502447.040000007</v>
      </c>
      <c r="L343" s="161">
        <v>69637852.13000001</v>
      </c>
      <c r="M343" s="161">
        <v>70917909.260000005</v>
      </c>
      <c r="N343" s="161">
        <v>71024707.969999999</v>
      </c>
      <c r="O343" s="161">
        <v>71220004.239999995</v>
      </c>
      <c r="P343" s="161">
        <v>76506869.060000002</v>
      </c>
      <c r="Q343" s="161">
        <v>76506868.960000008</v>
      </c>
      <c r="R343" s="161">
        <v>76506868.960000008</v>
      </c>
      <c r="S343" s="161">
        <v>76506868.960000008</v>
      </c>
      <c r="T343" s="149"/>
      <c r="U343" s="149"/>
      <c r="V343" s="149"/>
      <c r="W343" s="149"/>
      <c r="X343" s="161">
        <v>76506868.960000008</v>
      </c>
      <c r="Y343" s="145"/>
      <c r="Z343" s="145"/>
      <c r="AX343" s="141" t="s">
        <v>254</v>
      </c>
      <c r="AY343" s="141">
        <v>1996</v>
      </c>
      <c r="AZ343" s="141">
        <v>0</v>
      </c>
      <c r="BA343" s="141">
        <v>0</v>
      </c>
      <c r="BB343" s="141">
        <v>0</v>
      </c>
      <c r="BC343" s="141">
        <v>0</v>
      </c>
      <c r="BD343" s="141">
        <v>0</v>
      </c>
      <c r="BE343" s="141">
        <v>0</v>
      </c>
      <c r="BF343" s="141">
        <v>0</v>
      </c>
      <c r="BG343" s="141">
        <v>0</v>
      </c>
      <c r="BH343" s="141">
        <v>0</v>
      </c>
      <c r="BI343" s="141">
        <v>0</v>
      </c>
      <c r="BJ343" s="141">
        <v>0</v>
      </c>
      <c r="BK343" s="141">
        <v>0</v>
      </c>
      <c r="BL343" s="141">
        <v>0</v>
      </c>
      <c r="BM343" s="141">
        <v>0</v>
      </c>
      <c r="BN343" s="141">
        <v>0</v>
      </c>
      <c r="BO343" s="141">
        <v>0</v>
      </c>
      <c r="BP343" s="141">
        <v>0</v>
      </c>
      <c r="BU343" s="141">
        <v>0</v>
      </c>
    </row>
    <row r="344" spans="1:73" ht="14.4" x14ac:dyDescent="0.3">
      <c r="A344" s="160" t="s">
        <v>245</v>
      </c>
      <c r="B344" s="161">
        <v>2000</v>
      </c>
      <c r="C344" s="161">
        <v>17967.599999999999</v>
      </c>
      <c r="D344" s="161">
        <v>1217127.45</v>
      </c>
      <c r="E344" s="161">
        <v>4656475.540000001</v>
      </c>
      <c r="F344" s="161">
        <v>11541102.620000001</v>
      </c>
      <c r="G344" s="161">
        <v>17185849.049999997</v>
      </c>
      <c r="H344" s="161">
        <v>23650022.220000006</v>
      </c>
      <c r="I344" s="161">
        <v>24416352.320000004</v>
      </c>
      <c r="J344" s="161">
        <v>26080261.140000008</v>
      </c>
      <c r="K344" s="161">
        <v>26443003.440000005</v>
      </c>
      <c r="L344" s="161">
        <v>26518383.650000006</v>
      </c>
      <c r="M344" s="161">
        <v>26653711.640000004</v>
      </c>
      <c r="N344" s="161">
        <v>27632841.700000003</v>
      </c>
      <c r="O344" s="161">
        <v>27632841.700000003</v>
      </c>
      <c r="P344" s="161">
        <v>27632841.700000003</v>
      </c>
      <c r="Q344" s="161">
        <v>27632841.700000003</v>
      </c>
      <c r="R344" s="161">
        <v>27632841.700000003</v>
      </c>
      <c r="S344" s="149"/>
      <c r="T344" s="149"/>
      <c r="U344" s="149"/>
      <c r="V344" s="149"/>
      <c r="W344" s="149"/>
      <c r="X344" s="161">
        <v>27632841.700000003</v>
      </c>
      <c r="Y344" s="145"/>
      <c r="Z344" s="145"/>
      <c r="AX344" s="141" t="s">
        <v>254</v>
      </c>
      <c r="AY344" s="141">
        <v>1997</v>
      </c>
      <c r="AZ344" s="141">
        <v>0</v>
      </c>
      <c r="BA344" s="141">
        <v>30690.04</v>
      </c>
      <c r="BB344" s="141">
        <v>30690.04</v>
      </c>
      <c r="BC344" s="141">
        <v>30690.040000000299</v>
      </c>
      <c r="BD344" s="141">
        <v>36752.890000000101</v>
      </c>
      <c r="BE344" s="141">
        <v>118895.73</v>
      </c>
      <c r="BF344" s="141">
        <v>118100.33</v>
      </c>
      <c r="BG344" s="141">
        <v>140120.54</v>
      </c>
      <c r="BH344" s="141">
        <v>2773899.73</v>
      </c>
      <c r="BI344" s="141">
        <v>2773899.73</v>
      </c>
      <c r="BJ344" s="141">
        <v>2774688.57</v>
      </c>
      <c r="BK344" s="141">
        <v>2760839.44</v>
      </c>
      <c r="BL344" s="141">
        <v>2760839.44</v>
      </c>
      <c r="BM344" s="141">
        <v>2760839.44</v>
      </c>
      <c r="BN344" s="141">
        <v>2760839.44</v>
      </c>
      <c r="BO344" s="141">
        <v>2760839.44</v>
      </c>
      <c r="BU344" s="141">
        <v>2760839.44</v>
      </c>
    </row>
    <row r="345" spans="1:73" ht="14.4" x14ac:dyDescent="0.3">
      <c r="A345" s="160" t="s">
        <v>245</v>
      </c>
      <c r="B345" s="161">
        <v>2001</v>
      </c>
      <c r="C345" s="161">
        <v>3479.7099999999996</v>
      </c>
      <c r="D345" s="161">
        <v>2275624.04</v>
      </c>
      <c r="E345" s="161">
        <v>231817.94000000134</v>
      </c>
      <c r="F345" s="161">
        <v>3698418.24</v>
      </c>
      <c r="G345" s="161">
        <v>27180541.159999996</v>
      </c>
      <c r="H345" s="161">
        <v>35218320.869999997</v>
      </c>
      <c r="I345" s="161">
        <v>32703069.079999998</v>
      </c>
      <c r="J345" s="161">
        <v>35150189.309999995</v>
      </c>
      <c r="K345" s="161">
        <v>35162172.599999994</v>
      </c>
      <c r="L345" s="161">
        <v>35566572.210000008</v>
      </c>
      <c r="M345" s="161">
        <v>35568128.910000004</v>
      </c>
      <c r="N345" s="161">
        <v>35645281.540000007</v>
      </c>
      <c r="O345" s="161">
        <v>35661737.030000001</v>
      </c>
      <c r="P345" s="161">
        <v>35661737.030000001</v>
      </c>
      <c r="Q345" s="161">
        <v>35661737.030000001</v>
      </c>
      <c r="R345" s="149"/>
      <c r="S345" s="149"/>
      <c r="T345" s="149"/>
      <c r="U345" s="149"/>
      <c r="V345" s="149"/>
      <c r="W345" s="149"/>
      <c r="X345" s="161">
        <v>35661737.030000001</v>
      </c>
      <c r="Y345" s="145"/>
      <c r="Z345" s="145"/>
      <c r="AX345" s="141" t="s">
        <v>254</v>
      </c>
      <c r="AY345" s="141">
        <v>1998</v>
      </c>
      <c r="AZ345" s="141">
        <v>8439415.9299999997</v>
      </c>
      <c r="BA345" s="141">
        <v>18580986.73</v>
      </c>
      <c r="BB345" s="141">
        <v>33867446.490000002</v>
      </c>
      <c r="BC345" s="141">
        <v>43201622.770000003</v>
      </c>
      <c r="BD345" s="141">
        <v>53340463.399999999</v>
      </c>
      <c r="BE345" s="141">
        <v>66014155.060000002</v>
      </c>
      <c r="BF345" s="141">
        <v>76635443.950000003</v>
      </c>
      <c r="BG345" s="141">
        <v>78177047.359999999</v>
      </c>
      <c r="BH345" s="141">
        <v>78588087.150000006</v>
      </c>
      <c r="BI345" s="141">
        <v>79257652.010000005</v>
      </c>
      <c r="BJ345" s="141">
        <v>79313506.829999998</v>
      </c>
      <c r="BK345" s="141">
        <v>79570881.079999998</v>
      </c>
      <c r="BL345" s="141">
        <v>79612075.349999994</v>
      </c>
      <c r="BM345" s="141">
        <v>79563529.019999996</v>
      </c>
      <c r="BN345" s="141">
        <v>79639509.519999996</v>
      </c>
      <c r="BU345" s="141">
        <v>79639509.519999996</v>
      </c>
    </row>
    <row r="346" spans="1:73" ht="14.4" x14ac:dyDescent="0.3">
      <c r="A346" s="160" t="s">
        <v>245</v>
      </c>
      <c r="B346" s="161">
        <v>2002</v>
      </c>
      <c r="C346" s="161">
        <v>7677.1799999999985</v>
      </c>
      <c r="D346" s="161">
        <v>-3201762.4</v>
      </c>
      <c r="E346" s="161">
        <v>6839333.9399999995</v>
      </c>
      <c r="F346" s="161">
        <v>11740750.25</v>
      </c>
      <c r="G346" s="161">
        <v>15353285.32</v>
      </c>
      <c r="H346" s="161">
        <v>18323323.849999998</v>
      </c>
      <c r="I346" s="161">
        <v>18795332.099999998</v>
      </c>
      <c r="J346" s="161">
        <v>18898662.659999996</v>
      </c>
      <c r="K346" s="161">
        <v>18954132.959999997</v>
      </c>
      <c r="L346" s="161">
        <v>18959864.939999998</v>
      </c>
      <c r="M346" s="161">
        <v>18960744.939999998</v>
      </c>
      <c r="N346" s="161">
        <v>18969473.049999997</v>
      </c>
      <c r="O346" s="161">
        <v>18969473.049999997</v>
      </c>
      <c r="P346" s="161">
        <v>18969473.049999997</v>
      </c>
      <c r="Q346" s="149"/>
      <c r="R346" s="149"/>
      <c r="S346" s="149"/>
      <c r="T346" s="149"/>
      <c r="U346" s="149"/>
      <c r="V346" s="149"/>
      <c r="W346" s="149"/>
      <c r="X346" s="161">
        <v>18969473.049999997</v>
      </c>
      <c r="Y346" s="145"/>
      <c r="Z346" s="145"/>
      <c r="AX346" s="141" t="s">
        <v>254</v>
      </c>
      <c r="AY346" s="141">
        <v>1999</v>
      </c>
      <c r="AZ346" s="141">
        <v>9712863.7400000002</v>
      </c>
      <c r="BA346" s="141">
        <v>24355119.359999999</v>
      </c>
      <c r="BB346" s="141">
        <v>43670212.079999998</v>
      </c>
      <c r="BC346" s="141">
        <v>64304291.990000002</v>
      </c>
      <c r="BD346" s="141">
        <v>81137097.230000004</v>
      </c>
      <c r="BE346" s="141">
        <v>104110374.05</v>
      </c>
      <c r="BF346" s="141">
        <v>109610933.63</v>
      </c>
      <c r="BG346" s="141">
        <v>113261917.37</v>
      </c>
      <c r="BH346" s="141">
        <v>114538435.54000001</v>
      </c>
      <c r="BI346" s="141">
        <v>115727636.31999999</v>
      </c>
      <c r="BJ346" s="141">
        <v>115691447.08</v>
      </c>
      <c r="BK346" s="141">
        <v>116428634.34</v>
      </c>
      <c r="BL346" s="141">
        <v>114768385.33</v>
      </c>
      <c r="BM346" s="141">
        <v>114793778.45</v>
      </c>
      <c r="BU346" s="141">
        <v>114793778.45</v>
      </c>
    </row>
    <row r="347" spans="1:73" ht="14.4" x14ac:dyDescent="0.3">
      <c r="A347" s="160" t="s">
        <v>245</v>
      </c>
      <c r="B347" s="161">
        <v>2003</v>
      </c>
      <c r="C347" s="161">
        <v>9139.25</v>
      </c>
      <c r="D347" s="161">
        <v>24536.78</v>
      </c>
      <c r="E347" s="161">
        <v>1828363.81</v>
      </c>
      <c r="F347" s="161">
        <v>4398642.43</v>
      </c>
      <c r="G347" s="161">
        <v>5263682.04</v>
      </c>
      <c r="H347" s="161">
        <v>5650932.4000000004</v>
      </c>
      <c r="I347" s="161">
        <v>8433748.9600000009</v>
      </c>
      <c r="J347" s="161">
        <v>15401818.329999998</v>
      </c>
      <c r="K347" s="161">
        <v>16781885.810000002</v>
      </c>
      <c r="L347" s="161">
        <v>20190054.449999999</v>
      </c>
      <c r="M347" s="161">
        <v>20190054.449999999</v>
      </c>
      <c r="N347" s="161">
        <v>20197798.75</v>
      </c>
      <c r="O347" s="161">
        <v>20197798.75</v>
      </c>
      <c r="P347" s="149"/>
      <c r="Q347" s="149"/>
      <c r="R347" s="149"/>
      <c r="S347" s="149"/>
      <c r="T347" s="149"/>
      <c r="U347" s="149"/>
      <c r="V347" s="149"/>
      <c r="W347" s="149"/>
      <c r="X347" s="161">
        <v>20197798.75</v>
      </c>
      <c r="Y347" s="145"/>
      <c r="Z347" s="145"/>
      <c r="AX347" s="141" t="s">
        <v>254</v>
      </c>
      <c r="AY347" s="141">
        <v>2000</v>
      </c>
      <c r="AZ347" s="141">
        <v>14303167.710000001</v>
      </c>
      <c r="BA347" s="141">
        <v>35569916.030000001</v>
      </c>
      <c r="BB347" s="141">
        <v>69051060.829999998</v>
      </c>
      <c r="BC347" s="141">
        <v>107284407.33</v>
      </c>
      <c r="BD347" s="141">
        <v>132528931.05</v>
      </c>
      <c r="BE347" s="141">
        <v>143591128.97999999</v>
      </c>
      <c r="BF347" s="141">
        <v>151024145.25</v>
      </c>
      <c r="BG347" s="141">
        <v>152322149.69999999</v>
      </c>
      <c r="BH347" s="141">
        <v>152597702.80000001</v>
      </c>
      <c r="BI347" s="141">
        <v>153523280.72999999</v>
      </c>
      <c r="BJ347" s="141">
        <v>153842840.81999999</v>
      </c>
      <c r="BK347" s="141">
        <v>153681380.50999999</v>
      </c>
      <c r="BL347" s="141">
        <v>153723160.59999999</v>
      </c>
      <c r="BU347" s="141">
        <v>153723160.59999999</v>
      </c>
    </row>
    <row r="348" spans="1:73" ht="14.4" x14ac:dyDescent="0.3">
      <c r="A348" s="160" t="s">
        <v>245</v>
      </c>
      <c r="B348" s="161">
        <v>2004</v>
      </c>
      <c r="C348" s="161">
        <v>12157.89</v>
      </c>
      <c r="D348" s="161">
        <v>1145758.17</v>
      </c>
      <c r="E348" s="161">
        <v>6968292.5199999996</v>
      </c>
      <c r="F348" s="161">
        <v>12803078.09</v>
      </c>
      <c r="G348" s="161">
        <v>13306757.49</v>
      </c>
      <c r="H348" s="161">
        <v>13329766.530000001</v>
      </c>
      <c r="I348" s="161">
        <v>13338281.950000001</v>
      </c>
      <c r="J348" s="161">
        <v>13339787.23</v>
      </c>
      <c r="K348" s="161">
        <v>13339787.23</v>
      </c>
      <c r="L348" s="161">
        <v>13339787.9</v>
      </c>
      <c r="M348" s="161">
        <v>13339787.9</v>
      </c>
      <c r="N348" s="161">
        <v>13339787.9</v>
      </c>
      <c r="O348" s="149"/>
      <c r="P348" s="149"/>
      <c r="Q348" s="149"/>
      <c r="R348" s="149"/>
      <c r="S348" s="149"/>
      <c r="T348" s="149"/>
      <c r="U348" s="149"/>
      <c r="V348" s="149"/>
      <c r="W348" s="149"/>
      <c r="X348" s="161">
        <v>13339787.9</v>
      </c>
      <c r="Y348" s="145"/>
      <c r="Z348" s="145"/>
      <c r="AX348" s="141" t="s">
        <v>254</v>
      </c>
      <c r="AY348" s="141">
        <v>2001</v>
      </c>
      <c r="AZ348" s="141">
        <v>19559435.579999998</v>
      </c>
      <c r="BA348" s="141">
        <v>45378198.460000001</v>
      </c>
      <c r="BB348" s="141">
        <v>92861636.540000007</v>
      </c>
      <c r="BC348" s="141">
        <v>130988964.64</v>
      </c>
      <c r="BD348" s="141">
        <v>152885736.86000001</v>
      </c>
      <c r="BE348" s="141">
        <v>166601759.81</v>
      </c>
      <c r="BF348" s="141">
        <v>170707414.12</v>
      </c>
      <c r="BG348" s="141">
        <v>171868272.91</v>
      </c>
      <c r="BH348" s="141">
        <v>172947838.16</v>
      </c>
      <c r="BI348" s="141">
        <v>172575869.08000001</v>
      </c>
      <c r="BJ348" s="141">
        <v>172346079.66</v>
      </c>
      <c r="BK348" s="141">
        <v>172366898.71000001</v>
      </c>
      <c r="BU348" s="141">
        <v>172366898.71000001</v>
      </c>
    </row>
    <row r="349" spans="1:73" ht="14.4" x14ac:dyDescent="0.3">
      <c r="A349" s="160" t="s">
        <v>245</v>
      </c>
      <c r="B349" s="161">
        <v>2005</v>
      </c>
      <c r="C349" s="161">
        <v>25025.439999999999</v>
      </c>
      <c r="D349" s="161">
        <v>761383.46</v>
      </c>
      <c r="E349" s="161">
        <v>6280662.4299999997</v>
      </c>
      <c r="F349" s="161">
        <v>17157372.27</v>
      </c>
      <c r="G349" s="161">
        <v>20471266.02</v>
      </c>
      <c r="H349" s="161">
        <v>21104294.140000001</v>
      </c>
      <c r="I349" s="161">
        <v>20927445.27</v>
      </c>
      <c r="J349" s="161">
        <v>20928040.27</v>
      </c>
      <c r="K349" s="161">
        <v>20928582.77</v>
      </c>
      <c r="L349" s="161">
        <v>20928582.77</v>
      </c>
      <c r="M349" s="161">
        <v>20928582.77</v>
      </c>
      <c r="N349" s="149"/>
      <c r="O349" s="149"/>
      <c r="P349" s="149"/>
      <c r="Q349" s="149"/>
      <c r="R349" s="149"/>
      <c r="S349" s="149"/>
      <c r="T349" s="149"/>
      <c r="U349" s="149"/>
      <c r="V349" s="149"/>
      <c r="W349" s="149"/>
      <c r="X349" s="161">
        <v>20928582.77</v>
      </c>
      <c r="Y349" s="145"/>
      <c r="Z349" s="145"/>
      <c r="AX349" s="141" t="s">
        <v>254</v>
      </c>
      <c r="AY349" s="141">
        <v>2002</v>
      </c>
      <c r="AZ349" s="141">
        <v>17642395.170000002</v>
      </c>
      <c r="BA349" s="141">
        <v>44884815.130000003</v>
      </c>
      <c r="BB349" s="141">
        <v>77441872.680000007</v>
      </c>
      <c r="BC349" s="141">
        <v>107478808.2</v>
      </c>
      <c r="BD349" s="141">
        <v>128761098.04000001</v>
      </c>
      <c r="BE349" s="141">
        <v>138173549.09</v>
      </c>
      <c r="BF349" s="141">
        <v>139319543.41999999</v>
      </c>
      <c r="BG349" s="141">
        <v>139860059.36000001</v>
      </c>
      <c r="BH349" s="141">
        <v>141301659.34999999</v>
      </c>
      <c r="BI349" s="141">
        <v>141517722.93000001</v>
      </c>
      <c r="BJ349" s="141">
        <v>142464091.68000001</v>
      </c>
      <c r="BU349" s="141">
        <v>142464091.68000001</v>
      </c>
    </row>
    <row r="350" spans="1:73" ht="14.4" x14ac:dyDescent="0.3">
      <c r="A350" s="160" t="s">
        <v>245</v>
      </c>
      <c r="B350" s="161">
        <v>2006</v>
      </c>
      <c r="C350" s="161">
        <v>14599.5</v>
      </c>
      <c r="D350" s="161">
        <v>641948.97</v>
      </c>
      <c r="E350" s="161">
        <v>1484107.8900000001</v>
      </c>
      <c r="F350" s="161">
        <v>3975716.4000000004</v>
      </c>
      <c r="G350" s="161">
        <v>8540112.7699999996</v>
      </c>
      <c r="H350" s="161">
        <v>8427901.3000000007</v>
      </c>
      <c r="I350" s="161">
        <v>8430274.8699999992</v>
      </c>
      <c r="J350" s="161">
        <v>15682025.24</v>
      </c>
      <c r="K350" s="161">
        <v>15689111.75</v>
      </c>
      <c r="L350" s="161">
        <v>15689309.689999999</v>
      </c>
      <c r="M350" s="149"/>
      <c r="N350" s="149"/>
      <c r="O350" s="149"/>
      <c r="P350" s="149"/>
      <c r="Q350" s="149"/>
      <c r="R350" s="149"/>
      <c r="S350" s="149"/>
      <c r="T350" s="149"/>
      <c r="U350" s="149"/>
      <c r="V350" s="149"/>
      <c r="W350" s="149"/>
      <c r="X350" s="161">
        <v>15689309.689999999</v>
      </c>
      <c r="Y350" s="145"/>
      <c r="Z350" s="145"/>
      <c r="AX350" s="141" t="s">
        <v>254</v>
      </c>
      <c r="AY350" s="141">
        <v>2003</v>
      </c>
      <c r="AZ350" s="141">
        <v>12901308.810000001</v>
      </c>
      <c r="BA350" s="141">
        <v>35748698.060000002</v>
      </c>
      <c r="BB350" s="141">
        <v>58017970</v>
      </c>
      <c r="BC350" s="141">
        <v>78399934.069999993</v>
      </c>
      <c r="BD350" s="141">
        <v>95687605.019999996</v>
      </c>
      <c r="BE350" s="141">
        <v>104055638.03</v>
      </c>
      <c r="BF350" s="141">
        <v>107535336.59999999</v>
      </c>
      <c r="BG350" s="141">
        <v>110499378.37</v>
      </c>
      <c r="BH350" s="141">
        <v>110808773.09</v>
      </c>
      <c r="BI350" s="141">
        <v>111030440.09</v>
      </c>
      <c r="BU350" s="141">
        <v>111030440.09</v>
      </c>
    </row>
    <row r="351" spans="1:73" ht="14.4" x14ac:dyDescent="0.3">
      <c r="A351" s="160" t="s">
        <v>245</v>
      </c>
      <c r="B351" s="161">
        <v>2007</v>
      </c>
      <c r="C351" s="161">
        <v>22587.84</v>
      </c>
      <c r="D351" s="161">
        <v>6130627.8200000003</v>
      </c>
      <c r="E351" s="161">
        <v>8365500.7300000004</v>
      </c>
      <c r="F351" s="161">
        <v>9222621.9900000002</v>
      </c>
      <c r="G351" s="161">
        <v>12988257.449999999</v>
      </c>
      <c r="H351" s="161">
        <v>13913023.719999999</v>
      </c>
      <c r="I351" s="161">
        <v>17764054.16</v>
      </c>
      <c r="J351" s="161">
        <v>17952725.050000001</v>
      </c>
      <c r="K351" s="161">
        <v>20601879.75</v>
      </c>
      <c r="L351" s="149"/>
      <c r="M351" s="149"/>
      <c r="N351" s="149"/>
      <c r="O351" s="149"/>
      <c r="P351" s="149"/>
      <c r="Q351" s="149"/>
      <c r="R351" s="149"/>
      <c r="S351" s="149"/>
      <c r="T351" s="149"/>
      <c r="U351" s="149"/>
      <c r="V351" s="149"/>
      <c r="W351" s="149"/>
      <c r="X351" s="161">
        <v>20601879.75</v>
      </c>
      <c r="Y351" s="145"/>
      <c r="Z351" s="145"/>
      <c r="AX351" s="141" t="s">
        <v>254</v>
      </c>
      <c r="AY351" s="141">
        <v>2004</v>
      </c>
      <c r="AZ351" s="141">
        <v>12004697.310000001</v>
      </c>
      <c r="BA351" s="141">
        <v>28704317.739999998</v>
      </c>
      <c r="BB351" s="141">
        <v>49964841.969999999</v>
      </c>
      <c r="BC351" s="141">
        <v>68786062.170000002</v>
      </c>
      <c r="BD351" s="141">
        <v>80893443.549999997</v>
      </c>
      <c r="BE351" s="141">
        <v>87065754.75</v>
      </c>
      <c r="BF351" s="141">
        <v>89655798.390000001</v>
      </c>
      <c r="BG351" s="141">
        <v>90320577.939999998</v>
      </c>
      <c r="BH351" s="141">
        <v>90773861.079999998</v>
      </c>
      <c r="BU351" s="141">
        <v>90773861.079999998</v>
      </c>
    </row>
    <row r="352" spans="1:73" ht="14.4" x14ac:dyDescent="0.3">
      <c r="A352" s="160" t="s">
        <v>245</v>
      </c>
      <c r="B352" s="161">
        <v>2008</v>
      </c>
      <c r="C352" s="161">
        <v>906466.22</v>
      </c>
      <c r="D352" s="161">
        <v>2004043.95</v>
      </c>
      <c r="E352" s="161">
        <v>9879610.5800000001</v>
      </c>
      <c r="F352" s="161">
        <v>20492583.049999997</v>
      </c>
      <c r="G352" s="161">
        <v>28975997.859999999</v>
      </c>
      <c r="H352" s="161">
        <v>24357470.899999999</v>
      </c>
      <c r="I352" s="161">
        <v>29181265.190000001</v>
      </c>
      <c r="J352" s="161">
        <v>29192963.809999999</v>
      </c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149"/>
      <c r="W352" s="149"/>
      <c r="X352" s="161">
        <v>29192963.809999999</v>
      </c>
      <c r="Y352" s="145"/>
      <c r="Z352" s="145"/>
      <c r="AX352" s="141" t="s">
        <v>254</v>
      </c>
      <c r="AY352" s="141">
        <v>2005</v>
      </c>
      <c r="AZ352" s="141">
        <v>9336947.3900000006</v>
      </c>
      <c r="BA352" s="141">
        <v>23722073.850000001</v>
      </c>
      <c r="BB352" s="141">
        <v>40033997.990000002</v>
      </c>
      <c r="BC352" s="141">
        <v>57057404.549999997</v>
      </c>
      <c r="BD352" s="141">
        <v>68868045.359999999</v>
      </c>
      <c r="BE352" s="141">
        <v>82361570.930000007</v>
      </c>
      <c r="BF352" s="141">
        <v>83964180.75</v>
      </c>
      <c r="BG352" s="141">
        <v>83382419.549999997</v>
      </c>
      <c r="BU352" s="141">
        <v>83382419.549999997</v>
      </c>
    </row>
    <row r="353" spans="1:73" ht="14.4" x14ac:dyDescent="0.3">
      <c r="A353" s="160" t="s">
        <v>245</v>
      </c>
      <c r="B353" s="161">
        <v>2009</v>
      </c>
      <c r="C353" s="161">
        <v>14756.46</v>
      </c>
      <c r="D353" s="161">
        <v>1773132.79</v>
      </c>
      <c r="E353" s="161">
        <v>9655919.7200000007</v>
      </c>
      <c r="F353" s="161">
        <v>11871468.439999999</v>
      </c>
      <c r="G353" s="161">
        <v>13244314.41</v>
      </c>
      <c r="H353" s="161">
        <v>15483800.800000001</v>
      </c>
      <c r="I353" s="161">
        <v>16141004.199999999</v>
      </c>
      <c r="J353" s="149"/>
      <c r="K353" s="149"/>
      <c r="L353" s="149"/>
      <c r="M353" s="149"/>
      <c r="N353" s="149"/>
      <c r="O353" s="149"/>
      <c r="P353" s="149"/>
      <c r="Q353" s="149"/>
      <c r="R353" s="149"/>
      <c r="S353" s="149"/>
      <c r="T353" s="149"/>
      <c r="U353" s="149"/>
      <c r="V353" s="149"/>
      <c r="W353" s="149"/>
      <c r="X353" s="161">
        <v>16141004.199999999</v>
      </c>
      <c r="Y353" s="145"/>
      <c r="Z353" s="145"/>
      <c r="AX353" s="141" t="s">
        <v>254</v>
      </c>
      <c r="AY353" s="141">
        <v>2006</v>
      </c>
      <c r="AZ353" s="141">
        <v>7761191.6399999997</v>
      </c>
      <c r="BA353" s="141">
        <v>20943901.460000001</v>
      </c>
      <c r="BB353" s="141">
        <v>35505931.579999998</v>
      </c>
      <c r="BC353" s="141">
        <v>50660289.530000001</v>
      </c>
      <c r="BD353" s="141">
        <v>62393391.939999998</v>
      </c>
      <c r="BE353" s="141">
        <v>67282934.659999996</v>
      </c>
      <c r="BF353" s="141">
        <v>69707576.950000003</v>
      </c>
      <c r="BU353" s="141">
        <v>69707576.950000003</v>
      </c>
    </row>
    <row r="354" spans="1:73" ht="14.4" x14ac:dyDescent="0.3">
      <c r="A354" s="160" t="s">
        <v>245</v>
      </c>
      <c r="B354" s="161">
        <v>2010</v>
      </c>
      <c r="C354" s="161">
        <v>2384</v>
      </c>
      <c r="D354" s="161">
        <v>1066587.01</v>
      </c>
      <c r="E354" s="161">
        <v>4423682.09</v>
      </c>
      <c r="F354" s="161">
        <v>10873093.310000001</v>
      </c>
      <c r="G354" s="161">
        <v>25464845.129999999</v>
      </c>
      <c r="H354" s="161">
        <v>26655743.489999998</v>
      </c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/>
      <c r="T354" s="149"/>
      <c r="U354" s="149"/>
      <c r="V354" s="149"/>
      <c r="W354" s="149"/>
      <c r="X354" s="161">
        <v>26655743.489999998</v>
      </c>
      <c r="Y354" s="145"/>
      <c r="Z354" s="145"/>
      <c r="AX354" s="141" t="s">
        <v>254</v>
      </c>
      <c r="AY354" s="141">
        <v>2007</v>
      </c>
      <c r="AZ354" s="141">
        <v>7715090.2999999998</v>
      </c>
      <c r="BA354" s="141">
        <v>19524576.960000001</v>
      </c>
      <c r="BB354" s="141">
        <v>28562751.600000001</v>
      </c>
      <c r="BC354" s="141">
        <v>38983099.109999999</v>
      </c>
      <c r="BD354" s="141">
        <v>44182695.200000003</v>
      </c>
      <c r="BE354" s="141">
        <v>46716725.939999998</v>
      </c>
      <c r="BU354" s="141">
        <v>46716725.939999998</v>
      </c>
    </row>
    <row r="355" spans="1:73" ht="14.4" x14ac:dyDescent="0.3">
      <c r="A355" s="160" t="s">
        <v>245</v>
      </c>
      <c r="B355" s="161">
        <v>2011</v>
      </c>
      <c r="C355" s="161">
        <v>0</v>
      </c>
      <c r="D355" s="161">
        <v>10387462.550000001</v>
      </c>
      <c r="E355" s="161">
        <v>22395719.830000002</v>
      </c>
      <c r="F355" s="161">
        <v>30277485.059999999</v>
      </c>
      <c r="G355" s="161">
        <v>46424023.190000005</v>
      </c>
      <c r="H355" s="149"/>
      <c r="I355" s="149"/>
      <c r="J355" s="149"/>
      <c r="K355" s="149"/>
      <c r="L355" s="149"/>
      <c r="M355" s="149"/>
      <c r="N355" s="149"/>
      <c r="O355" s="149"/>
      <c r="P355" s="149"/>
      <c r="Q355" s="149"/>
      <c r="R355" s="149"/>
      <c r="S355" s="149"/>
      <c r="T355" s="149"/>
      <c r="U355" s="149"/>
      <c r="V355" s="149"/>
      <c r="W355" s="149"/>
      <c r="X355" s="161">
        <v>46424023.190000005</v>
      </c>
      <c r="Y355" s="145"/>
      <c r="Z355" s="145"/>
      <c r="AX355" s="141" t="s">
        <v>254</v>
      </c>
      <c r="AY355" s="141">
        <v>2008</v>
      </c>
      <c r="AZ355" s="141">
        <v>4372127.26</v>
      </c>
      <c r="BA355" s="141">
        <v>10547875.859999999</v>
      </c>
      <c r="BB355" s="141">
        <v>16882313.469999999</v>
      </c>
      <c r="BC355" s="141">
        <v>22055490.379999999</v>
      </c>
      <c r="BD355" s="141">
        <v>26149883.190000001</v>
      </c>
      <c r="BU355" s="141">
        <v>26149883.190000001</v>
      </c>
    </row>
    <row r="356" spans="1:73" ht="14.4" x14ac:dyDescent="0.3">
      <c r="A356" s="160" t="s">
        <v>245</v>
      </c>
      <c r="B356" s="161">
        <v>2012</v>
      </c>
      <c r="C356" s="161">
        <v>0</v>
      </c>
      <c r="D356" s="161">
        <v>15671964.9</v>
      </c>
      <c r="E356" s="161">
        <v>31657422.800000001</v>
      </c>
      <c r="F356" s="161">
        <v>67553733.579999998</v>
      </c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/>
      <c r="T356" s="149"/>
      <c r="U356" s="149"/>
      <c r="V356" s="149"/>
      <c r="W356" s="149"/>
      <c r="X356" s="161">
        <v>67553733.579999998</v>
      </c>
      <c r="Y356" s="145"/>
      <c r="Z356" s="145"/>
      <c r="AX356" s="141" t="s">
        <v>254</v>
      </c>
      <c r="AY356" s="141">
        <v>2009</v>
      </c>
      <c r="AZ356" s="141">
        <v>3632372.1</v>
      </c>
      <c r="BA356" s="141">
        <v>8282857.8499999996</v>
      </c>
      <c r="BB356" s="141">
        <v>13648200.710000001</v>
      </c>
      <c r="BC356" s="141">
        <v>19603228.449999999</v>
      </c>
      <c r="BU356" s="141">
        <v>19603228.449999999</v>
      </c>
    </row>
    <row r="357" spans="1:73" ht="14.4" x14ac:dyDescent="0.3">
      <c r="A357" s="160" t="s">
        <v>245</v>
      </c>
      <c r="B357" s="161">
        <v>2013</v>
      </c>
      <c r="C357" s="161">
        <v>46670.41</v>
      </c>
      <c r="D357" s="161">
        <v>4758438.21</v>
      </c>
      <c r="E357" s="161">
        <v>41536932.120000005</v>
      </c>
      <c r="F357" s="149"/>
      <c r="G357" s="149"/>
      <c r="H357" s="149"/>
      <c r="I357" s="149"/>
      <c r="J357" s="149"/>
      <c r="K357" s="149"/>
      <c r="L357" s="149"/>
      <c r="M357" s="149"/>
      <c r="N357" s="149"/>
      <c r="O357" s="149"/>
      <c r="P357" s="149"/>
      <c r="Q357" s="149"/>
      <c r="R357" s="149"/>
      <c r="S357" s="149"/>
      <c r="T357" s="149"/>
      <c r="U357" s="149"/>
      <c r="V357" s="149"/>
      <c r="W357" s="149"/>
      <c r="X357" s="161">
        <v>41536932.120000005</v>
      </c>
      <c r="Y357" s="145"/>
      <c r="Z357" s="145"/>
      <c r="AX357" s="141" t="s">
        <v>254</v>
      </c>
      <c r="AY357" s="141">
        <v>2010</v>
      </c>
      <c r="AZ357" s="141">
        <v>3111749.6</v>
      </c>
      <c r="BA357" s="141">
        <v>8786998.1400000006</v>
      </c>
      <c r="BB357" s="141">
        <v>13589709.380000001</v>
      </c>
      <c r="BU357" s="141">
        <v>13589709.380000001</v>
      </c>
    </row>
    <row r="358" spans="1:73" ht="14.4" x14ac:dyDescent="0.3">
      <c r="A358" s="160" t="s">
        <v>245</v>
      </c>
      <c r="B358" s="161">
        <v>2014</v>
      </c>
      <c r="C358" s="161">
        <v>0</v>
      </c>
      <c r="D358" s="161">
        <v>5870294.9000000004</v>
      </c>
      <c r="E358" s="149"/>
      <c r="F358" s="149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/>
      <c r="T358" s="149"/>
      <c r="U358" s="149"/>
      <c r="V358" s="149"/>
      <c r="W358" s="149"/>
      <c r="X358" s="161">
        <v>5870294.9000000004</v>
      </c>
      <c r="Y358" s="145"/>
      <c r="Z358" s="145"/>
      <c r="AX358" s="141" t="s">
        <v>254</v>
      </c>
      <c r="AY358" s="141">
        <v>2011</v>
      </c>
      <c r="AZ358" s="141">
        <v>4125747.67</v>
      </c>
      <c r="BA358" s="141">
        <v>12457691.98</v>
      </c>
      <c r="BU358" s="141">
        <v>12457691.98</v>
      </c>
    </row>
    <row r="359" spans="1:73" ht="14.4" x14ac:dyDescent="0.3">
      <c r="A359" s="160" t="s">
        <v>245</v>
      </c>
      <c r="B359" s="161">
        <v>2015</v>
      </c>
      <c r="C359" s="161">
        <v>60</v>
      </c>
      <c r="D359" s="149"/>
      <c r="E359" s="149"/>
      <c r="F359" s="149"/>
      <c r="G359" s="149"/>
      <c r="H359" s="149"/>
      <c r="I359" s="149"/>
      <c r="J359" s="149"/>
      <c r="K359" s="149"/>
      <c r="L359" s="149"/>
      <c r="M359" s="149"/>
      <c r="N359" s="149"/>
      <c r="O359" s="149"/>
      <c r="P359" s="149"/>
      <c r="Q359" s="149"/>
      <c r="R359" s="149"/>
      <c r="S359" s="149"/>
      <c r="T359" s="149"/>
      <c r="U359" s="149"/>
      <c r="V359" s="149"/>
      <c r="W359" s="149"/>
      <c r="X359" s="161">
        <v>60</v>
      </c>
      <c r="Y359" s="145"/>
      <c r="Z359" s="145"/>
      <c r="AX359" s="141" t="s">
        <v>254</v>
      </c>
      <c r="AY359" s="141">
        <v>2012</v>
      </c>
      <c r="AZ359" s="141">
        <v>3585537.41</v>
      </c>
      <c r="BU359" s="141">
        <v>3585537.41</v>
      </c>
    </row>
    <row r="360" spans="1:73" ht="14.4" x14ac:dyDescent="0.3">
      <c r="A360" s="160" t="s">
        <v>246</v>
      </c>
      <c r="B360" s="161">
        <v>1995</v>
      </c>
      <c r="C360" s="161">
        <v>1205.6600000000001</v>
      </c>
      <c r="D360" s="161">
        <v>4329.93</v>
      </c>
      <c r="E360" s="161">
        <v>12581.66</v>
      </c>
      <c r="F360" s="161">
        <v>18426.939999999999</v>
      </c>
      <c r="G360" s="161">
        <v>22700.3</v>
      </c>
      <c r="H360" s="161">
        <v>303974.05</v>
      </c>
      <c r="I360" s="161">
        <v>303974.05</v>
      </c>
      <c r="J360" s="161">
        <v>303974.05</v>
      </c>
      <c r="K360" s="161">
        <v>303974.05</v>
      </c>
      <c r="L360" s="161">
        <v>303974.05</v>
      </c>
      <c r="M360" s="161">
        <v>303974.05</v>
      </c>
      <c r="N360" s="161">
        <v>303974.05</v>
      </c>
      <c r="O360" s="161">
        <v>303974.05</v>
      </c>
      <c r="P360" s="161">
        <v>303974.05</v>
      </c>
      <c r="Q360" s="161">
        <v>303974.05</v>
      </c>
      <c r="R360" s="161">
        <v>303974.05</v>
      </c>
      <c r="S360" s="161">
        <v>303974.05</v>
      </c>
      <c r="T360" s="161">
        <v>303974.05</v>
      </c>
      <c r="U360" s="161">
        <v>303974.05</v>
      </c>
      <c r="V360" s="161">
        <v>303974.05</v>
      </c>
      <c r="W360" s="161">
        <v>303974.05</v>
      </c>
      <c r="X360" s="161">
        <v>303974.05</v>
      </c>
      <c r="Y360" s="145"/>
      <c r="Z360" s="145"/>
      <c r="AX360" s="141" t="s">
        <v>240</v>
      </c>
      <c r="AY360" s="141">
        <v>1992</v>
      </c>
      <c r="AZ360" s="141">
        <v>0</v>
      </c>
      <c r="BA360" s="141">
        <v>0</v>
      </c>
      <c r="BB360" s="141">
        <v>0</v>
      </c>
      <c r="BC360" s="141">
        <v>0</v>
      </c>
      <c r="BD360" s="141">
        <v>1479.97</v>
      </c>
      <c r="BE360" s="141">
        <v>1479.97</v>
      </c>
      <c r="BF360" s="141">
        <v>1479.97</v>
      </c>
      <c r="BG360" s="141">
        <v>1479.97</v>
      </c>
      <c r="BH360" s="141">
        <v>1479.97</v>
      </c>
      <c r="BI360" s="141">
        <v>1479.97</v>
      </c>
      <c r="BJ360" s="141">
        <v>1479.97</v>
      </c>
      <c r="BK360" s="141">
        <v>1479.97</v>
      </c>
      <c r="BL360" s="141">
        <v>1479.97</v>
      </c>
      <c r="BM360" s="141">
        <v>1479.97</v>
      </c>
      <c r="BN360" s="141">
        <v>1479.97</v>
      </c>
      <c r="BO360" s="141">
        <v>1479.97</v>
      </c>
      <c r="BP360" s="141">
        <v>1479.97</v>
      </c>
      <c r="BQ360" s="141">
        <v>1479.97</v>
      </c>
      <c r="BR360" s="141">
        <v>1479.97</v>
      </c>
      <c r="BS360" s="141">
        <v>1479.97</v>
      </c>
      <c r="BT360" s="141">
        <v>1479.97</v>
      </c>
      <c r="BU360" s="141">
        <v>1479.97</v>
      </c>
    </row>
    <row r="361" spans="1:73" ht="14.4" x14ac:dyDescent="0.3">
      <c r="A361" s="160" t="s">
        <v>246</v>
      </c>
      <c r="B361" s="161">
        <v>1996</v>
      </c>
      <c r="C361" s="161">
        <v>47197.24</v>
      </c>
      <c r="D361" s="161">
        <v>113758.02</v>
      </c>
      <c r="E361" s="161">
        <v>141200.87</v>
      </c>
      <c r="F361" s="161">
        <v>142601.95000000001</v>
      </c>
      <c r="G361" s="161">
        <v>142601.96</v>
      </c>
      <c r="H361" s="161">
        <v>142601.95000000001</v>
      </c>
      <c r="I361" s="161">
        <v>142710.75</v>
      </c>
      <c r="J361" s="161">
        <v>1585227.2</v>
      </c>
      <c r="K361" s="161">
        <v>2353507.7199999997</v>
      </c>
      <c r="L361" s="161">
        <v>2353626.65</v>
      </c>
      <c r="M361" s="161">
        <v>2370999.29</v>
      </c>
      <c r="N361" s="161">
        <v>2370999.29</v>
      </c>
      <c r="O361" s="161">
        <v>3597144.25</v>
      </c>
      <c r="P361" s="161">
        <v>3621915.7199999997</v>
      </c>
      <c r="Q361" s="161">
        <v>4283027.79</v>
      </c>
      <c r="R361" s="161">
        <v>4283027.79</v>
      </c>
      <c r="S361" s="161">
        <v>4283027.79</v>
      </c>
      <c r="T361" s="161">
        <v>4283027.79</v>
      </c>
      <c r="U361" s="161">
        <v>4283027.79</v>
      </c>
      <c r="V361" s="161">
        <v>4283027.79</v>
      </c>
      <c r="W361" s="149"/>
      <c r="X361" s="161">
        <v>4283027.79</v>
      </c>
      <c r="Y361" s="145"/>
      <c r="Z361" s="145"/>
      <c r="AX361" s="141" t="s">
        <v>240</v>
      </c>
      <c r="AY361" s="141">
        <v>1993</v>
      </c>
      <c r="AZ361" s="141">
        <v>0</v>
      </c>
      <c r="BA361" s="141">
        <v>0</v>
      </c>
      <c r="BB361" s="141">
        <v>0</v>
      </c>
      <c r="BC361" s="141">
        <v>0</v>
      </c>
      <c r="BD361" s="141">
        <v>0</v>
      </c>
      <c r="BE361" s="141">
        <v>0</v>
      </c>
      <c r="BF361" s="141">
        <v>0</v>
      </c>
      <c r="BG361" s="141">
        <v>0</v>
      </c>
      <c r="BH361" s="141">
        <v>0</v>
      </c>
      <c r="BI361" s="141">
        <v>0</v>
      </c>
      <c r="BJ361" s="141">
        <v>0</v>
      </c>
      <c r="BK361" s="141">
        <v>0</v>
      </c>
      <c r="BL361" s="141">
        <v>0</v>
      </c>
      <c r="BM361" s="141">
        <v>0</v>
      </c>
      <c r="BN361" s="141">
        <v>0</v>
      </c>
      <c r="BO361" s="141">
        <v>0</v>
      </c>
      <c r="BP361" s="141">
        <v>0</v>
      </c>
      <c r="BQ361" s="141">
        <v>0</v>
      </c>
      <c r="BR361" s="141">
        <v>0</v>
      </c>
      <c r="BS361" s="141">
        <v>0</v>
      </c>
      <c r="BU361" s="141">
        <v>0</v>
      </c>
    </row>
    <row r="362" spans="1:73" ht="14.4" x14ac:dyDescent="0.3">
      <c r="A362" s="160" t="s">
        <v>246</v>
      </c>
      <c r="B362" s="161">
        <v>1997</v>
      </c>
      <c r="C362" s="161">
        <v>24367.410000000003</v>
      </c>
      <c r="D362" s="161">
        <v>11359924</v>
      </c>
      <c r="E362" s="161">
        <v>4211251.57</v>
      </c>
      <c r="F362" s="161">
        <v>7713890.9800000004</v>
      </c>
      <c r="G362" s="161">
        <v>8453287.9000000022</v>
      </c>
      <c r="H362" s="161">
        <v>8453287.8499999978</v>
      </c>
      <c r="I362" s="161">
        <v>8453355.3499999978</v>
      </c>
      <c r="J362" s="161">
        <v>8453355.3599999994</v>
      </c>
      <c r="K362" s="161">
        <v>8453355.3599999994</v>
      </c>
      <c r="L362" s="161">
        <v>8453355.3599999994</v>
      </c>
      <c r="M362" s="161">
        <v>8453355.3599999994</v>
      </c>
      <c r="N362" s="161">
        <v>8453355.3599999994</v>
      </c>
      <c r="O362" s="161">
        <v>8453355.3599999994</v>
      </c>
      <c r="P362" s="161">
        <v>8453355.3599999994</v>
      </c>
      <c r="Q362" s="161">
        <v>8451265.3099999987</v>
      </c>
      <c r="R362" s="161">
        <v>8451265.3099999987</v>
      </c>
      <c r="S362" s="161">
        <v>8451265.3099999987</v>
      </c>
      <c r="T362" s="161">
        <v>8451265.3099999987</v>
      </c>
      <c r="U362" s="161">
        <v>8451265.3099999987</v>
      </c>
      <c r="V362" s="149"/>
      <c r="W362" s="149"/>
      <c r="X362" s="161">
        <v>8451265.3099999987</v>
      </c>
      <c r="Y362" s="145"/>
      <c r="Z362" s="145"/>
      <c r="AX362" s="141" t="s">
        <v>240</v>
      </c>
      <c r="AY362" s="141">
        <v>1994</v>
      </c>
      <c r="AZ362" s="141">
        <v>0</v>
      </c>
      <c r="BA362" s="141">
        <v>221716.93</v>
      </c>
      <c r="BB362" s="141">
        <v>225418.32</v>
      </c>
      <c r="BC362" s="141">
        <v>237250.23</v>
      </c>
      <c r="BD362" s="141">
        <v>246110.17</v>
      </c>
      <c r="BE362" s="141">
        <v>258718.7</v>
      </c>
      <c r="BF362" s="141">
        <v>258756.2</v>
      </c>
      <c r="BG362" s="141">
        <v>258756.2</v>
      </c>
      <c r="BH362" s="141">
        <v>258756.2</v>
      </c>
      <c r="BI362" s="141">
        <v>258756.2</v>
      </c>
      <c r="BJ362" s="141">
        <v>258756.2</v>
      </c>
      <c r="BK362" s="141">
        <v>258756.2</v>
      </c>
      <c r="BL362" s="141">
        <v>258756.2</v>
      </c>
      <c r="BM362" s="141">
        <v>258756.2</v>
      </c>
      <c r="BN362" s="141">
        <v>258756.2</v>
      </c>
      <c r="BO362" s="141">
        <v>258756.2</v>
      </c>
      <c r="BP362" s="141">
        <v>258756.2</v>
      </c>
      <c r="BQ362" s="141">
        <v>258756.2</v>
      </c>
      <c r="BR362" s="141">
        <v>258756.2</v>
      </c>
      <c r="BU362" s="141">
        <v>258756.2</v>
      </c>
    </row>
    <row r="363" spans="1:73" ht="14.4" x14ac:dyDescent="0.3">
      <c r="A363" s="160" t="s">
        <v>246</v>
      </c>
      <c r="B363" s="161">
        <v>1998</v>
      </c>
      <c r="C363" s="161">
        <v>6777.7300000000005</v>
      </c>
      <c r="D363" s="161">
        <v>50055.93</v>
      </c>
      <c r="E363" s="161">
        <v>50158.43</v>
      </c>
      <c r="F363" s="161">
        <v>50158.43</v>
      </c>
      <c r="G363" s="161">
        <v>50158.43</v>
      </c>
      <c r="H363" s="161">
        <v>50158.43</v>
      </c>
      <c r="I363" s="161">
        <v>50158.43</v>
      </c>
      <c r="J363" s="161">
        <v>50158.43</v>
      </c>
      <c r="K363" s="161">
        <v>50158.43</v>
      </c>
      <c r="L363" s="161">
        <v>50158.43</v>
      </c>
      <c r="M363" s="161">
        <v>50158.43</v>
      </c>
      <c r="N363" s="161">
        <v>50158.43</v>
      </c>
      <c r="O363" s="161">
        <v>50158.43</v>
      </c>
      <c r="P363" s="161">
        <v>50158.43</v>
      </c>
      <c r="Q363" s="161">
        <v>50158.43</v>
      </c>
      <c r="R363" s="161">
        <v>50158.43</v>
      </c>
      <c r="S363" s="161">
        <v>50158.43</v>
      </c>
      <c r="T363" s="161">
        <v>50158.43</v>
      </c>
      <c r="U363" s="149"/>
      <c r="V363" s="149"/>
      <c r="W363" s="149"/>
      <c r="X363" s="161">
        <v>50158.43</v>
      </c>
      <c r="Y363" s="145"/>
      <c r="Z363" s="145"/>
      <c r="AX363" s="141" t="s">
        <v>240</v>
      </c>
      <c r="AY363" s="141">
        <v>1995</v>
      </c>
      <c r="AZ363" s="141">
        <v>3218549.45</v>
      </c>
      <c r="BA363" s="141">
        <v>7168160.9900000002</v>
      </c>
      <c r="BB363" s="141">
        <v>11005857.189999999</v>
      </c>
      <c r="BC363" s="141">
        <v>14394691.35</v>
      </c>
      <c r="BD363" s="141">
        <v>15633171.859999999</v>
      </c>
      <c r="BE363" s="141">
        <v>16712576</v>
      </c>
      <c r="BF363" s="141">
        <v>17313931.82</v>
      </c>
      <c r="BG363" s="141">
        <v>17486340.870000001</v>
      </c>
      <c r="BH363" s="141">
        <v>18125697.609999999</v>
      </c>
      <c r="BI363" s="141">
        <v>18137078.780000001</v>
      </c>
      <c r="BJ363" s="141">
        <v>18296686.579999998</v>
      </c>
      <c r="BK363" s="141">
        <v>18297425.079999998</v>
      </c>
      <c r="BL363" s="141">
        <v>18297525.079999998</v>
      </c>
      <c r="BM363" s="141">
        <v>18297419.079999998</v>
      </c>
      <c r="BN363" s="141">
        <v>18297309.079999998</v>
      </c>
      <c r="BO363" s="141">
        <v>18297223.079999998</v>
      </c>
      <c r="BP363" s="141">
        <v>18297007.079999998</v>
      </c>
      <c r="BQ363" s="141">
        <v>18296967.079999998</v>
      </c>
      <c r="BU363" s="141">
        <v>18296967.079999998</v>
      </c>
    </row>
    <row r="364" spans="1:73" ht="14.4" x14ac:dyDescent="0.3">
      <c r="A364" s="160" t="s">
        <v>246</v>
      </c>
      <c r="B364" s="161">
        <v>1999</v>
      </c>
      <c r="C364" s="161">
        <v>15556.539999999999</v>
      </c>
      <c r="D364" s="161">
        <v>26131.53</v>
      </c>
      <c r="E364" s="161">
        <v>63043.76</v>
      </c>
      <c r="F364" s="161">
        <v>82865.77</v>
      </c>
      <c r="G364" s="161">
        <v>280548.69</v>
      </c>
      <c r="H364" s="161">
        <v>347322.33</v>
      </c>
      <c r="I364" s="161">
        <v>469535.6</v>
      </c>
      <c r="J364" s="161">
        <v>482426.57999999996</v>
      </c>
      <c r="K364" s="161">
        <v>867081.98</v>
      </c>
      <c r="L364" s="161">
        <v>1559030.69</v>
      </c>
      <c r="M364" s="161">
        <v>1559030.69</v>
      </c>
      <c r="N364" s="161">
        <v>1559030.69</v>
      </c>
      <c r="O364" s="161">
        <v>1559030.69</v>
      </c>
      <c r="P364" s="161">
        <v>1559030.69</v>
      </c>
      <c r="Q364" s="161">
        <v>1559030.69</v>
      </c>
      <c r="R364" s="161">
        <v>1559030.69</v>
      </c>
      <c r="S364" s="161">
        <v>1559030.69</v>
      </c>
      <c r="T364" s="149"/>
      <c r="U364" s="149"/>
      <c r="V364" s="149"/>
      <c r="W364" s="149"/>
      <c r="X364" s="161">
        <v>1559030.69</v>
      </c>
      <c r="Y364" s="145"/>
      <c r="Z364" s="145"/>
      <c r="AX364" s="141" t="s">
        <v>240</v>
      </c>
      <c r="AY364" s="141">
        <v>1996</v>
      </c>
      <c r="AZ364" s="141">
        <v>8446535.6400000006</v>
      </c>
      <c r="BA364" s="141">
        <v>15673936.890000001</v>
      </c>
      <c r="BB364" s="141">
        <v>22008794.550000001</v>
      </c>
      <c r="BC364" s="141">
        <v>24647183.16</v>
      </c>
      <c r="BD364" s="141">
        <v>25622217.530000001</v>
      </c>
      <c r="BE364" s="141">
        <v>26848801.09</v>
      </c>
      <c r="BF364" s="141">
        <v>27766397.43</v>
      </c>
      <c r="BG364" s="141">
        <v>28480152.140000001</v>
      </c>
      <c r="BH364" s="141">
        <v>28993417.760000002</v>
      </c>
      <c r="BI364" s="141">
        <v>29090609.670000002</v>
      </c>
      <c r="BJ364" s="141">
        <v>29134711.949999999</v>
      </c>
      <c r="BK364" s="141">
        <v>29164913.289999999</v>
      </c>
      <c r="BL364" s="141">
        <v>29199809.350000001</v>
      </c>
      <c r="BM364" s="141">
        <v>29331712.559999999</v>
      </c>
      <c r="BN364" s="141">
        <v>29399529.899999999</v>
      </c>
      <c r="BO364" s="141">
        <v>29407498.32</v>
      </c>
      <c r="BP364" s="141">
        <v>29417198.48</v>
      </c>
      <c r="BU364" s="141">
        <v>29417198.48</v>
      </c>
    </row>
    <row r="365" spans="1:73" ht="14.4" x14ac:dyDescent="0.3">
      <c r="A365" s="160" t="s">
        <v>246</v>
      </c>
      <c r="B365" s="161">
        <v>2000</v>
      </c>
      <c r="C365" s="161">
        <v>12036.56</v>
      </c>
      <c r="D365" s="161">
        <v>122092.89</v>
      </c>
      <c r="E365" s="161">
        <v>169173.48</v>
      </c>
      <c r="F365" s="161">
        <v>272414.93</v>
      </c>
      <c r="G365" s="161">
        <v>2790682.71</v>
      </c>
      <c r="H365" s="161">
        <v>3900647.34</v>
      </c>
      <c r="I365" s="161">
        <v>4185801.48</v>
      </c>
      <c r="J365" s="161">
        <v>9305427.6999999993</v>
      </c>
      <c r="K365" s="161">
        <v>21074923.329999998</v>
      </c>
      <c r="L365" s="161">
        <v>24451841.600000001</v>
      </c>
      <c r="M365" s="161">
        <v>23050965.790000007</v>
      </c>
      <c r="N365" s="161">
        <v>23050974.490000002</v>
      </c>
      <c r="O365" s="161">
        <v>23050974.490000002</v>
      </c>
      <c r="P365" s="161">
        <v>23038050.490000002</v>
      </c>
      <c r="Q365" s="161">
        <v>23038393.620000005</v>
      </c>
      <c r="R365" s="161">
        <v>23154548.399999999</v>
      </c>
      <c r="S365" s="149"/>
      <c r="T365" s="149"/>
      <c r="U365" s="149"/>
      <c r="V365" s="149"/>
      <c r="W365" s="149"/>
      <c r="X365" s="161">
        <v>23154548.399999999</v>
      </c>
      <c r="Y365" s="145"/>
      <c r="Z365" s="145"/>
      <c r="AX365" s="141" t="s">
        <v>240</v>
      </c>
      <c r="AY365" s="141">
        <v>1997</v>
      </c>
      <c r="AZ365" s="141">
        <v>4810639.6900000004</v>
      </c>
      <c r="BA365" s="141">
        <v>15239870.1</v>
      </c>
      <c r="BB365" s="141">
        <v>29448579.649999999</v>
      </c>
      <c r="BC365" s="141">
        <v>45829660.43</v>
      </c>
      <c r="BD365" s="141">
        <v>66860270.460000001</v>
      </c>
      <c r="BE365" s="141">
        <v>71995490.980000004</v>
      </c>
      <c r="BF365" s="141">
        <v>77561318.709999993</v>
      </c>
      <c r="BG365" s="141">
        <v>79891670.829999998</v>
      </c>
      <c r="BH365" s="141">
        <v>80617268.959999993</v>
      </c>
      <c r="BI365" s="141">
        <v>80908035.030000001</v>
      </c>
      <c r="BJ365" s="141">
        <v>81024820.579999998</v>
      </c>
      <c r="BK365" s="141">
        <v>81353616.969999999</v>
      </c>
      <c r="BL365" s="141">
        <v>81495596</v>
      </c>
      <c r="BM365" s="141">
        <v>81525332.849999994</v>
      </c>
      <c r="BN365" s="141">
        <v>81541801.239999995</v>
      </c>
      <c r="BO365" s="141">
        <v>81638441.209999993</v>
      </c>
      <c r="BU365" s="141">
        <v>81638441.209999993</v>
      </c>
    </row>
    <row r="366" spans="1:73" ht="14.4" x14ac:dyDescent="0.3">
      <c r="A366" s="160" t="s">
        <v>246</v>
      </c>
      <c r="B366" s="161">
        <v>2001</v>
      </c>
      <c r="C366" s="161">
        <v>38898.99</v>
      </c>
      <c r="D366" s="161">
        <v>453134.39</v>
      </c>
      <c r="E366" s="161">
        <v>2083229.2</v>
      </c>
      <c r="F366" s="161">
        <v>2079879.15</v>
      </c>
      <c r="G366" s="161">
        <v>2088799.63</v>
      </c>
      <c r="H366" s="161">
        <v>2054992.27</v>
      </c>
      <c r="I366" s="161">
        <v>4869501.53</v>
      </c>
      <c r="J366" s="161">
        <v>5640504.9199999999</v>
      </c>
      <c r="K366" s="161">
        <v>5758331.8399999999</v>
      </c>
      <c r="L366" s="161">
        <v>2847585.38</v>
      </c>
      <c r="M366" s="161">
        <v>2939851.7</v>
      </c>
      <c r="N366" s="161">
        <v>2853089.94</v>
      </c>
      <c r="O366" s="161">
        <v>2859846.94</v>
      </c>
      <c r="P366" s="161">
        <v>2859846.94</v>
      </c>
      <c r="Q366" s="161">
        <v>2859846.94</v>
      </c>
      <c r="R366" s="149"/>
      <c r="S366" s="149"/>
      <c r="T366" s="149"/>
      <c r="U366" s="149"/>
      <c r="V366" s="149"/>
      <c r="W366" s="149"/>
      <c r="X366" s="161">
        <v>2859846.94</v>
      </c>
      <c r="Y366" s="145"/>
      <c r="Z366" s="145"/>
      <c r="AX366" s="141" t="s">
        <v>240</v>
      </c>
      <c r="AY366" s="141">
        <v>1998</v>
      </c>
      <c r="AZ366" s="141">
        <v>9567956.3200000003</v>
      </c>
      <c r="BA366" s="141">
        <v>27155451.579999998</v>
      </c>
      <c r="BB366" s="141">
        <v>55925401.600000001</v>
      </c>
      <c r="BC366" s="141">
        <v>78425635.219999999</v>
      </c>
      <c r="BD366" s="141">
        <v>100871740.08</v>
      </c>
      <c r="BE366" s="141">
        <v>112238729.65000001</v>
      </c>
      <c r="BF366" s="141">
        <v>119302839.08</v>
      </c>
      <c r="BG366" s="141">
        <v>121382532.09999999</v>
      </c>
      <c r="BH366" s="141">
        <v>123047536.34</v>
      </c>
      <c r="BI366" s="141">
        <v>124162440.25</v>
      </c>
      <c r="BJ366" s="141">
        <v>125055287.37</v>
      </c>
      <c r="BK366" s="141">
        <v>125138424.45</v>
      </c>
      <c r="BL366" s="141">
        <v>125297329.03</v>
      </c>
      <c r="BM366" s="141">
        <v>125313509.45</v>
      </c>
      <c r="BN366" s="141">
        <v>125425877.75</v>
      </c>
      <c r="BU366" s="141">
        <v>125425877.75</v>
      </c>
    </row>
    <row r="367" spans="1:73" ht="14.4" x14ac:dyDescent="0.3">
      <c r="A367" s="160" t="s">
        <v>246</v>
      </c>
      <c r="B367" s="161">
        <v>2002</v>
      </c>
      <c r="C367" s="161">
        <v>45899.92</v>
      </c>
      <c r="D367" s="161">
        <v>522307.16</v>
      </c>
      <c r="E367" s="161">
        <v>1132969.1000000001</v>
      </c>
      <c r="F367" s="161">
        <v>2799495.4</v>
      </c>
      <c r="G367" s="161">
        <v>3252476.17</v>
      </c>
      <c r="H367" s="161">
        <v>3157273.67</v>
      </c>
      <c r="I367" s="161">
        <v>3258741.0100000002</v>
      </c>
      <c r="J367" s="161">
        <v>3258741.0100000002</v>
      </c>
      <c r="K367" s="161">
        <v>3258741.0100000002</v>
      </c>
      <c r="L367" s="161">
        <v>3258741.0100000002</v>
      </c>
      <c r="M367" s="161">
        <v>3258741.0100000002</v>
      </c>
      <c r="N367" s="161">
        <v>3258741.0100000002</v>
      </c>
      <c r="O367" s="161">
        <v>3279554.84</v>
      </c>
      <c r="P367" s="161">
        <v>3291214.25</v>
      </c>
      <c r="Q367" s="149"/>
      <c r="R367" s="149"/>
      <c r="S367" s="149"/>
      <c r="T367" s="149"/>
      <c r="U367" s="149"/>
      <c r="V367" s="149"/>
      <c r="W367" s="149"/>
      <c r="X367" s="161">
        <v>3291214.25</v>
      </c>
      <c r="Y367" s="145"/>
      <c r="Z367" s="145"/>
      <c r="AX367" s="141" t="s">
        <v>240</v>
      </c>
      <c r="AY367" s="141">
        <v>1999</v>
      </c>
      <c r="AZ367" s="141">
        <v>13142356.470000001</v>
      </c>
      <c r="BA367" s="141">
        <v>41973804.68</v>
      </c>
      <c r="BB367" s="141">
        <v>92212116.879999995</v>
      </c>
      <c r="BC367" s="141">
        <v>130706313.36</v>
      </c>
      <c r="BD367" s="141">
        <v>154890188.63999999</v>
      </c>
      <c r="BE367" s="141">
        <v>175309095.34999999</v>
      </c>
      <c r="BF367" s="141">
        <v>183653617.21000001</v>
      </c>
      <c r="BG367" s="141">
        <v>188186977.84999999</v>
      </c>
      <c r="BH367" s="141">
        <v>191137536.75999999</v>
      </c>
      <c r="BI367" s="141">
        <v>192630531.19999999</v>
      </c>
      <c r="BJ367" s="141">
        <v>192902461.43000001</v>
      </c>
      <c r="BK367" s="141">
        <v>193457335.88</v>
      </c>
      <c r="BL367" s="141">
        <v>193681558.74000001</v>
      </c>
      <c r="BM367" s="141">
        <v>194000574.03</v>
      </c>
      <c r="BU367" s="141">
        <v>194000574.03</v>
      </c>
    </row>
    <row r="368" spans="1:73" ht="14.4" x14ac:dyDescent="0.3">
      <c r="A368" s="160" t="s">
        <v>246</v>
      </c>
      <c r="B368" s="161">
        <v>2003</v>
      </c>
      <c r="C368" s="161">
        <v>153361.20000000001</v>
      </c>
      <c r="D368" s="161">
        <v>724791.65</v>
      </c>
      <c r="E368" s="161">
        <v>893944.53</v>
      </c>
      <c r="F368" s="161">
        <v>1163909.02</v>
      </c>
      <c r="G368" s="161">
        <v>14602123.91</v>
      </c>
      <c r="H368" s="161">
        <v>18973350.52</v>
      </c>
      <c r="I368" s="161">
        <v>19837759.290000003</v>
      </c>
      <c r="J368" s="161">
        <v>19472076.810000002</v>
      </c>
      <c r="K368" s="161">
        <v>21043305.869999997</v>
      </c>
      <c r="L368" s="161">
        <v>26818243.349999998</v>
      </c>
      <c r="M368" s="161">
        <v>29000261.27</v>
      </c>
      <c r="N368" s="161">
        <v>29005261.27</v>
      </c>
      <c r="O368" s="161">
        <v>28793461.43</v>
      </c>
      <c r="P368" s="149"/>
      <c r="Q368" s="149"/>
      <c r="R368" s="149"/>
      <c r="S368" s="149"/>
      <c r="T368" s="149"/>
      <c r="U368" s="149"/>
      <c r="V368" s="149"/>
      <c r="W368" s="149"/>
      <c r="X368" s="161">
        <v>28793461.43</v>
      </c>
      <c r="Y368" s="145"/>
      <c r="Z368" s="145"/>
      <c r="AX368" s="141" t="s">
        <v>240</v>
      </c>
      <c r="AY368" s="141">
        <v>2000</v>
      </c>
      <c r="AZ368" s="141">
        <v>13824915.859999999</v>
      </c>
      <c r="BA368" s="141">
        <v>34547829.57</v>
      </c>
      <c r="BB368" s="141">
        <v>62858424.009999998</v>
      </c>
      <c r="BC368" s="141">
        <v>99095342.019999996</v>
      </c>
      <c r="BD368" s="141">
        <v>118619240.04000001</v>
      </c>
      <c r="BE368" s="141">
        <v>135212274.53999999</v>
      </c>
      <c r="BF368" s="141">
        <v>141812704.94999999</v>
      </c>
      <c r="BG368" s="141">
        <v>145713222.38999999</v>
      </c>
      <c r="BH368" s="141">
        <v>147018582.11000001</v>
      </c>
      <c r="BI368" s="141">
        <v>147169385.80000001</v>
      </c>
      <c r="BJ368" s="141">
        <v>147613000.47</v>
      </c>
      <c r="BK368" s="141">
        <v>148354542.08000001</v>
      </c>
      <c r="BL368" s="141">
        <v>148666572.24000001</v>
      </c>
      <c r="BU368" s="141">
        <v>148666572.24000001</v>
      </c>
    </row>
    <row r="369" spans="1:73" ht="14.4" x14ac:dyDescent="0.3">
      <c r="A369" s="160" t="s">
        <v>246</v>
      </c>
      <c r="B369" s="161">
        <v>2004</v>
      </c>
      <c r="C369" s="161">
        <v>1434889.45</v>
      </c>
      <c r="D369" s="161">
        <v>2897677.7199999997</v>
      </c>
      <c r="E369" s="161">
        <v>3685854.94</v>
      </c>
      <c r="F369" s="161">
        <v>7460613.8300000001</v>
      </c>
      <c r="G369" s="161">
        <v>9102065.9499999993</v>
      </c>
      <c r="H369" s="161">
        <v>12344964.16</v>
      </c>
      <c r="I369" s="161">
        <v>12347987.16</v>
      </c>
      <c r="J369" s="161">
        <v>12467277.600000001</v>
      </c>
      <c r="K369" s="161">
        <v>12490758.870000001</v>
      </c>
      <c r="L369" s="161">
        <v>12490758.870000001</v>
      </c>
      <c r="M369" s="161">
        <v>12527401.68</v>
      </c>
      <c r="N369" s="161">
        <v>12527401.68</v>
      </c>
      <c r="O369" s="149"/>
      <c r="P369" s="149"/>
      <c r="Q369" s="149"/>
      <c r="R369" s="149"/>
      <c r="S369" s="149"/>
      <c r="T369" s="149"/>
      <c r="U369" s="149"/>
      <c r="V369" s="149"/>
      <c r="W369" s="149"/>
      <c r="X369" s="161">
        <v>12527401.68</v>
      </c>
      <c r="Y369" s="145"/>
      <c r="Z369" s="145"/>
      <c r="AX369" s="141" t="s">
        <v>240</v>
      </c>
      <c r="AY369" s="141">
        <v>2001</v>
      </c>
      <c r="AZ369" s="141">
        <v>7727736.3600000003</v>
      </c>
      <c r="BA369" s="141">
        <v>26186334.359999999</v>
      </c>
      <c r="BB369" s="141">
        <v>48250029.170000002</v>
      </c>
      <c r="BC369" s="141">
        <v>68750383.099999994</v>
      </c>
      <c r="BD369" s="141">
        <v>84463427.420000002</v>
      </c>
      <c r="BE369" s="141">
        <v>95121391.849999994</v>
      </c>
      <c r="BF369" s="141">
        <v>101859417.58</v>
      </c>
      <c r="BG369" s="141">
        <v>108699585.79000001</v>
      </c>
      <c r="BH369" s="141">
        <v>110307225</v>
      </c>
      <c r="BI369" s="141">
        <v>110771167.17</v>
      </c>
      <c r="BJ369" s="141">
        <v>110944794.04000001</v>
      </c>
      <c r="BK369" s="141">
        <v>111092803.01000001</v>
      </c>
      <c r="BU369" s="141">
        <v>111092803.01000001</v>
      </c>
    </row>
    <row r="370" spans="1:73" ht="14.4" x14ac:dyDescent="0.3">
      <c r="A370" s="160" t="s">
        <v>246</v>
      </c>
      <c r="B370" s="161">
        <v>2005</v>
      </c>
      <c r="C370" s="161">
        <v>135340.56</v>
      </c>
      <c r="D370" s="161">
        <v>1984831.91</v>
      </c>
      <c r="E370" s="161">
        <v>3902395.5500000003</v>
      </c>
      <c r="F370" s="161">
        <v>6205220.9799999995</v>
      </c>
      <c r="G370" s="161">
        <v>20222181.299999997</v>
      </c>
      <c r="H370" s="161">
        <v>23700946.02</v>
      </c>
      <c r="I370" s="161">
        <v>24041600.439999998</v>
      </c>
      <c r="J370" s="161">
        <v>23985429.09</v>
      </c>
      <c r="K370" s="161">
        <v>23985429.09</v>
      </c>
      <c r="L370" s="161">
        <v>24296910.170000002</v>
      </c>
      <c r="M370" s="161">
        <v>24446910.170000002</v>
      </c>
      <c r="N370" s="149"/>
      <c r="O370" s="149"/>
      <c r="P370" s="149"/>
      <c r="Q370" s="149"/>
      <c r="R370" s="149"/>
      <c r="S370" s="149"/>
      <c r="T370" s="149"/>
      <c r="U370" s="149"/>
      <c r="V370" s="149"/>
      <c r="W370" s="149"/>
      <c r="X370" s="161">
        <v>24446910.170000002</v>
      </c>
      <c r="Y370" s="145"/>
      <c r="Z370" s="145"/>
      <c r="AX370" s="141" t="s">
        <v>240</v>
      </c>
      <c r="AY370" s="141">
        <v>2002</v>
      </c>
      <c r="AZ370" s="141">
        <v>6825726.9699999997</v>
      </c>
      <c r="BA370" s="141">
        <v>17143386.789999999</v>
      </c>
      <c r="BB370" s="141">
        <v>37903199.920000002</v>
      </c>
      <c r="BC370" s="141">
        <v>47167439.700000003</v>
      </c>
      <c r="BD370" s="141">
        <v>54242119.829999998</v>
      </c>
      <c r="BE370" s="141">
        <v>69045719.670000002</v>
      </c>
      <c r="BF370" s="141">
        <v>74675102.150000006</v>
      </c>
      <c r="BG370" s="141">
        <v>76612724.489999995</v>
      </c>
      <c r="BH370" s="141">
        <v>77677309.670000002</v>
      </c>
      <c r="BI370" s="141">
        <v>78413210.849999994</v>
      </c>
      <c r="BJ370" s="141">
        <v>79030590.680000007</v>
      </c>
      <c r="BU370" s="141">
        <v>79030590.680000007</v>
      </c>
    </row>
    <row r="371" spans="1:73" ht="14.4" x14ac:dyDescent="0.3">
      <c r="A371" s="160" t="s">
        <v>246</v>
      </c>
      <c r="B371" s="161">
        <v>2006</v>
      </c>
      <c r="C371" s="161">
        <v>319250.78999999998</v>
      </c>
      <c r="D371" s="161">
        <v>1128767.1499999999</v>
      </c>
      <c r="E371" s="161">
        <v>5287273.57</v>
      </c>
      <c r="F371" s="161">
        <v>11216767.390000001</v>
      </c>
      <c r="G371" s="161">
        <v>17240920.719999999</v>
      </c>
      <c r="H371" s="161">
        <v>17628533.059999999</v>
      </c>
      <c r="I371" s="161">
        <v>17634176.849999998</v>
      </c>
      <c r="J371" s="161">
        <v>17635976.849999998</v>
      </c>
      <c r="K371" s="161">
        <v>17946377.129999999</v>
      </c>
      <c r="L371" s="161">
        <v>17951412.140000001</v>
      </c>
      <c r="M371" s="149"/>
      <c r="N371" s="149"/>
      <c r="O371" s="149"/>
      <c r="P371" s="149"/>
      <c r="Q371" s="149"/>
      <c r="R371" s="149"/>
      <c r="S371" s="149"/>
      <c r="T371" s="149"/>
      <c r="U371" s="149"/>
      <c r="V371" s="149"/>
      <c r="W371" s="149"/>
      <c r="X371" s="161">
        <v>17951412.140000001</v>
      </c>
      <c r="Y371" s="145"/>
      <c r="Z371" s="145"/>
      <c r="AX371" s="141" t="s">
        <v>240</v>
      </c>
      <c r="AY371" s="141">
        <v>2003</v>
      </c>
      <c r="AZ371" s="141">
        <v>9558356.0099999998</v>
      </c>
      <c r="BA371" s="141">
        <v>22491369.530000001</v>
      </c>
      <c r="BB371" s="141">
        <v>30720247.09</v>
      </c>
      <c r="BC371" s="141">
        <v>40950591.75</v>
      </c>
      <c r="BD371" s="141">
        <v>44544113.329999998</v>
      </c>
      <c r="BE371" s="141">
        <v>47714431.93</v>
      </c>
      <c r="BF371" s="141">
        <v>49898614.689999998</v>
      </c>
      <c r="BG371" s="141">
        <v>50716794.859999999</v>
      </c>
      <c r="BH371" s="141">
        <v>50805611.060000002</v>
      </c>
      <c r="BI371" s="141">
        <v>51349348.859999999</v>
      </c>
      <c r="BU371" s="141">
        <v>51349348.859999999</v>
      </c>
    </row>
    <row r="372" spans="1:73" ht="14.4" x14ac:dyDescent="0.3">
      <c r="A372" s="160" t="s">
        <v>246</v>
      </c>
      <c r="B372" s="161">
        <v>2007</v>
      </c>
      <c r="C372" s="161">
        <v>94532.24</v>
      </c>
      <c r="D372" s="161">
        <v>2930903.14</v>
      </c>
      <c r="E372" s="161">
        <v>7769279.1199999992</v>
      </c>
      <c r="F372" s="161">
        <v>24772624.5</v>
      </c>
      <c r="G372" s="161">
        <v>33801781.43</v>
      </c>
      <c r="H372" s="161">
        <v>61221215.120000005</v>
      </c>
      <c r="I372" s="161">
        <v>71698988</v>
      </c>
      <c r="J372" s="161">
        <v>74135446.38000001</v>
      </c>
      <c r="K372" s="161">
        <v>80338025.710000008</v>
      </c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149"/>
      <c r="W372" s="149"/>
      <c r="X372" s="161">
        <v>80338025.710000008</v>
      </c>
      <c r="Y372" s="145"/>
      <c r="Z372" s="145"/>
      <c r="AX372" s="141" t="s">
        <v>240</v>
      </c>
      <c r="AY372" s="141">
        <v>2004</v>
      </c>
      <c r="AZ372" s="141">
        <v>8440062.7899999991</v>
      </c>
      <c r="BA372" s="141">
        <v>20313228.719999999</v>
      </c>
      <c r="BB372" s="141">
        <v>34279190.57</v>
      </c>
      <c r="BC372" s="141">
        <v>41631337.32</v>
      </c>
      <c r="BD372" s="141">
        <v>46002182.380000003</v>
      </c>
      <c r="BE372" s="141">
        <v>47612393.030000001</v>
      </c>
      <c r="BF372" s="141">
        <v>48677768.130000003</v>
      </c>
      <c r="BG372" s="141">
        <v>49122877.270000003</v>
      </c>
      <c r="BH372" s="141">
        <v>49640778</v>
      </c>
      <c r="BU372" s="141">
        <v>49640778</v>
      </c>
    </row>
    <row r="373" spans="1:73" ht="14.4" x14ac:dyDescent="0.3">
      <c r="A373" s="160" t="s">
        <v>246</v>
      </c>
      <c r="B373" s="161">
        <v>2008</v>
      </c>
      <c r="C373" s="161">
        <v>168283.65</v>
      </c>
      <c r="D373" s="161">
        <v>21610410.039999999</v>
      </c>
      <c r="E373" s="161">
        <v>65293371.269999996</v>
      </c>
      <c r="F373" s="161">
        <v>74141987.849999994</v>
      </c>
      <c r="G373" s="161">
        <v>83361111.450000003</v>
      </c>
      <c r="H373" s="161">
        <v>104075145.5</v>
      </c>
      <c r="I373" s="161">
        <v>110048551.39000002</v>
      </c>
      <c r="J373" s="161">
        <v>114310817.05</v>
      </c>
      <c r="K373" s="149"/>
      <c r="L373" s="149"/>
      <c r="M373" s="149"/>
      <c r="N373" s="149"/>
      <c r="O373" s="149"/>
      <c r="P373" s="149"/>
      <c r="Q373" s="149"/>
      <c r="R373" s="149"/>
      <c r="S373" s="149"/>
      <c r="T373" s="149"/>
      <c r="U373" s="149"/>
      <c r="V373" s="149"/>
      <c r="W373" s="149"/>
      <c r="X373" s="161">
        <v>114310817.05</v>
      </c>
      <c r="Y373" s="145"/>
      <c r="Z373" s="145"/>
      <c r="AX373" s="141" t="s">
        <v>240</v>
      </c>
      <c r="AY373" s="141">
        <v>2005</v>
      </c>
      <c r="AZ373" s="141">
        <v>6832488.3399999999</v>
      </c>
      <c r="BA373" s="141">
        <v>21048010.969999999</v>
      </c>
      <c r="BB373" s="141">
        <v>37319504.240000002</v>
      </c>
      <c r="BC373" s="141">
        <v>54922666.579999998</v>
      </c>
      <c r="BD373" s="141">
        <v>63691259.159999996</v>
      </c>
      <c r="BE373" s="141">
        <v>65013325.5</v>
      </c>
      <c r="BF373" s="141">
        <v>67528644.810000002</v>
      </c>
      <c r="BG373" s="141">
        <v>68471366.620000005</v>
      </c>
      <c r="BU373" s="141">
        <v>68471366.620000005</v>
      </c>
    </row>
    <row r="374" spans="1:73" ht="14.4" x14ac:dyDescent="0.3">
      <c r="A374" s="160" t="s">
        <v>246</v>
      </c>
      <c r="B374" s="161">
        <v>2009</v>
      </c>
      <c r="C374" s="161">
        <v>136477.23000000001</v>
      </c>
      <c r="D374" s="161">
        <v>11857019.52</v>
      </c>
      <c r="E374" s="161">
        <v>36718225.120000005</v>
      </c>
      <c r="F374" s="161">
        <v>63378540.5</v>
      </c>
      <c r="G374" s="161">
        <v>76895537.210000008</v>
      </c>
      <c r="H374" s="161">
        <v>80885791.129999995</v>
      </c>
      <c r="I374" s="161">
        <v>88929574.090000004</v>
      </c>
      <c r="J374" s="149"/>
      <c r="K374" s="149"/>
      <c r="L374" s="149"/>
      <c r="M374" s="149"/>
      <c r="N374" s="149"/>
      <c r="O374" s="149"/>
      <c r="P374" s="149"/>
      <c r="Q374" s="149"/>
      <c r="R374" s="149"/>
      <c r="S374" s="149"/>
      <c r="T374" s="149"/>
      <c r="U374" s="149"/>
      <c r="V374" s="149"/>
      <c r="W374" s="149"/>
      <c r="X374" s="161">
        <v>88929574.090000004</v>
      </c>
      <c r="Y374" s="145"/>
      <c r="Z374" s="145"/>
      <c r="AX374" s="141" t="s">
        <v>240</v>
      </c>
      <c r="AY374" s="141">
        <v>2006</v>
      </c>
      <c r="AZ374" s="141">
        <v>8717797.75</v>
      </c>
      <c r="BA374" s="141">
        <v>31353975.25</v>
      </c>
      <c r="BB374" s="141">
        <v>50930584.240000002</v>
      </c>
      <c r="BC374" s="141">
        <v>63113672.020000003</v>
      </c>
      <c r="BD374" s="141">
        <v>68384129.769999996</v>
      </c>
      <c r="BE374" s="141">
        <v>73393117.790000007</v>
      </c>
      <c r="BF374" s="141">
        <v>75154459.909999996</v>
      </c>
      <c r="BU374" s="141">
        <v>75154459.909999996</v>
      </c>
    </row>
    <row r="375" spans="1:73" ht="14.4" x14ac:dyDescent="0.3">
      <c r="A375" s="160" t="s">
        <v>246</v>
      </c>
      <c r="B375" s="161">
        <v>2010</v>
      </c>
      <c r="C375" s="161">
        <v>403653.82</v>
      </c>
      <c r="D375" s="161">
        <v>6183761.29</v>
      </c>
      <c r="E375" s="161">
        <v>13263030.309999999</v>
      </c>
      <c r="F375" s="161">
        <v>15669622.390000001</v>
      </c>
      <c r="G375" s="161">
        <v>32719624.590000004</v>
      </c>
      <c r="H375" s="161">
        <v>35391358.469999999</v>
      </c>
      <c r="I375" s="149"/>
      <c r="J375" s="149"/>
      <c r="K375" s="149"/>
      <c r="L375" s="149"/>
      <c r="M375" s="149"/>
      <c r="N375" s="149"/>
      <c r="O375" s="149"/>
      <c r="P375" s="149"/>
      <c r="Q375" s="149"/>
      <c r="R375" s="149"/>
      <c r="S375" s="149"/>
      <c r="T375" s="149"/>
      <c r="U375" s="149"/>
      <c r="V375" s="149"/>
      <c r="W375" s="149"/>
      <c r="X375" s="161">
        <v>35391358.469999999</v>
      </c>
      <c r="Y375" s="145"/>
      <c r="Z375" s="145"/>
      <c r="AX375" s="141" t="s">
        <v>240</v>
      </c>
      <c r="AY375" s="141">
        <v>2007</v>
      </c>
      <c r="AZ375" s="141">
        <v>14968789.68</v>
      </c>
      <c r="BA375" s="141">
        <v>47139960.829999998</v>
      </c>
      <c r="BB375" s="141">
        <v>65197847.420000002</v>
      </c>
      <c r="BC375" s="141">
        <v>80425931.959999993</v>
      </c>
      <c r="BD375" s="141">
        <v>89293157.5</v>
      </c>
      <c r="BE375" s="141">
        <v>93516646.230000004</v>
      </c>
      <c r="BU375" s="141">
        <v>93516646.230000004</v>
      </c>
    </row>
    <row r="376" spans="1:73" ht="14.4" x14ac:dyDescent="0.3">
      <c r="A376" s="160" t="s">
        <v>246</v>
      </c>
      <c r="B376" s="161">
        <v>2011</v>
      </c>
      <c r="C376" s="161">
        <v>432447.7</v>
      </c>
      <c r="D376" s="161">
        <v>10921335.389999999</v>
      </c>
      <c r="E376" s="161">
        <v>17146831.809999999</v>
      </c>
      <c r="F376" s="161">
        <v>20899843.07</v>
      </c>
      <c r="G376" s="161">
        <v>31178826.73</v>
      </c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/>
      <c r="T376" s="149"/>
      <c r="U376" s="149"/>
      <c r="V376" s="149"/>
      <c r="W376" s="149"/>
      <c r="X376" s="161">
        <v>31178826.73</v>
      </c>
      <c r="Y376" s="145"/>
      <c r="Z376" s="145"/>
      <c r="AX376" s="141" t="s">
        <v>240</v>
      </c>
      <c r="AY376" s="141">
        <v>2008</v>
      </c>
      <c r="AZ376" s="141">
        <v>10465988.970000001</v>
      </c>
      <c r="BA376" s="141">
        <v>47818183.590000004</v>
      </c>
      <c r="BB376" s="141">
        <v>74806682.909999996</v>
      </c>
      <c r="BC376" s="141">
        <v>91691364.780000001</v>
      </c>
      <c r="BD376" s="141">
        <v>105846058.09</v>
      </c>
      <c r="BU376" s="141">
        <v>105846058.09</v>
      </c>
    </row>
    <row r="377" spans="1:73" ht="14.4" x14ac:dyDescent="0.3">
      <c r="A377" s="160" t="s">
        <v>246</v>
      </c>
      <c r="B377" s="161">
        <v>2012</v>
      </c>
      <c r="C377" s="161">
        <v>501856.81</v>
      </c>
      <c r="D377" s="161">
        <v>4495080.34</v>
      </c>
      <c r="E377" s="161">
        <v>16516616.690000001</v>
      </c>
      <c r="F377" s="161">
        <v>37896378.490000002</v>
      </c>
      <c r="G377" s="149"/>
      <c r="H377" s="149"/>
      <c r="I377" s="149"/>
      <c r="J377" s="149"/>
      <c r="K377" s="149"/>
      <c r="L377" s="149"/>
      <c r="M377" s="149"/>
      <c r="N377" s="149"/>
      <c r="O377" s="149"/>
      <c r="P377" s="149"/>
      <c r="Q377" s="149"/>
      <c r="R377" s="149"/>
      <c r="S377" s="149"/>
      <c r="T377" s="149"/>
      <c r="U377" s="149"/>
      <c r="V377" s="149"/>
      <c r="W377" s="149"/>
      <c r="X377" s="161">
        <v>37896378.490000002</v>
      </c>
      <c r="Y377" s="145"/>
      <c r="Z377" s="145"/>
      <c r="AX377" s="141" t="s">
        <v>240</v>
      </c>
      <c r="AY377" s="141">
        <v>2009</v>
      </c>
      <c r="AZ377" s="141">
        <v>15804040.939999999</v>
      </c>
      <c r="BA377" s="141">
        <v>44664060.979999997</v>
      </c>
      <c r="BB377" s="141">
        <v>72898677.099999994</v>
      </c>
      <c r="BC377" s="141">
        <v>92633395.689999998</v>
      </c>
      <c r="BU377" s="141">
        <v>92633395.689999998</v>
      </c>
    </row>
    <row r="378" spans="1:73" ht="14.4" x14ac:dyDescent="0.3">
      <c r="A378" s="160" t="s">
        <v>246</v>
      </c>
      <c r="B378" s="161">
        <v>2013</v>
      </c>
      <c r="C378" s="161">
        <v>1735341.71</v>
      </c>
      <c r="D378" s="161">
        <v>2411757.0499999998</v>
      </c>
      <c r="E378" s="161">
        <v>4414987.24</v>
      </c>
      <c r="F378" s="149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/>
      <c r="T378" s="149"/>
      <c r="U378" s="149"/>
      <c r="V378" s="149"/>
      <c r="W378" s="149"/>
      <c r="X378" s="161">
        <v>4414987.24</v>
      </c>
      <c r="Y378" s="145"/>
      <c r="Z378" s="145"/>
      <c r="AX378" s="141" t="s">
        <v>240</v>
      </c>
      <c r="AY378" s="141">
        <v>2010</v>
      </c>
      <c r="AZ378" s="141">
        <v>16759268.609999999</v>
      </c>
      <c r="BA378" s="141">
        <v>51671773.68</v>
      </c>
      <c r="BB378" s="141">
        <v>78166659.489999995</v>
      </c>
      <c r="BU378" s="141">
        <v>78166659.489999995</v>
      </c>
    </row>
    <row r="379" spans="1:73" ht="14.4" x14ac:dyDescent="0.3">
      <c r="A379" s="160" t="s">
        <v>246</v>
      </c>
      <c r="B379" s="161">
        <v>2014</v>
      </c>
      <c r="C379" s="161">
        <v>1523444.1099999999</v>
      </c>
      <c r="D379" s="161">
        <v>14623572.489999998</v>
      </c>
      <c r="E379" s="149"/>
      <c r="F379" s="149"/>
      <c r="G379" s="149"/>
      <c r="H379" s="149"/>
      <c r="I379" s="149"/>
      <c r="J379" s="149"/>
      <c r="K379" s="149"/>
      <c r="L379" s="149"/>
      <c r="M379" s="149"/>
      <c r="N379" s="149"/>
      <c r="O379" s="149"/>
      <c r="P379" s="149"/>
      <c r="Q379" s="149"/>
      <c r="R379" s="149"/>
      <c r="S379" s="149"/>
      <c r="T379" s="149"/>
      <c r="U379" s="149"/>
      <c r="V379" s="149"/>
      <c r="W379" s="149"/>
      <c r="X379" s="161">
        <v>14623572.489999998</v>
      </c>
      <c r="Y379" s="145"/>
      <c r="Z379" s="145"/>
      <c r="AX379" s="141" t="s">
        <v>240</v>
      </c>
      <c r="AY379" s="141">
        <v>2011</v>
      </c>
      <c r="AZ379" s="141">
        <v>18353828.719999999</v>
      </c>
      <c r="BA379" s="141">
        <v>54034678.659999996</v>
      </c>
      <c r="BU379" s="141">
        <v>54034678.659999996</v>
      </c>
    </row>
    <row r="380" spans="1:73" ht="14.4" x14ac:dyDescent="0.3">
      <c r="A380" s="160" t="s">
        <v>246</v>
      </c>
      <c r="B380" s="161">
        <v>2015</v>
      </c>
      <c r="C380" s="161">
        <v>372335.17</v>
      </c>
      <c r="D380" s="149"/>
      <c r="E380" s="149"/>
      <c r="F380" s="149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/>
      <c r="T380" s="149"/>
      <c r="U380" s="149"/>
      <c r="V380" s="149"/>
      <c r="W380" s="149"/>
      <c r="X380" s="161">
        <v>372335.17</v>
      </c>
      <c r="Y380" s="145"/>
      <c r="Z380" s="145"/>
      <c r="AX380" s="141" t="s">
        <v>240</v>
      </c>
      <c r="AY380" s="141">
        <v>2012</v>
      </c>
      <c r="AZ380" s="141">
        <v>18581442.920000002</v>
      </c>
      <c r="BU380" s="141">
        <v>18581442.920000002</v>
      </c>
    </row>
    <row r="381" spans="1:73" ht="14.4" x14ac:dyDescent="0.3">
      <c r="A381" s="160" t="s">
        <v>247</v>
      </c>
      <c r="B381" s="161">
        <v>1995</v>
      </c>
      <c r="C381" s="161">
        <v>3310131.12</v>
      </c>
      <c r="D381" s="161">
        <v>25071055.850000001</v>
      </c>
      <c r="E381" s="161">
        <v>51885626.810000002</v>
      </c>
      <c r="F381" s="161">
        <v>77547391.25999999</v>
      </c>
      <c r="G381" s="161">
        <v>97890488.719999999</v>
      </c>
      <c r="H381" s="161">
        <v>106689157.44</v>
      </c>
      <c r="I381" s="161">
        <v>110361032.91999999</v>
      </c>
      <c r="J381" s="161">
        <v>114560765.78</v>
      </c>
      <c r="K381" s="161">
        <v>116977948.17999999</v>
      </c>
      <c r="L381" s="161">
        <v>117913783.95</v>
      </c>
      <c r="M381" s="161">
        <v>118137561.8</v>
      </c>
      <c r="N381" s="161">
        <v>118204249.84999999</v>
      </c>
      <c r="O381" s="161">
        <v>118510184.62</v>
      </c>
      <c r="P381" s="161">
        <v>118510707.24000001</v>
      </c>
      <c r="Q381" s="161">
        <v>118513118.7</v>
      </c>
      <c r="R381" s="161">
        <v>118513118.7</v>
      </c>
      <c r="S381" s="161">
        <v>118513118.7</v>
      </c>
      <c r="T381" s="161">
        <v>118513118.7</v>
      </c>
      <c r="U381" s="161">
        <v>118513118.7</v>
      </c>
      <c r="V381" s="161">
        <v>118513118.7</v>
      </c>
      <c r="W381" s="161">
        <v>118513118.7</v>
      </c>
      <c r="X381" s="161">
        <v>118513118.7</v>
      </c>
      <c r="Y381" s="145"/>
      <c r="Z381" s="145"/>
      <c r="AX381" s="141" t="s">
        <v>241</v>
      </c>
      <c r="AY381" s="141">
        <v>1992</v>
      </c>
      <c r="AZ381" s="141">
        <v>1140571487.72</v>
      </c>
      <c r="BA381" s="141">
        <v>1343060274.6099999</v>
      </c>
      <c r="BB381" s="141">
        <v>1517128341.8099999</v>
      </c>
      <c r="BC381" s="141">
        <v>1645686111.6600001</v>
      </c>
      <c r="BD381" s="141">
        <v>1726987748.5</v>
      </c>
      <c r="BE381" s="141">
        <v>1766905329.26</v>
      </c>
      <c r="BF381" s="141">
        <v>1795027929.51</v>
      </c>
      <c r="BG381" s="141">
        <v>1814485277.01</v>
      </c>
      <c r="BH381" s="141">
        <v>1817901467.5799999</v>
      </c>
      <c r="BI381" s="141">
        <v>1825349691.4000001</v>
      </c>
      <c r="BJ381" s="141">
        <v>1830710731.47</v>
      </c>
      <c r="BK381" s="141">
        <v>1831255189.0899999</v>
      </c>
      <c r="BL381" s="141">
        <v>1834518378.6500001</v>
      </c>
      <c r="BM381" s="141">
        <v>1835246534.8199999</v>
      </c>
      <c r="BN381" s="141">
        <v>1836186565.8099999</v>
      </c>
      <c r="BO381" s="141">
        <v>1835856136.8900001</v>
      </c>
      <c r="BP381" s="141">
        <v>1836219031.6500001</v>
      </c>
      <c r="BQ381" s="141">
        <v>1836543893.3099999</v>
      </c>
      <c r="BR381" s="141">
        <v>1836519378.0899999</v>
      </c>
      <c r="BS381" s="141">
        <v>1836501463.55</v>
      </c>
      <c r="BT381" s="141">
        <v>1836526146.5799999</v>
      </c>
      <c r="BU381" s="141">
        <v>1836526146.5799999</v>
      </c>
    </row>
    <row r="382" spans="1:73" ht="14.4" x14ac:dyDescent="0.3">
      <c r="A382" s="160" t="s">
        <v>247</v>
      </c>
      <c r="B382" s="161">
        <v>1996</v>
      </c>
      <c r="C382" s="161">
        <v>8231563.7199999997</v>
      </c>
      <c r="D382" s="161">
        <v>39418308.469999999</v>
      </c>
      <c r="E382" s="161">
        <v>69800650.819999993</v>
      </c>
      <c r="F382" s="161">
        <v>92134065.510000005</v>
      </c>
      <c r="G382" s="161">
        <v>111243971.57000001</v>
      </c>
      <c r="H382" s="161">
        <v>129898913.7</v>
      </c>
      <c r="I382" s="161">
        <v>136957346.52000001</v>
      </c>
      <c r="J382" s="161">
        <v>140820531.69</v>
      </c>
      <c r="K382" s="161">
        <v>142245250.19999999</v>
      </c>
      <c r="L382" s="161">
        <v>142796156.30000001</v>
      </c>
      <c r="M382" s="161">
        <v>142982717.25</v>
      </c>
      <c r="N382" s="161">
        <v>143010717.72</v>
      </c>
      <c r="O382" s="161">
        <v>143011999.08000001</v>
      </c>
      <c r="P382" s="161">
        <v>143011857.42000002</v>
      </c>
      <c r="Q382" s="161">
        <v>143011857.42000002</v>
      </c>
      <c r="R382" s="161">
        <v>143011607.42000002</v>
      </c>
      <c r="S382" s="161">
        <v>143009857.42000002</v>
      </c>
      <c r="T382" s="161">
        <v>143009857.42000002</v>
      </c>
      <c r="U382" s="161">
        <v>143009857.42000002</v>
      </c>
      <c r="V382" s="161">
        <v>143009857.42000002</v>
      </c>
      <c r="W382" s="149"/>
      <c r="X382" s="161">
        <v>143009857.42000002</v>
      </c>
      <c r="Y382" s="145"/>
      <c r="Z382" s="145"/>
      <c r="AX382" s="141" t="s">
        <v>241</v>
      </c>
      <c r="AY382" s="141">
        <v>1993</v>
      </c>
      <c r="AZ382" s="141">
        <v>14533454.880000001</v>
      </c>
      <c r="BA382" s="141">
        <v>69562698.700000003</v>
      </c>
      <c r="BB382" s="141">
        <v>145076734.28999999</v>
      </c>
      <c r="BC382" s="141">
        <v>205450658.81</v>
      </c>
      <c r="BD382" s="141">
        <v>233828832.43000001</v>
      </c>
      <c r="BE382" s="141">
        <v>249472458.53</v>
      </c>
      <c r="BF382" s="141">
        <v>261497606.16999999</v>
      </c>
      <c r="BG382" s="141">
        <v>263787344.65000001</v>
      </c>
      <c r="BH382" s="141">
        <v>265570908.52000001</v>
      </c>
      <c r="BI382" s="141">
        <v>273054399.50999999</v>
      </c>
      <c r="BJ382" s="141">
        <v>273381711.24000001</v>
      </c>
      <c r="BK382" s="141">
        <v>273407682.69999999</v>
      </c>
      <c r="BL382" s="141">
        <v>275515769.10000002</v>
      </c>
      <c r="BM382" s="141">
        <v>275595652.23000002</v>
      </c>
      <c r="BN382" s="141">
        <v>275625798.55000001</v>
      </c>
      <c r="BO382" s="141">
        <v>275762119.36000001</v>
      </c>
      <c r="BP382" s="141">
        <v>275761904.63999999</v>
      </c>
      <c r="BQ382" s="141">
        <v>275762724.25999999</v>
      </c>
      <c r="BR382" s="141">
        <v>275763554.70999998</v>
      </c>
      <c r="BS382" s="141">
        <v>275764623.47000003</v>
      </c>
      <c r="BU382" s="141">
        <v>275764623.47000003</v>
      </c>
    </row>
    <row r="383" spans="1:73" ht="14.4" x14ac:dyDescent="0.3">
      <c r="A383" s="160" t="s">
        <v>247</v>
      </c>
      <c r="B383" s="161">
        <v>1997</v>
      </c>
      <c r="C383" s="161">
        <v>11660241.77</v>
      </c>
      <c r="D383" s="161">
        <v>34366306.049999997</v>
      </c>
      <c r="E383" s="161">
        <v>71746977.620000005</v>
      </c>
      <c r="F383" s="161">
        <v>98307960.689999998</v>
      </c>
      <c r="G383" s="161">
        <v>121469386.45</v>
      </c>
      <c r="H383" s="161">
        <v>133163255.60999998</v>
      </c>
      <c r="I383" s="161">
        <v>145596041.19999999</v>
      </c>
      <c r="J383" s="161">
        <v>152010562.22</v>
      </c>
      <c r="K383" s="161">
        <v>153969147.03999999</v>
      </c>
      <c r="L383" s="161">
        <v>154246049.38</v>
      </c>
      <c r="M383" s="161">
        <v>154404821.5</v>
      </c>
      <c r="N383" s="161">
        <v>154470904.34999999</v>
      </c>
      <c r="O383" s="161">
        <v>155244805.49000001</v>
      </c>
      <c r="P383" s="161">
        <v>155285219.44999999</v>
      </c>
      <c r="Q383" s="161">
        <v>159141962.50999999</v>
      </c>
      <c r="R383" s="161">
        <v>159787600.12</v>
      </c>
      <c r="S383" s="161">
        <v>159800660.63999999</v>
      </c>
      <c r="T383" s="161">
        <v>159805660.63999999</v>
      </c>
      <c r="U383" s="161">
        <v>159806342.74000001</v>
      </c>
      <c r="V383" s="149"/>
      <c r="W383" s="149"/>
      <c r="X383" s="161">
        <v>159806342.74000001</v>
      </c>
      <c r="Y383" s="145"/>
      <c r="Z383" s="145"/>
      <c r="AX383" s="141" t="s">
        <v>241</v>
      </c>
      <c r="AY383" s="141">
        <v>1994</v>
      </c>
      <c r="AZ383" s="141">
        <v>17841137.73</v>
      </c>
      <c r="BA383" s="141">
        <v>96146569.620000005</v>
      </c>
      <c r="BB383" s="141">
        <v>207404904.91</v>
      </c>
      <c r="BC383" s="141">
        <v>255849423.88999999</v>
      </c>
      <c r="BD383" s="141">
        <v>300835829.82999998</v>
      </c>
      <c r="BE383" s="141">
        <v>332865463.19</v>
      </c>
      <c r="BF383" s="141">
        <v>357417571.42000002</v>
      </c>
      <c r="BG383" s="141">
        <v>366884193.44999999</v>
      </c>
      <c r="BH383" s="141">
        <v>368417280.37</v>
      </c>
      <c r="BI383" s="141">
        <v>370017278.5</v>
      </c>
      <c r="BJ383" s="141">
        <v>371796003.70999998</v>
      </c>
      <c r="BK383" s="141">
        <v>372139714.94</v>
      </c>
      <c r="BL383" s="141">
        <v>372536236.80000001</v>
      </c>
      <c r="BM383" s="141">
        <v>373048375.02999997</v>
      </c>
      <c r="BN383" s="141">
        <v>374168065.08999997</v>
      </c>
      <c r="BO383" s="141">
        <v>374671659.55000001</v>
      </c>
      <c r="BP383" s="141">
        <v>374703726.42000002</v>
      </c>
      <c r="BQ383" s="141">
        <v>374732382.91000003</v>
      </c>
      <c r="BR383" s="141">
        <v>374806341.23000002</v>
      </c>
      <c r="BU383" s="141">
        <v>374806341.23000002</v>
      </c>
    </row>
    <row r="384" spans="1:73" ht="14.4" x14ac:dyDescent="0.3">
      <c r="A384" s="160" t="s">
        <v>247</v>
      </c>
      <c r="B384" s="161">
        <v>1998</v>
      </c>
      <c r="C384" s="161">
        <v>26942942.210000001</v>
      </c>
      <c r="D384" s="161">
        <v>58781171.780000001</v>
      </c>
      <c r="E384" s="161">
        <v>95281473.239999995</v>
      </c>
      <c r="F384" s="161">
        <v>132647627.45999999</v>
      </c>
      <c r="G384" s="161">
        <v>159704883.56999999</v>
      </c>
      <c r="H384" s="161">
        <v>174572137.94</v>
      </c>
      <c r="I384" s="161">
        <v>180197541.80000001</v>
      </c>
      <c r="J384" s="161">
        <v>186117793.88</v>
      </c>
      <c r="K384" s="161">
        <v>188554684.34</v>
      </c>
      <c r="L384" s="161">
        <v>189832633.76999998</v>
      </c>
      <c r="M384" s="161">
        <v>191238784.25</v>
      </c>
      <c r="N384" s="161">
        <v>191559331.57999998</v>
      </c>
      <c r="O384" s="161">
        <v>192605888.16999999</v>
      </c>
      <c r="P384" s="161">
        <v>193470082.63999999</v>
      </c>
      <c r="Q384" s="161">
        <v>193983577.94999999</v>
      </c>
      <c r="R384" s="161">
        <v>194005726.13999999</v>
      </c>
      <c r="S384" s="161">
        <v>194030491.55000001</v>
      </c>
      <c r="T384" s="161">
        <v>194043022.63999999</v>
      </c>
      <c r="U384" s="149"/>
      <c r="V384" s="149"/>
      <c r="W384" s="149"/>
      <c r="X384" s="161">
        <v>194043022.63999999</v>
      </c>
      <c r="Y384" s="145"/>
      <c r="Z384" s="145"/>
      <c r="AX384" s="141" t="s">
        <v>241</v>
      </c>
      <c r="AY384" s="141">
        <v>1995</v>
      </c>
      <c r="AZ384" s="141">
        <v>23517259.050000001</v>
      </c>
      <c r="BA384" s="141">
        <v>121541561.2</v>
      </c>
      <c r="BB384" s="141">
        <v>233337800.40000001</v>
      </c>
      <c r="BC384" s="141">
        <v>330846358.83999997</v>
      </c>
      <c r="BD384" s="141">
        <v>369818132.74000001</v>
      </c>
      <c r="BE384" s="141">
        <v>389369294.43000001</v>
      </c>
      <c r="BF384" s="141">
        <v>399576885.63999999</v>
      </c>
      <c r="BG384" s="141">
        <v>398969678.49000001</v>
      </c>
      <c r="BH384" s="141">
        <v>406886853.23000002</v>
      </c>
      <c r="BI384" s="141">
        <v>406442124.52999997</v>
      </c>
      <c r="BJ384" s="141">
        <v>413733270.75</v>
      </c>
      <c r="BK384" s="141">
        <v>414703866.75</v>
      </c>
      <c r="BL384" s="141">
        <v>415308710.56999999</v>
      </c>
      <c r="BM384" s="141">
        <v>415374593.38</v>
      </c>
      <c r="BN384" s="141">
        <v>415377987.44999999</v>
      </c>
      <c r="BO384" s="141">
        <v>415397522.31</v>
      </c>
      <c r="BP384" s="141">
        <v>415369859.66000003</v>
      </c>
      <c r="BQ384" s="141">
        <v>415332879.12</v>
      </c>
      <c r="BU384" s="141">
        <v>415332879.12</v>
      </c>
    </row>
    <row r="385" spans="1:73" ht="14.4" x14ac:dyDescent="0.3">
      <c r="A385" s="160" t="s">
        <v>247</v>
      </c>
      <c r="B385" s="161">
        <v>1999</v>
      </c>
      <c r="C385" s="161">
        <v>13336687.66</v>
      </c>
      <c r="D385" s="161">
        <v>52008766.880000003</v>
      </c>
      <c r="E385" s="161">
        <v>91173788.849999994</v>
      </c>
      <c r="F385" s="161">
        <v>126164675.33000001</v>
      </c>
      <c r="G385" s="161">
        <v>154340904.05000001</v>
      </c>
      <c r="H385" s="161">
        <v>167803862.58000001</v>
      </c>
      <c r="I385" s="161">
        <v>176410984.12</v>
      </c>
      <c r="J385" s="161">
        <v>184964284.13999999</v>
      </c>
      <c r="K385" s="161">
        <v>190923458.22</v>
      </c>
      <c r="L385" s="161">
        <v>191608664.07999998</v>
      </c>
      <c r="M385" s="161">
        <v>192173056.62</v>
      </c>
      <c r="N385" s="161">
        <v>192410733.56999999</v>
      </c>
      <c r="O385" s="161">
        <v>192502642.87</v>
      </c>
      <c r="P385" s="161">
        <v>192797278.09999999</v>
      </c>
      <c r="Q385" s="161">
        <v>192810939.16</v>
      </c>
      <c r="R385" s="161">
        <v>192836302.91</v>
      </c>
      <c r="S385" s="161">
        <v>192836302.91</v>
      </c>
      <c r="T385" s="149"/>
      <c r="U385" s="149"/>
      <c r="V385" s="149"/>
      <c r="W385" s="149"/>
      <c r="X385" s="161">
        <v>192836302.91</v>
      </c>
      <c r="Y385" s="145"/>
      <c r="Z385" s="145"/>
      <c r="AX385" s="141" t="s">
        <v>241</v>
      </c>
      <c r="AY385" s="141">
        <v>1996</v>
      </c>
      <c r="AZ385" s="141">
        <v>24880483.469999999</v>
      </c>
      <c r="BA385" s="141">
        <v>118671443.69</v>
      </c>
      <c r="BB385" s="141">
        <v>203663804.88</v>
      </c>
      <c r="BC385" s="141">
        <v>270224299.94999999</v>
      </c>
      <c r="BD385" s="141">
        <v>322893905.67000002</v>
      </c>
      <c r="BE385" s="141">
        <v>345566195.81</v>
      </c>
      <c r="BF385" s="141">
        <v>364130106.26999998</v>
      </c>
      <c r="BG385" s="141">
        <v>363514682.11000001</v>
      </c>
      <c r="BH385" s="141">
        <v>366962109.56999999</v>
      </c>
      <c r="BI385" s="141">
        <v>371774697.91000003</v>
      </c>
      <c r="BJ385" s="141">
        <v>372225038.32999998</v>
      </c>
      <c r="BK385" s="141">
        <v>372288436.86000001</v>
      </c>
      <c r="BL385" s="141">
        <v>374479041.19999999</v>
      </c>
      <c r="BM385" s="141">
        <v>374645564.98000002</v>
      </c>
      <c r="BN385" s="141">
        <v>375626288.56999999</v>
      </c>
      <c r="BO385" s="141">
        <v>375686308.18000001</v>
      </c>
      <c r="BP385" s="141">
        <v>375723048.88</v>
      </c>
      <c r="BU385" s="141">
        <v>375723048.88</v>
      </c>
    </row>
    <row r="386" spans="1:73" ht="14.4" x14ac:dyDescent="0.3">
      <c r="A386" s="160" t="s">
        <v>247</v>
      </c>
      <c r="B386" s="161">
        <v>2000</v>
      </c>
      <c r="C386" s="161">
        <v>19669471.919999998</v>
      </c>
      <c r="D386" s="161">
        <v>75290377.760000005</v>
      </c>
      <c r="E386" s="161">
        <v>138034542.25999999</v>
      </c>
      <c r="F386" s="161">
        <v>180599928.5</v>
      </c>
      <c r="G386" s="161">
        <v>221659228.12</v>
      </c>
      <c r="H386" s="161">
        <v>236463666.34</v>
      </c>
      <c r="I386" s="161">
        <v>245704534.69999999</v>
      </c>
      <c r="J386" s="161">
        <v>249652496.75999999</v>
      </c>
      <c r="K386" s="161">
        <v>257050430.24000001</v>
      </c>
      <c r="L386" s="161">
        <v>259487445.22000003</v>
      </c>
      <c r="M386" s="161">
        <v>263724852.87</v>
      </c>
      <c r="N386" s="161">
        <v>263775820.18000001</v>
      </c>
      <c r="O386" s="161">
        <v>264103831.14999998</v>
      </c>
      <c r="P386" s="161">
        <v>264192160.54999998</v>
      </c>
      <c r="Q386" s="161">
        <v>264195174.37</v>
      </c>
      <c r="R386" s="161">
        <v>264195174.37</v>
      </c>
      <c r="S386" s="149"/>
      <c r="T386" s="149"/>
      <c r="U386" s="149"/>
      <c r="V386" s="149"/>
      <c r="W386" s="149"/>
      <c r="X386" s="161">
        <v>264195174.37</v>
      </c>
      <c r="Y386" s="145"/>
      <c r="Z386" s="145"/>
      <c r="AX386" s="141" t="s">
        <v>241</v>
      </c>
      <c r="AY386" s="141">
        <v>1997</v>
      </c>
      <c r="AZ386" s="141">
        <v>21694249.420000002</v>
      </c>
      <c r="BA386" s="141">
        <v>103171390.87</v>
      </c>
      <c r="BB386" s="141">
        <v>195752660.02000001</v>
      </c>
      <c r="BC386" s="141">
        <v>260719410.99000001</v>
      </c>
      <c r="BD386" s="141">
        <v>305757763.17000002</v>
      </c>
      <c r="BE386" s="141">
        <v>345426469.79000002</v>
      </c>
      <c r="BF386" s="141">
        <v>347092564.94999999</v>
      </c>
      <c r="BG386" s="141">
        <v>356611663.56999999</v>
      </c>
      <c r="BH386" s="141">
        <v>366427139.23000002</v>
      </c>
      <c r="BI386" s="141">
        <v>370432688.54000002</v>
      </c>
      <c r="BJ386" s="141">
        <v>368107870.35000002</v>
      </c>
      <c r="BK386" s="141">
        <v>368330017.20999998</v>
      </c>
      <c r="BL386" s="141">
        <v>368773442.64999998</v>
      </c>
      <c r="BM386" s="141">
        <v>368838492.77999997</v>
      </c>
      <c r="BN386" s="141">
        <v>368861478.77999997</v>
      </c>
      <c r="BO386" s="141">
        <v>368871347.35000002</v>
      </c>
      <c r="BU386" s="141">
        <v>368871347.35000002</v>
      </c>
    </row>
    <row r="387" spans="1:73" ht="14.4" x14ac:dyDescent="0.3">
      <c r="A387" s="160" t="s">
        <v>247</v>
      </c>
      <c r="B387" s="161">
        <v>2001</v>
      </c>
      <c r="C387" s="161">
        <v>13516816.68</v>
      </c>
      <c r="D387" s="161">
        <v>59628237.890000001</v>
      </c>
      <c r="E387" s="161">
        <v>106423933.12</v>
      </c>
      <c r="F387" s="161">
        <v>141367721.30000001</v>
      </c>
      <c r="G387" s="161">
        <v>173930013.66000003</v>
      </c>
      <c r="H387" s="161">
        <v>197246800.09</v>
      </c>
      <c r="I387" s="161">
        <v>205236361.72000003</v>
      </c>
      <c r="J387" s="161">
        <v>221195133.41000003</v>
      </c>
      <c r="K387" s="161">
        <v>227018884.26999998</v>
      </c>
      <c r="L387" s="161">
        <v>229988681.42000002</v>
      </c>
      <c r="M387" s="161">
        <v>231394488.75999999</v>
      </c>
      <c r="N387" s="161">
        <v>236347336.47</v>
      </c>
      <c r="O387" s="161">
        <v>237704792.48999998</v>
      </c>
      <c r="P387" s="161">
        <v>237955803.60999998</v>
      </c>
      <c r="Q387" s="161">
        <v>237953148.26999998</v>
      </c>
      <c r="R387" s="149"/>
      <c r="S387" s="149"/>
      <c r="T387" s="149"/>
      <c r="U387" s="149"/>
      <c r="V387" s="149"/>
      <c r="W387" s="149"/>
      <c r="X387" s="161">
        <v>237953148.26999998</v>
      </c>
      <c r="Y387" s="145"/>
      <c r="Z387" s="145"/>
      <c r="AX387" s="141" t="s">
        <v>241</v>
      </c>
      <c r="AY387" s="141">
        <v>1998</v>
      </c>
      <c r="AZ387" s="141">
        <v>26579215.75</v>
      </c>
      <c r="BA387" s="141">
        <v>97726425.260000005</v>
      </c>
      <c r="BB387" s="141">
        <v>177953569.28</v>
      </c>
      <c r="BC387" s="141">
        <v>245601287.88</v>
      </c>
      <c r="BD387" s="141">
        <v>293138737.5</v>
      </c>
      <c r="BE387" s="141">
        <v>326801842.79000002</v>
      </c>
      <c r="BF387" s="141">
        <v>338237535.20999998</v>
      </c>
      <c r="BG387" s="141">
        <v>342498323.37</v>
      </c>
      <c r="BH387" s="141">
        <v>345670314.25999999</v>
      </c>
      <c r="BI387" s="141">
        <v>353319676.64999998</v>
      </c>
      <c r="BJ387" s="141">
        <v>354032323.81999999</v>
      </c>
      <c r="BK387" s="141">
        <v>355615911.31</v>
      </c>
      <c r="BL387" s="141">
        <v>356385803.37</v>
      </c>
      <c r="BM387" s="141">
        <v>357105311.92000002</v>
      </c>
      <c r="BN387" s="141">
        <v>357144273.25999999</v>
      </c>
      <c r="BU387" s="141">
        <v>357144273.25999999</v>
      </c>
    </row>
    <row r="388" spans="1:73" ht="14.4" x14ac:dyDescent="0.3">
      <c r="A388" s="160" t="s">
        <v>247</v>
      </c>
      <c r="B388" s="161">
        <v>2002</v>
      </c>
      <c r="C388" s="161">
        <v>13134688.449999999</v>
      </c>
      <c r="D388" s="161">
        <v>53562429.390000001</v>
      </c>
      <c r="E388" s="161">
        <v>101451119.02</v>
      </c>
      <c r="F388" s="161">
        <v>151156623.15000001</v>
      </c>
      <c r="G388" s="161">
        <v>187291904.34</v>
      </c>
      <c r="H388" s="161">
        <v>200509326.03999999</v>
      </c>
      <c r="I388" s="161">
        <v>231165739.31999999</v>
      </c>
      <c r="J388" s="161">
        <v>239438640.07999998</v>
      </c>
      <c r="K388" s="161">
        <v>249670395.67000002</v>
      </c>
      <c r="L388" s="161">
        <v>254528779.68000001</v>
      </c>
      <c r="M388" s="161">
        <v>259277037.61000001</v>
      </c>
      <c r="N388" s="161">
        <v>262683997.41</v>
      </c>
      <c r="O388" s="161">
        <v>263222274.45999998</v>
      </c>
      <c r="P388" s="161">
        <v>269020119.58000004</v>
      </c>
      <c r="Q388" s="149"/>
      <c r="R388" s="149"/>
      <c r="S388" s="149"/>
      <c r="T388" s="149"/>
      <c r="U388" s="149"/>
      <c r="V388" s="149"/>
      <c r="W388" s="149"/>
      <c r="X388" s="161">
        <v>269020119.58000004</v>
      </c>
      <c r="Y388" s="145"/>
      <c r="Z388" s="145"/>
      <c r="AX388" s="141" t="s">
        <v>241</v>
      </c>
      <c r="AY388" s="141">
        <v>1999</v>
      </c>
      <c r="AZ388" s="141">
        <v>20052433.129999999</v>
      </c>
      <c r="BA388" s="141">
        <v>73820735.219999999</v>
      </c>
      <c r="BB388" s="141">
        <v>149808039.28999999</v>
      </c>
      <c r="BC388" s="141">
        <v>192121269.72</v>
      </c>
      <c r="BD388" s="141">
        <v>119426089.09</v>
      </c>
      <c r="BE388" s="141">
        <v>131372744.61</v>
      </c>
      <c r="BF388" s="141">
        <v>136810595.99000001</v>
      </c>
      <c r="BG388" s="141">
        <v>143073533.81</v>
      </c>
      <c r="BH388" s="141">
        <v>143970590.94999999</v>
      </c>
      <c r="BI388" s="141">
        <v>145703796.91</v>
      </c>
      <c r="BJ388" s="141">
        <v>146784620.47</v>
      </c>
      <c r="BK388" s="141">
        <v>147033475</v>
      </c>
      <c r="BL388" s="141">
        <v>147289823.27000001</v>
      </c>
      <c r="BM388" s="141">
        <v>147455312.65000001</v>
      </c>
      <c r="BU388" s="141">
        <v>147455312.65000001</v>
      </c>
    </row>
    <row r="389" spans="1:73" ht="14.4" x14ac:dyDescent="0.3">
      <c r="A389" s="160" t="s">
        <v>247</v>
      </c>
      <c r="B389" s="161">
        <v>2003</v>
      </c>
      <c r="C389" s="161">
        <v>11418390.940000001</v>
      </c>
      <c r="D389" s="161">
        <v>55741733.100000009</v>
      </c>
      <c r="E389" s="161">
        <v>109013296.11</v>
      </c>
      <c r="F389" s="161">
        <v>152281184.78</v>
      </c>
      <c r="G389" s="161">
        <v>184816496.38999999</v>
      </c>
      <c r="H389" s="161">
        <v>204274998.05000001</v>
      </c>
      <c r="I389" s="161">
        <v>216962632.63999999</v>
      </c>
      <c r="J389" s="161">
        <v>235167484.94999999</v>
      </c>
      <c r="K389" s="161">
        <v>243351378.44999999</v>
      </c>
      <c r="L389" s="161">
        <v>247830512.71000001</v>
      </c>
      <c r="M389" s="161">
        <v>249587595.26000002</v>
      </c>
      <c r="N389" s="161">
        <v>251609090.84000003</v>
      </c>
      <c r="O389" s="161">
        <v>252310047.60000002</v>
      </c>
      <c r="P389" s="149"/>
      <c r="Q389" s="149"/>
      <c r="R389" s="149"/>
      <c r="S389" s="149"/>
      <c r="T389" s="149"/>
      <c r="U389" s="149"/>
      <c r="V389" s="149"/>
      <c r="W389" s="149"/>
      <c r="X389" s="161">
        <v>252310047.60000002</v>
      </c>
      <c r="Y389" s="145"/>
      <c r="Z389" s="145"/>
      <c r="AX389" s="141" t="s">
        <v>241</v>
      </c>
      <c r="AY389" s="141">
        <v>2000</v>
      </c>
      <c r="AZ389" s="141">
        <v>13602349.9</v>
      </c>
      <c r="BA389" s="141">
        <v>45593138.390000001</v>
      </c>
      <c r="BB389" s="141">
        <v>81727683.049999997</v>
      </c>
      <c r="BC389" s="141">
        <v>14408816.91</v>
      </c>
      <c r="BD389" s="141">
        <v>36705483.329999998</v>
      </c>
      <c r="BE389" s="141">
        <v>51354364.920000002</v>
      </c>
      <c r="BF389" s="141">
        <v>57492157.920000002</v>
      </c>
      <c r="BG389" s="141">
        <v>61420279.590000004</v>
      </c>
      <c r="BH389" s="141">
        <v>63636456.469999999</v>
      </c>
      <c r="BI389" s="141">
        <v>63549732.57</v>
      </c>
      <c r="BJ389" s="141">
        <v>60398623.990000002</v>
      </c>
      <c r="BK389" s="141">
        <v>60301394.479999997</v>
      </c>
      <c r="BL389" s="141">
        <v>67422134.260000005</v>
      </c>
      <c r="BU389" s="141">
        <v>67422134.260000005</v>
      </c>
    </row>
    <row r="390" spans="1:73" ht="14.4" x14ac:dyDescent="0.3">
      <c r="A390" s="160" t="s">
        <v>247</v>
      </c>
      <c r="B390" s="161">
        <v>2004</v>
      </c>
      <c r="C390" s="161">
        <v>9846077.6300000008</v>
      </c>
      <c r="D390" s="161">
        <v>45788744.640000001</v>
      </c>
      <c r="E390" s="161">
        <v>91038930.900000006</v>
      </c>
      <c r="F390" s="161">
        <v>129663866.10999998</v>
      </c>
      <c r="G390" s="161">
        <v>159221501.30000001</v>
      </c>
      <c r="H390" s="161">
        <v>183151842.06</v>
      </c>
      <c r="I390" s="161">
        <v>192663561.39999998</v>
      </c>
      <c r="J390" s="161">
        <v>200515852.13</v>
      </c>
      <c r="K390" s="161">
        <v>202368826.48000002</v>
      </c>
      <c r="L390" s="161">
        <v>204690406.43000001</v>
      </c>
      <c r="M390" s="161">
        <v>207758237.46000001</v>
      </c>
      <c r="N390" s="161">
        <v>208392775.06</v>
      </c>
      <c r="O390" s="149"/>
      <c r="P390" s="149"/>
      <c r="Q390" s="149"/>
      <c r="R390" s="149"/>
      <c r="S390" s="149"/>
      <c r="T390" s="149"/>
      <c r="U390" s="149"/>
      <c r="V390" s="149"/>
      <c r="W390" s="149"/>
      <c r="X390" s="161">
        <v>208392775.06</v>
      </c>
      <c r="Y390" s="145"/>
      <c r="Z390" s="145"/>
      <c r="AX390" s="141" t="s">
        <v>241</v>
      </c>
      <c r="AY390" s="141">
        <v>2001</v>
      </c>
      <c r="AZ390" s="141">
        <v>13524986.75</v>
      </c>
      <c r="BA390" s="141">
        <v>46515912.649999999</v>
      </c>
      <c r="BB390" s="141">
        <v>44415080.25</v>
      </c>
      <c r="BC390" s="141">
        <v>67010255.829999998</v>
      </c>
      <c r="BD390" s="141">
        <v>88223328.230000004</v>
      </c>
      <c r="BE390" s="141">
        <v>100269802.54000001</v>
      </c>
      <c r="BF390" s="141">
        <v>104207632.14</v>
      </c>
      <c r="BG390" s="141">
        <v>107827191.04000001</v>
      </c>
      <c r="BH390" s="141">
        <v>108970792.26000001</v>
      </c>
      <c r="BI390" s="141">
        <v>110195138.95999999</v>
      </c>
      <c r="BJ390" s="141">
        <v>110662078.08</v>
      </c>
      <c r="BK390" s="141">
        <v>111008518.23</v>
      </c>
      <c r="BU390" s="141">
        <v>111008518.23</v>
      </c>
    </row>
    <row r="391" spans="1:73" ht="14.4" x14ac:dyDescent="0.3">
      <c r="A391" s="160" t="s">
        <v>247</v>
      </c>
      <c r="B391" s="161">
        <v>2005</v>
      </c>
      <c r="C391" s="161">
        <v>8411673.1300000008</v>
      </c>
      <c r="D391" s="161">
        <v>45440784.609999999</v>
      </c>
      <c r="E391" s="161">
        <v>89245004.949999988</v>
      </c>
      <c r="F391" s="161">
        <v>130017156.7</v>
      </c>
      <c r="G391" s="161">
        <v>161497800.84999999</v>
      </c>
      <c r="H391" s="161">
        <v>185635679.38999999</v>
      </c>
      <c r="I391" s="161">
        <v>192960274.74000001</v>
      </c>
      <c r="J391" s="161">
        <v>198347943.05000001</v>
      </c>
      <c r="K391" s="161">
        <v>200579568.56</v>
      </c>
      <c r="L391" s="161">
        <v>211539284.44999999</v>
      </c>
      <c r="M391" s="161">
        <v>213228817.72000003</v>
      </c>
      <c r="N391" s="149"/>
      <c r="O391" s="149"/>
      <c r="P391" s="149"/>
      <c r="Q391" s="149"/>
      <c r="R391" s="149"/>
      <c r="S391" s="149"/>
      <c r="T391" s="149"/>
      <c r="U391" s="149"/>
      <c r="V391" s="149"/>
      <c r="W391" s="149"/>
      <c r="X391" s="161">
        <v>213228817.72000003</v>
      </c>
      <c r="Y391" s="145"/>
      <c r="Z391" s="145"/>
      <c r="AX391" s="141" t="s">
        <v>241</v>
      </c>
      <c r="AY391" s="141">
        <v>2002</v>
      </c>
      <c r="AZ391" s="141">
        <v>9435268.6099999994</v>
      </c>
      <c r="BA391" s="141">
        <v>21814432.239999998</v>
      </c>
      <c r="BB391" s="141">
        <v>41251591.170000002</v>
      </c>
      <c r="BC391" s="141">
        <v>63669165.57</v>
      </c>
      <c r="BD391" s="141">
        <v>78823980.260000005</v>
      </c>
      <c r="BE391" s="141">
        <v>93629777.530000001</v>
      </c>
      <c r="BF391" s="141">
        <v>100115341.88</v>
      </c>
      <c r="BG391" s="141">
        <v>101534603.5</v>
      </c>
      <c r="BH391" s="141">
        <v>102254734.73</v>
      </c>
      <c r="BI391" s="141">
        <v>103452253.04000001</v>
      </c>
      <c r="BJ391" s="141">
        <v>104189529.29000001</v>
      </c>
      <c r="BU391" s="141">
        <v>104189529.29000001</v>
      </c>
    </row>
    <row r="392" spans="1:73" ht="14.4" x14ac:dyDescent="0.3">
      <c r="A392" s="160" t="s">
        <v>247</v>
      </c>
      <c r="B392" s="161">
        <v>2006</v>
      </c>
      <c r="C392" s="161">
        <v>7495227.5</v>
      </c>
      <c r="D392" s="161">
        <v>42772113.980000004</v>
      </c>
      <c r="E392" s="161">
        <v>78832998.169999987</v>
      </c>
      <c r="F392" s="161">
        <v>113026937.72999999</v>
      </c>
      <c r="G392" s="161">
        <v>137903284.99000001</v>
      </c>
      <c r="H392" s="161">
        <v>157429682.84</v>
      </c>
      <c r="I392" s="161">
        <v>167615586.97</v>
      </c>
      <c r="J392" s="161">
        <v>176899661.47999999</v>
      </c>
      <c r="K392" s="161">
        <v>183042502.79999998</v>
      </c>
      <c r="L392" s="161">
        <v>191151376.5</v>
      </c>
      <c r="M392" s="149"/>
      <c r="N392" s="149"/>
      <c r="O392" s="149"/>
      <c r="P392" s="149"/>
      <c r="Q392" s="149"/>
      <c r="R392" s="149"/>
      <c r="S392" s="149"/>
      <c r="T392" s="149"/>
      <c r="U392" s="149"/>
      <c r="V392" s="149"/>
      <c r="W392" s="149"/>
      <c r="X392" s="161">
        <v>191151376.5</v>
      </c>
      <c r="Y392" s="145"/>
      <c r="Z392" s="145"/>
      <c r="AX392" s="141" t="s">
        <v>241</v>
      </c>
      <c r="AY392" s="141">
        <v>2003</v>
      </c>
      <c r="AZ392" s="141">
        <v>7655494.4500000002</v>
      </c>
      <c r="BA392" s="141">
        <v>21436611.899999999</v>
      </c>
      <c r="BB392" s="141">
        <v>41660243.030000001</v>
      </c>
      <c r="BC392" s="141">
        <v>57026287.600000001</v>
      </c>
      <c r="BD392" s="141">
        <v>69130784.599999994</v>
      </c>
      <c r="BE392" s="141">
        <v>75140620.230000004</v>
      </c>
      <c r="BF392" s="141">
        <v>78508975.5</v>
      </c>
      <c r="BG392" s="141">
        <v>80336555.489999995</v>
      </c>
      <c r="BH392" s="141">
        <v>83149197.670000002</v>
      </c>
      <c r="BI392" s="141">
        <v>84841196.420000002</v>
      </c>
      <c r="BU392" s="141">
        <v>84841196.420000002</v>
      </c>
    </row>
    <row r="393" spans="1:73" ht="14.4" x14ac:dyDescent="0.3">
      <c r="A393" s="160" t="s">
        <v>247</v>
      </c>
      <c r="B393" s="161">
        <v>2007</v>
      </c>
      <c r="C393" s="161">
        <v>7199172.8200000003</v>
      </c>
      <c r="D393" s="161">
        <v>42360030.590000004</v>
      </c>
      <c r="E393" s="161">
        <v>87558981.200000003</v>
      </c>
      <c r="F393" s="161">
        <v>119141237.34</v>
      </c>
      <c r="G393" s="161">
        <v>137541590.90000001</v>
      </c>
      <c r="H393" s="161">
        <v>162355554.74000001</v>
      </c>
      <c r="I393" s="161">
        <v>169654435.66</v>
      </c>
      <c r="J393" s="161">
        <v>174549784.27000001</v>
      </c>
      <c r="K393" s="161">
        <v>177224655.81</v>
      </c>
      <c r="L393" s="149"/>
      <c r="M393" s="149"/>
      <c r="N393" s="149"/>
      <c r="O393" s="149"/>
      <c r="P393" s="149"/>
      <c r="Q393" s="149"/>
      <c r="R393" s="149"/>
      <c r="S393" s="149"/>
      <c r="T393" s="149"/>
      <c r="U393" s="149"/>
      <c r="V393" s="149"/>
      <c r="W393" s="149"/>
      <c r="X393" s="161">
        <v>177224655.81</v>
      </c>
      <c r="Y393" s="145"/>
      <c r="Z393" s="145"/>
      <c r="AX393" s="141" t="s">
        <v>241</v>
      </c>
      <c r="AY393" s="141">
        <v>2004</v>
      </c>
      <c r="AZ393" s="141">
        <v>14688516.4</v>
      </c>
      <c r="BA393" s="141">
        <v>29647671.620000001</v>
      </c>
      <c r="BB393" s="141">
        <v>54958363.549999997</v>
      </c>
      <c r="BC393" s="141">
        <v>73780665.739999995</v>
      </c>
      <c r="BD393" s="141">
        <v>90349396.709999993</v>
      </c>
      <c r="BE393" s="141">
        <v>103070362.28</v>
      </c>
      <c r="BF393" s="141">
        <v>106707690.36</v>
      </c>
      <c r="BG393" s="141">
        <v>109279380.23</v>
      </c>
      <c r="BH393" s="141">
        <v>111166661.94</v>
      </c>
      <c r="BU393" s="141">
        <v>111166661.94</v>
      </c>
    </row>
    <row r="394" spans="1:73" ht="14.4" x14ac:dyDescent="0.3">
      <c r="A394" s="160" t="s">
        <v>247</v>
      </c>
      <c r="B394" s="161">
        <v>2008</v>
      </c>
      <c r="C394" s="161">
        <v>7668786.9100000001</v>
      </c>
      <c r="D394" s="161">
        <v>42313567.589999996</v>
      </c>
      <c r="E394" s="161">
        <v>82231561.129999995</v>
      </c>
      <c r="F394" s="161">
        <v>119082112.72999999</v>
      </c>
      <c r="G394" s="161">
        <v>137213604.69999999</v>
      </c>
      <c r="H394" s="161">
        <v>149498334.91</v>
      </c>
      <c r="I394" s="161">
        <v>158941535.22999999</v>
      </c>
      <c r="J394" s="161">
        <v>163953105.75999999</v>
      </c>
      <c r="K394" s="149"/>
      <c r="L394" s="149"/>
      <c r="M394" s="149"/>
      <c r="N394" s="149"/>
      <c r="O394" s="149"/>
      <c r="P394" s="149"/>
      <c r="Q394" s="149"/>
      <c r="R394" s="149"/>
      <c r="S394" s="149"/>
      <c r="T394" s="149"/>
      <c r="U394" s="149"/>
      <c r="V394" s="149"/>
      <c r="W394" s="149"/>
      <c r="X394" s="161">
        <v>163953105.75999999</v>
      </c>
      <c r="Y394" s="145"/>
      <c r="Z394" s="145"/>
      <c r="AX394" s="141" t="s">
        <v>241</v>
      </c>
      <c r="AY394" s="141">
        <v>2005</v>
      </c>
      <c r="AZ394" s="141">
        <v>11136486.33</v>
      </c>
      <c r="BA394" s="141">
        <v>34668121.579999998</v>
      </c>
      <c r="BB394" s="141">
        <v>64387809.009999998</v>
      </c>
      <c r="BC394" s="141">
        <v>95419870.090000004</v>
      </c>
      <c r="BD394" s="141">
        <v>114036993.02</v>
      </c>
      <c r="BE394" s="141">
        <v>126569691.58</v>
      </c>
      <c r="BF394" s="141">
        <v>132739203.66</v>
      </c>
      <c r="BG394" s="141">
        <v>140442900.72</v>
      </c>
      <c r="BU394" s="141">
        <v>140442900.72</v>
      </c>
    </row>
    <row r="395" spans="1:73" ht="14.4" x14ac:dyDescent="0.3">
      <c r="A395" s="160" t="s">
        <v>247</v>
      </c>
      <c r="B395" s="161">
        <v>2009</v>
      </c>
      <c r="C395" s="161">
        <v>6104540.2800000003</v>
      </c>
      <c r="D395" s="161">
        <v>29852974.890000001</v>
      </c>
      <c r="E395" s="161">
        <v>52710492.890000001</v>
      </c>
      <c r="F395" s="161">
        <v>76535030.810000002</v>
      </c>
      <c r="G395" s="161">
        <v>95552826.689999998</v>
      </c>
      <c r="H395" s="161">
        <v>105780972.74000001</v>
      </c>
      <c r="I395" s="161">
        <v>116928425.92</v>
      </c>
      <c r="J395" s="149"/>
      <c r="K395" s="149"/>
      <c r="L395" s="149"/>
      <c r="M395" s="149"/>
      <c r="N395" s="149"/>
      <c r="O395" s="149"/>
      <c r="P395" s="149"/>
      <c r="Q395" s="149"/>
      <c r="R395" s="149"/>
      <c r="S395" s="149"/>
      <c r="T395" s="149"/>
      <c r="U395" s="149"/>
      <c r="V395" s="149"/>
      <c r="W395" s="149"/>
      <c r="X395" s="161">
        <v>116928425.92</v>
      </c>
      <c r="Y395" s="145"/>
      <c r="Z395" s="145"/>
      <c r="AX395" s="141" t="s">
        <v>241</v>
      </c>
      <c r="AY395" s="141">
        <v>2006</v>
      </c>
      <c r="AZ395" s="141">
        <v>6729748.7400000002</v>
      </c>
      <c r="BA395" s="141">
        <v>23689660.859999999</v>
      </c>
      <c r="BB395" s="141">
        <v>49265755.109999999</v>
      </c>
      <c r="BC395" s="141">
        <v>70971179.25</v>
      </c>
      <c r="BD395" s="141">
        <v>89551254.950000003</v>
      </c>
      <c r="BE395" s="141">
        <v>101497816.56</v>
      </c>
      <c r="BF395" s="141">
        <v>113909666.34999999</v>
      </c>
      <c r="BU395" s="141">
        <v>113909666.34999999</v>
      </c>
    </row>
    <row r="396" spans="1:73" ht="14.4" x14ac:dyDescent="0.3">
      <c r="A396" s="160" t="s">
        <v>247</v>
      </c>
      <c r="B396" s="161">
        <v>2010</v>
      </c>
      <c r="C396" s="161">
        <v>4141968.28</v>
      </c>
      <c r="D396" s="161">
        <v>28576838.509999998</v>
      </c>
      <c r="E396" s="161">
        <v>56305174.799999997</v>
      </c>
      <c r="F396" s="161">
        <v>84773453.079999998</v>
      </c>
      <c r="G396" s="161">
        <v>104609408.27000001</v>
      </c>
      <c r="H396" s="161">
        <v>110230554.97</v>
      </c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149"/>
      <c r="W396" s="149"/>
      <c r="X396" s="161">
        <v>110230554.97</v>
      </c>
      <c r="Y396" s="145"/>
      <c r="Z396" s="145"/>
      <c r="AX396" s="141" t="s">
        <v>241</v>
      </c>
      <c r="AY396" s="141">
        <v>2007</v>
      </c>
      <c r="AZ396" s="141">
        <v>9191484.5700000003</v>
      </c>
      <c r="BA396" s="141">
        <v>32178545.02</v>
      </c>
      <c r="BB396" s="141">
        <v>62428923.060000002</v>
      </c>
      <c r="BC396" s="141">
        <v>92979561.140000001</v>
      </c>
      <c r="BD396" s="141">
        <v>116377808.69</v>
      </c>
      <c r="BE396" s="141">
        <v>131146523.55</v>
      </c>
      <c r="BU396" s="141">
        <v>131146523.55</v>
      </c>
    </row>
    <row r="397" spans="1:73" ht="14.4" x14ac:dyDescent="0.3">
      <c r="A397" s="160" t="s">
        <v>247</v>
      </c>
      <c r="B397" s="161">
        <v>2011</v>
      </c>
      <c r="C397" s="161">
        <v>10257033.73</v>
      </c>
      <c r="D397" s="161">
        <v>36876246.829999998</v>
      </c>
      <c r="E397" s="161">
        <v>57446647.379999995</v>
      </c>
      <c r="F397" s="161">
        <v>73413417.209999993</v>
      </c>
      <c r="G397" s="161">
        <v>90732470.670000002</v>
      </c>
      <c r="H397" s="149"/>
      <c r="I397" s="149"/>
      <c r="J397" s="149"/>
      <c r="K397" s="149"/>
      <c r="L397" s="149"/>
      <c r="M397" s="149"/>
      <c r="N397" s="149"/>
      <c r="O397" s="149"/>
      <c r="P397" s="149"/>
      <c r="Q397" s="149"/>
      <c r="R397" s="149"/>
      <c r="S397" s="149"/>
      <c r="T397" s="149"/>
      <c r="U397" s="149"/>
      <c r="V397" s="149"/>
      <c r="W397" s="149"/>
      <c r="X397" s="161">
        <v>90732470.670000002</v>
      </c>
      <c r="Y397" s="145"/>
      <c r="Z397" s="145"/>
      <c r="AX397" s="141" t="s">
        <v>241</v>
      </c>
      <c r="AY397" s="141">
        <v>2008</v>
      </c>
      <c r="AZ397" s="141">
        <v>12988757.43</v>
      </c>
      <c r="BA397" s="141">
        <v>42692424.969999999</v>
      </c>
      <c r="BB397" s="141">
        <v>75452838</v>
      </c>
      <c r="BC397" s="141">
        <v>106513951.14</v>
      </c>
      <c r="BD397" s="141">
        <v>122379020.45999999</v>
      </c>
      <c r="BU397" s="141">
        <v>122379020.45999999</v>
      </c>
    </row>
    <row r="398" spans="1:73" ht="14.4" x14ac:dyDescent="0.3">
      <c r="A398" s="160" t="s">
        <v>247</v>
      </c>
      <c r="B398" s="161">
        <v>2012</v>
      </c>
      <c r="C398" s="161">
        <v>4979671.7899999991</v>
      </c>
      <c r="D398" s="161">
        <v>28286772.760000002</v>
      </c>
      <c r="E398" s="161">
        <v>47538117.719999999</v>
      </c>
      <c r="F398" s="161">
        <v>66045479.340000004</v>
      </c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/>
      <c r="T398" s="149"/>
      <c r="U398" s="149"/>
      <c r="V398" s="149"/>
      <c r="W398" s="149"/>
      <c r="X398" s="161">
        <v>66045479.340000004</v>
      </c>
      <c r="Y398" s="145"/>
      <c r="Z398" s="145"/>
      <c r="AX398" s="141" t="s">
        <v>241</v>
      </c>
      <c r="AY398" s="141">
        <v>2009</v>
      </c>
      <c r="AZ398" s="141">
        <v>10868804.720000001</v>
      </c>
      <c r="BA398" s="141">
        <v>38038698.780000001</v>
      </c>
      <c r="BB398" s="141">
        <v>70866342.709999993</v>
      </c>
      <c r="BC398" s="141">
        <v>106006627.77</v>
      </c>
      <c r="BU398" s="141">
        <v>106006627.77</v>
      </c>
    </row>
    <row r="399" spans="1:73" ht="14.4" x14ac:dyDescent="0.3">
      <c r="A399" s="160" t="s">
        <v>247</v>
      </c>
      <c r="B399" s="161">
        <v>2013</v>
      </c>
      <c r="C399" s="161">
        <v>5577497.1600000001</v>
      </c>
      <c r="D399" s="161">
        <v>27118816.98</v>
      </c>
      <c r="E399" s="161">
        <v>47626552.350000001</v>
      </c>
      <c r="F399" s="149"/>
      <c r="G399" s="149"/>
      <c r="H399" s="149"/>
      <c r="I399" s="149"/>
      <c r="J399" s="149"/>
      <c r="K399" s="149"/>
      <c r="L399" s="149"/>
      <c r="M399" s="149"/>
      <c r="N399" s="149"/>
      <c r="O399" s="149"/>
      <c r="P399" s="149"/>
      <c r="Q399" s="149"/>
      <c r="R399" s="149"/>
      <c r="S399" s="149"/>
      <c r="T399" s="149"/>
      <c r="U399" s="149"/>
      <c r="V399" s="149"/>
      <c r="W399" s="149"/>
      <c r="X399" s="161">
        <v>47626552.350000001</v>
      </c>
      <c r="Y399" s="145"/>
      <c r="Z399" s="145"/>
      <c r="AX399" s="141" t="s">
        <v>241</v>
      </c>
      <c r="AY399" s="141">
        <v>2010</v>
      </c>
      <c r="AZ399" s="141">
        <v>12936889.050000001</v>
      </c>
      <c r="BA399" s="141">
        <v>53702337.890000001</v>
      </c>
      <c r="BB399" s="141">
        <v>101703885.59999999</v>
      </c>
      <c r="BU399" s="141">
        <v>101703885.59999999</v>
      </c>
    </row>
    <row r="400" spans="1:73" ht="14.4" x14ac:dyDescent="0.3">
      <c r="A400" s="160" t="s">
        <v>247</v>
      </c>
      <c r="B400" s="161">
        <v>2014</v>
      </c>
      <c r="C400" s="161">
        <v>5324153.78</v>
      </c>
      <c r="D400" s="161">
        <v>29939266.619999997</v>
      </c>
      <c r="E400" s="149"/>
      <c r="F400" s="149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/>
      <c r="T400" s="149"/>
      <c r="U400" s="149"/>
      <c r="V400" s="149"/>
      <c r="W400" s="149"/>
      <c r="X400" s="161">
        <v>29939266.619999997</v>
      </c>
      <c r="Y400" s="145"/>
      <c r="Z400" s="145"/>
      <c r="AX400" s="141" t="s">
        <v>241</v>
      </c>
      <c r="AY400" s="141">
        <v>2011</v>
      </c>
      <c r="AZ400" s="141">
        <v>20072256.260000002</v>
      </c>
      <c r="BA400" s="141">
        <v>60710548.670000002</v>
      </c>
      <c r="BU400" s="141">
        <v>60710548.670000002</v>
      </c>
    </row>
    <row r="401" spans="1:73" ht="14.4" x14ac:dyDescent="0.3">
      <c r="A401" s="160" t="s">
        <v>247</v>
      </c>
      <c r="B401" s="161">
        <v>2015</v>
      </c>
      <c r="C401" s="161">
        <v>7850797.2000000002</v>
      </c>
      <c r="D401" s="149"/>
      <c r="E401" s="149"/>
      <c r="F401" s="149"/>
      <c r="G401" s="149"/>
      <c r="H401" s="149"/>
      <c r="I401" s="149"/>
      <c r="J401" s="149"/>
      <c r="K401" s="149"/>
      <c r="L401" s="149"/>
      <c r="M401" s="149"/>
      <c r="N401" s="149"/>
      <c r="O401" s="149"/>
      <c r="P401" s="149"/>
      <c r="Q401" s="149"/>
      <c r="R401" s="149"/>
      <c r="S401" s="149"/>
      <c r="T401" s="149"/>
      <c r="U401" s="149"/>
      <c r="V401" s="149"/>
      <c r="W401" s="149"/>
      <c r="X401" s="161">
        <v>7850797.2000000002</v>
      </c>
      <c r="Y401" s="145"/>
      <c r="Z401" s="145"/>
      <c r="AX401" s="141" t="s">
        <v>241</v>
      </c>
      <c r="AY401" s="141">
        <v>2012</v>
      </c>
      <c r="AZ401" s="141">
        <v>12771150.029999999</v>
      </c>
      <c r="BU401" s="141">
        <v>12771150.029999999</v>
      </c>
    </row>
    <row r="402" spans="1:73" ht="14.4" x14ac:dyDescent="0.3">
      <c r="A402" s="160" t="s">
        <v>248</v>
      </c>
      <c r="B402" s="161">
        <v>1995</v>
      </c>
      <c r="C402" s="161">
        <v>4655882.0199999996</v>
      </c>
      <c r="D402" s="161">
        <v>36139291.469999999</v>
      </c>
      <c r="E402" s="161">
        <v>65387686.009999998</v>
      </c>
      <c r="F402" s="161">
        <v>88682482</v>
      </c>
      <c r="G402" s="161">
        <v>102213823.5</v>
      </c>
      <c r="H402" s="161">
        <v>111837710.89</v>
      </c>
      <c r="I402" s="161">
        <v>116216221.81</v>
      </c>
      <c r="J402" s="161">
        <v>117400440.21000001</v>
      </c>
      <c r="K402" s="161">
        <v>118036501.27000001</v>
      </c>
      <c r="L402" s="161">
        <v>118551480.89000002</v>
      </c>
      <c r="M402" s="161">
        <v>119707657.45999999</v>
      </c>
      <c r="N402" s="161">
        <v>119952909.88999999</v>
      </c>
      <c r="O402" s="161">
        <v>120098640.90000001</v>
      </c>
      <c r="P402" s="161">
        <v>120602642.48999999</v>
      </c>
      <c r="Q402" s="161">
        <v>120623236.97</v>
      </c>
      <c r="R402" s="161">
        <v>121185644.47</v>
      </c>
      <c r="S402" s="161">
        <v>121189441.83</v>
      </c>
      <c r="T402" s="161">
        <v>121196686.63</v>
      </c>
      <c r="U402" s="161">
        <v>121195786.12</v>
      </c>
      <c r="V402" s="161">
        <v>121195786.12</v>
      </c>
      <c r="W402" s="161">
        <v>121195786.12</v>
      </c>
      <c r="X402" s="161">
        <v>121195786.12</v>
      </c>
      <c r="Y402" s="145"/>
      <c r="Z402" s="145"/>
      <c r="AX402" s="141" t="s">
        <v>242</v>
      </c>
      <c r="AY402" s="141">
        <v>1992</v>
      </c>
      <c r="AZ402" s="141">
        <v>0</v>
      </c>
      <c r="BA402" s="141">
        <v>0</v>
      </c>
      <c r="BB402" s="141">
        <v>0</v>
      </c>
      <c r="BC402" s="141">
        <v>0</v>
      </c>
      <c r="BD402" s="141">
        <v>0</v>
      </c>
      <c r="BE402" s="141">
        <v>0</v>
      </c>
      <c r="BF402" s="141">
        <v>0</v>
      </c>
      <c r="BG402" s="141">
        <v>0</v>
      </c>
      <c r="BH402" s="141">
        <v>0</v>
      </c>
      <c r="BI402" s="141">
        <v>0</v>
      </c>
      <c r="BJ402" s="141">
        <v>0</v>
      </c>
      <c r="BK402" s="141">
        <v>0</v>
      </c>
      <c r="BL402" s="141">
        <v>0</v>
      </c>
      <c r="BM402" s="141">
        <v>0</v>
      </c>
      <c r="BN402" s="141">
        <v>0</v>
      </c>
      <c r="BO402" s="141">
        <v>0</v>
      </c>
      <c r="BP402" s="141">
        <v>0</v>
      </c>
      <c r="BQ402" s="141">
        <v>0</v>
      </c>
      <c r="BR402" s="141">
        <v>0</v>
      </c>
      <c r="BS402" s="141">
        <v>0</v>
      </c>
      <c r="BT402" s="141">
        <v>0</v>
      </c>
      <c r="BU402" s="141">
        <v>0</v>
      </c>
    </row>
    <row r="403" spans="1:73" ht="14.4" x14ac:dyDescent="0.3">
      <c r="A403" s="160" t="s">
        <v>248</v>
      </c>
      <c r="B403" s="161">
        <v>1996</v>
      </c>
      <c r="C403" s="161">
        <v>5705921.8600000003</v>
      </c>
      <c r="D403" s="161">
        <v>34777688.700000003</v>
      </c>
      <c r="E403" s="161">
        <v>61840497.859999999</v>
      </c>
      <c r="F403" s="161">
        <v>80238150.789999992</v>
      </c>
      <c r="G403" s="161">
        <v>93185886.780000001</v>
      </c>
      <c r="H403" s="161">
        <v>102387880.47</v>
      </c>
      <c r="I403" s="161">
        <v>108436328.36</v>
      </c>
      <c r="J403" s="161">
        <v>108765460.61999999</v>
      </c>
      <c r="K403" s="161">
        <v>110769758.97999999</v>
      </c>
      <c r="L403" s="161">
        <v>111004738.36</v>
      </c>
      <c r="M403" s="161">
        <v>111346023.66</v>
      </c>
      <c r="N403" s="161">
        <v>111456248.47</v>
      </c>
      <c r="O403" s="161">
        <v>111502718.8</v>
      </c>
      <c r="P403" s="161">
        <v>111534807.2</v>
      </c>
      <c r="Q403" s="161">
        <v>111638578.37</v>
      </c>
      <c r="R403" s="161">
        <v>111635840.37</v>
      </c>
      <c r="S403" s="161">
        <v>111635840.37</v>
      </c>
      <c r="T403" s="161">
        <v>111635840.37</v>
      </c>
      <c r="U403" s="161">
        <v>111635840.37</v>
      </c>
      <c r="V403" s="161">
        <v>111635840.37</v>
      </c>
      <c r="W403" s="149"/>
      <c r="X403" s="161">
        <v>111635840.37</v>
      </c>
      <c r="Y403" s="145"/>
      <c r="Z403" s="145"/>
      <c r="AX403" s="141" t="s">
        <v>242</v>
      </c>
      <c r="AY403" s="141">
        <v>1993</v>
      </c>
      <c r="AZ403" s="141">
        <v>0</v>
      </c>
      <c r="BA403" s="141">
        <v>0</v>
      </c>
      <c r="BB403" s="141">
        <v>0</v>
      </c>
      <c r="BC403" s="141">
        <v>0</v>
      </c>
      <c r="BD403" s="141">
        <v>0</v>
      </c>
      <c r="BE403" s="141">
        <v>0</v>
      </c>
      <c r="BF403" s="141">
        <v>0</v>
      </c>
      <c r="BG403" s="141">
        <v>0</v>
      </c>
      <c r="BH403" s="141">
        <v>0</v>
      </c>
      <c r="BI403" s="141">
        <v>0</v>
      </c>
      <c r="BJ403" s="141">
        <v>0</v>
      </c>
      <c r="BK403" s="141">
        <v>0</v>
      </c>
      <c r="BL403" s="141">
        <v>0</v>
      </c>
      <c r="BM403" s="141">
        <v>0</v>
      </c>
      <c r="BN403" s="141">
        <v>0</v>
      </c>
      <c r="BO403" s="141">
        <v>0</v>
      </c>
      <c r="BP403" s="141">
        <v>0</v>
      </c>
      <c r="BQ403" s="141">
        <v>0</v>
      </c>
      <c r="BR403" s="141">
        <v>0</v>
      </c>
      <c r="BS403" s="141">
        <v>0</v>
      </c>
      <c r="BU403" s="141">
        <v>0</v>
      </c>
    </row>
    <row r="404" spans="1:73" ht="14.4" x14ac:dyDescent="0.3">
      <c r="A404" s="160" t="s">
        <v>248</v>
      </c>
      <c r="B404" s="161">
        <v>1997</v>
      </c>
      <c r="C404" s="161">
        <v>6861526.4500000002</v>
      </c>
      <c r="D404" s="161">
        <v>32559752.329999998</v>
      </c>
      <c r="E404" s="161">
        <v>57373260.790000007</v>
      </c>
      <c r="F404" s="161">
        <v>74564753.289999992</v>
      </c>
      <c r="G404" s="161">
        <v>85419087.879999995</v>
      </c>
      <c r="H404" s="161">
        <v>92304994.859999999</v>
      </c>
      <c r="I404" s="161">
        <v>94510053.909999996</v>
      </c>
      <c r="J404" s="161">
        <v>95291525.069999993</v>
      </c>
      <c r="K404" s="161">
        <v>95953492.120000005</v>
      </c>
      <c r="L404" s="161">
        <v>96319358.5</v>
      </c>
      <c r="M404" s="161">
        <v>96389583.25999999</v>
      </c>
      <c r="N404" s="161">
        <v>96372110.590000004</v>
      </c>
      <c r="O404" s="161">
        <v>96549164.890000001</v>
      </c>
      <c r="P404" s="161">
        <v>96578682.760000005</v>
      </c>
      <c r="Q404" s="161">
        <v>96735907.760000005</v>
      </c>
      <c r="R404" s="161">
        <v>96829392.760000005</v>
      </c>
      <c r="S404" s="161">
        <v>96864169.379999995</v>
      </c>
      <c r="T404" s="161">
        <v>96882473.960000008</v>
      </c>
      <c r="U404" s="161">
        <v>96882473.960000008</v>
      </c>
      <c r="V404" s="149"/>
      <c r="W404" s="149"/>
      <c r="X404" s="161">
        <v>96882473.960000008</v>
      </c>
      <c r="Y404" s="145"/>
      <c r="Z404" s="145"/>
      <c r="AX404" s="141" t="s">
        <v>242</v>
      </c>
      <c r="AY404" s="141">
        <v>1994</v>
      </c>
      <c r="AZ404" s="141">
        <v>0</v>
      </c>
      <c r="BA404" s="141">
        <v>182.52</v>
      </c>
      <c r="BB404" s="141">
        <v>44965.27</v>
      </c>
      <c r="BC404" s="141">
        <v>58586.09</v>
      </c>
      <c r="BD404" s="141">
        <v>87127.75</v>
      </c>
      <c r="BE404" s="141">
        <v>94147.91</v>
      </c>
      <c r="BF404" s="141">
        <v>94177.91</v>
      </c>
      <c r="BG404" s="141">
        <v>94177.91</v>
      </c>
      <c r="BH404" s="141">
        <v>94177.91</v>
      </c>
      <c r="BI404" s="141">
        <v>94177.91</v>
      </c>
      <c r="BJ404" s="141">
        <v>94177.91</v>
      </c>
      <c r="BK404" s="141">
        <v>94177.91</v>
      </c>
      <c r="BL404" s="141">
        <v>94177.91</v>
      </c>
      <c r="BM404" s="141">
        <v>94177.91</v>
      </c>
      <c r="BN404" s="141">
        <v>94177.91</v>
      </c>
      <c r="BO404" s="141">
        <v>94177.91</v>
      </c>
      <c r="BP404" s="141">
        <v>94177.91</v>
      </c>
      <c r="BQ404" s="141">
        <v>94177.91</v>
      </c>
      <c r="BR404" s="141">
        <v>94177.91</v>
      </c>
      <c r="BU404" s="141">
        <v>94177.91</v>
      </c>
    </row>
    <row r="405" spans="1:73" ht="14.4" x14ac:dyDescent="0.3">
      <c r="A405" s="160" t="s">
        <v>248</v>
      </c>
      <c r="B405" s="161">
        <v>1998</v>
      </c>
      <c r="C405" s="161">
        <v>6592629.7199999997</v>
      </c>
      <c r="D405" s="161">
        <v>30587074.02</v>
      </c>
      <c r="E405" s="161">
        <v>52742486.460000008</v>
      </c>
      <c r="F405" s="161">
        <v>67979754.299999997</v>
      </c>
      <c r="G405" s="161">
        <v>74563599.780000001</v>
      </c>
      <c r="H405" s="161">
        <v>78323836.150000006</v>
      </c>
      <c r="I405" s="161">
        <v>81341131.859999999</v>
      </c>
      <c r="J405" s="161">
        <v>82551700.069999993</v>
      </c>
      <c r="K405" s="161">
        <v>85834503.289999992</v>
      </c>
      <c r="L405" s="161">
        <v>86962330.359999999</v>
      </c>
      <c r="M405" s="161">
        <v>87154589.140000001</v>
      </c>
      <c r="N405" s="161">
        <v>87440477.590000004</v>
      </c>
      <c r="O405" s="161">
        <v>88273015.560000002</v>
      </c>
      <c r="P405" s="161">
        <v>88282985.359999999</v>
      </c>
      <c r="Q405" s="161">
        <v>88286236.539999992</v>
      </c>
      <c r="R405" s="161">
        <v>88286556.539999992</v>
      </c>
      <c r="S405" s="161">
        <v>88286556.539999992</v>
      </c>
      <c r="T405" s="161">
        <v>88286556.539999992</v>
      </c>
      <c r="U405" s="149"/>
      <c r="V405" s="149"/>
      <c r="W405" s="149"/>
      <c r="X405" s="161">
        <v>88286556.539999992</v>
      </c>
      <c r="Y405" s="145"/>
      <c r="Z405" s="145"/>
      <c r="AX405" s="141" t="s">
        <v>242</v>
      </c>
      <c r="AY405" s="141">
        <v>1995</v>
      </c>
      <c r="AZ405" s="141">
        <v>3163.8</v>
      </c>
      <c r="BA405" s="141">
        <v>140865.48000000001</v>
      </c>
      <c r="BB405" s="141">
        <v>486589.23</v>
      </c>
      <c r="BC405" s="141">
        <v>758384.42</v>
      </c>
      <c r="BD405" s="141">
        <v>1647685.26</v>
      </c>
      <c r="BE405" s="141">
        <v>1840170.16</v>
      </c>
      <c r="BF405" s="141">
        <v>3858640.68</v>
      </c>
      <c r="BG405" s="141">
        <v>3858640.68</v>
      </c>
      <c r="BH405" s="141">
        <v>3873265.68</v>
      </c>
      <c r="BI405" s="141">
        <v>3873265.68</v>
      </c>
      <c r="BJ405" s="141">
        <v>3873265.68</v>
      </c>
      <c r="BK405" s="141">
        <v>3873265.68</v>
      </c>
      <c r="BL405" s="141">
        <v>3873265.68</v>
      </c>
      <c r="BM405" s="141">
        <v>3873265.68</v>
      </c>
      <c r="BN405" s="141">
        <v>3873265.68</v>
      </c>
      <c r="BO405" s="141">
        <v>3873265.68</v>
      </c>
      <c r="BP405" s="141">
        <v>3873265.68</v>
      </c>
      <c r="BQ405" s="141">
        <v>3873265.68</v>
      </c>
      <c r="BU405" s="141">
        <v>3873265.68</v>
      </c>
    </row>
    <row r="406" spans="1:73" ht="14.4" x14ac:dyDescent="0.3">
      <c r="A406" s="160" t="s">
        <v>248</v>
      </c>
      <c r="B406" s="161">
        <v>1999</v>
      </c>
      <c r="C406" s="161">
        <v>6192737.6900000004</v>
      </c>
      <c r="D406" s="161">
        <v>25469464.5</v>
      </c>
      <c r="E406" s="161">
        <v>47439008.060000002</v>
      </c>
      <c r="F406" s="161">
        <v>59944223.240000002</v>
      </c>
      <c r="G406" s="161">
        <v>66748321.439999998</v>
      </c>
      <c r="H406" s="161">
        <v>72429082.840000004</v>
      </c>
      <c r="I406" s="161">
        <v>74419803.359999999</v>
      </c>
      <c r="J406" s="161">
        <v>74874617.599999994</v>
      </c>
      <c r="K406" s="161">
        <v>75336795.060000002</v>
      </c>
      <c r="L406" s="161">
        <v>75547148.129999995</v>
      </c>
      <c r="M406" s="161">
        <v>75720007.629999995</v>
      </c>
      <c r="N406" s="161">
        <v>75810621.75</v>
      </c>
      <c r="O406" s="161">
        <v>75928131.280000001</v>
      </c>
      <c r="P406" s="161">
        <v>75977068.780000001</v>
      </c>
      <c r="Q406" s="161">
        <v>76845497.400000006</v>
      </c>
      <c r="R406" s="161">
        <v>77922171.019999996</v>
      </c>
      <c r="S406" s="161">
        <v>77928449.659999996</v>
      </c>
      <c r="T406" s="149"/>
      <c r="U406" s="149"/>
      <c r="V406" s="149"/>
      <c r="W406" s="149"/>
      <c r="X406" s="161">
        <v>77928449.659999996</v>
      </c>
      <c r="Y406" s="145"/>
      <c r="Z406" s="145"/>
      <c r="AX406" s="141" t="s">
        <v>242</v>
      </c>
      <c r="AY406" s="141">
        <v>1996</v>
      </c>
      <c r="AZ406" s="141">
        <v>125795.94</v>
      </c>
      <c r="BA406" s="141">
        <v>2194419.98</v>
      </c>
      <c r="BB406" s="141">
        <v>6568605.1900000004</v>
      </c>
      <c r="BC406" s="141">
        <v>11193234.119999999</v>
      </c>
      <c r="BD406" s="141">
        <v>15119703.449999999</v>
      </c>
      <c r="BE406" s="141">
        <v>16697157.880000001</v>
      </c>
      <c r="BF406" s="141">
        <v>16850692.719999999</v>
      </c>
      <c r="BG406" s="141">
        <v>16945058.399999999</v>
      </c>
      <c r="BH406" s="141">
        <v>17020337.68</v>
      </c>
      <c r="BI406" s="141">
        <v>17063607.289999999</v>
      </c>
      <c r="BJ406" s="141">
        <v>16992730.34</v>
      </c>
      <c r="BK406" s="141">
        <v>17413372.350000001</v>
      </c>
      <c r="BL406" s="141">
        <v>17413372.350000001</v>
      </c>
      <c r="BM406" s="141">
        <v>17413372.350000001</v>
      </c>
      <c r="BN406" s="141">
        <v>17413372.350000001</v>
      </c>
      <c r="BO406" s="141">
        <v>17413372.350000001</v>
      </c>
      <c r="BP406" s="141">
        <v>17416212.73</v>
      </c>
      <c r="BU406" s="141">
        <v>17416212.73</v>
      </c>
    </row>
    <row r="407" spans="1:73" ht="14.4" x14ac:dyDescent="0.3">
      <c r="A407" s="160" t="s">
        <v>248</v>
      </c>
      <c r="B407" s="161">
        <v>2000</v>
      </c>
      <c r="C407" s="161">
        <v>3174061.0199999996</v>
      </c>
      <c r="D407" s="161">
        <v>18688710.539999999</v>
      </c>
      <c r="E407" s="161">
        <v>29899446.600000001</v>
      </c>
      <c r="F407" s="161">
        <v>38618751.300000004</v>
      </c>
      <c r="G407" s="161">
        <v>43467020.840000004</v>
      </c>
      <c r="H407" s="161">
        <v>47085347.170000002</v>
      </c>
      <c r="I407" s="161">
        <v>48081478.380000003</v>
      </c>
      <c r="J407" s="161">
        <v>48587407.789999999</v>
      </c>
      <c r="K407" s="161">
        <v>49771793.579999998</v>
      </c>
      <c r="L407" s="161">
        <v>49846726.100000001</v>
      </c>
      <c r="M407" s="161">
        <v>49874303.840000004</v>
      </c>
      <c r="N407" s="161">
        <v>50244878.030000001</v>
      </c>
      <c r="O407" s="161">
        <v>51072327.43</v>
      </c>
      <c r="P407" s="161">
        <v>51077872.009999998</v>
      </c>
      <c r="Q407" s="161">
        <v>51079432.509999998</v>
      </c>
      <c r="R407" s="161">
        <v>51079432.509999998</v>
      </c>
      <c r="S407" s="149"/>
      <c r="T407" s="149"/>
      <c r="U407" s="149"/>
      <c r="V407" s="149"/>
      <c r="W407" s="149"/>
      <c r="X407" s="161">
        <v>51079432.509999998</v>
      </c>
      <c r="Y407" s="145"/>
      <c r="Z407" s="145"/>
      <c r="AX407" s="141" t="s">
        <v>242</v>
      </c>
      <c r="AY407" s="141">
        <v>1997</v>
      </c>
      <c r="AZ407" s="141">
        <v>1414005.17</v>
      </c>
      <c r="BA407" s="141">
        <v>9375262.5099999998</v>
      </c>
      <c r="BB407" s="141">
        <v>16687272.67</v>
      </c>
      <c r="BC407" s="141">
        <v>24455293.149999999</v>
      </c>
      <c r="BD407" s="141">
        <v>30075593.25</v>
      </c>
      <c r="BE407" s="141">
        <v>30921158.620000001</v>
      </c>
      <c r="BF407" s="141">
        <v>33431238.890000001</v>
      </c>
      <c r="BG407" s="141">
        <v>34114371.219999999</v>
      </c>
      <c r="BH407" s="141">
        <v>34218924.909999996</v>
      </c>
      <c r="BI407" s="141">
        <v>35167095.729999997</v>
      </c>
      <c r="BJ407" s="141">
        <v>35193052.850000001</v>
      </c>
      <c r="BK407" s="141">
        <v>35291353.759999998</v>
      </c>
      <c r="BL407" s="141">
        <v>35433696.450000003</v>
      </c>
      <c r="BM407" s="141">
        <v>35550526.009999998</v>
      </c>
      <c r="BN407" s="141">
        <v>35712715.590000004</v>
      </c>
      <c r="BO407" s="141">
        <v>35758057.090000004</v>
      </c>
      <c r="BU407" s="141">
        <v>35758057.090000004</v>
      </c>
    </row>
    <row r="408" spans="1:73" ht="14.4" x14ac:dyDescent="0.3">
      <c r="A408" s="160" t="s">
        <v>248</v>
      </c>
      <c r="B408" s="161">
        <v>2001</v>
      </c>
      <c r="C408" s="161">
        <v>3331657.38</v>
      </c>
      <c r="D408" s="161">
        <v>15667916.309999999</v>
      </c>
      <c r="E408" s="161">
        <v>23696577.409999996</v>
      </c>
      <c r="F408" s="161">
        <v>28455214.269999996</v>
      </c>
      <c r="G408" s="161">
        <v>32080990.789999999</v>
      </c>
      <c r="H408" s="161">
        <v>34566548.539999999</v>
      </c>
      <c r="I408" s="161">
        <v>35443659.759999998</v>
      </c>
      <c r="J408" s="161">
        <v>35862218.909999996</v>
      </c>
      <c r="K408" s="161">
        <v>36167116.909999996</v>
      </c>
      <c r="L408" s="161">
        <v>36268921.140000001</v>
      </c>
      <c r="M408" s="161">
        <v>37510547.140000001</v>
      </c>
      <c r="N408" s="161">
        <v>37586655.259999998</v>
      </c>
      <c r="O408" s="161">
        <v>37615568.410000004</v>
      </c>
      <c r="P408" s="161">
        <v>37651328.329999998</v>
      </c>
      <c r="Q408" s="161">
        <v>37651328.329999998</v>
      </c>
      <c r="R408" s="149"/>
      <c r="S408" s="149"/>
      <c r="T408" s="149"/>
      <c r="U408" s="149"/>
      <c r="V408" s="149"/>
      <c r="W408" s="149"/>
      <c r="X408" s="161">
        <v>37651328.329999998</v>
      </c>
      <c r="Y408" s="145"/>
      <c r="Z408" s="145"/>
      <c r="AX408" s="141" t="s">
        <v>242</v>
      </c>
      <c r="AY408" s="141">
        <v>1998</v>
      </c>
      <c r="AZ408" s="141">
        <v>3694429.12</v>
      </c>
      <c r="BA408" s="141">
        <v>12307758.779999999</v>
      </c>
      <c r="BB408" s="141">
        <v>21805128.59</v>
      </c>
      <c r="BC408" s="141">
        <v>29172067.239999998</v>
      </c>
      <c r="BD408" s="141">
        <v>37438423.520000003</v>
      </c>
      <c r="BE408" s="141">
        <v>40992656.130000003</v>
      </c>
      <c r="BF408" s="141">
        <v>44111604.939999998</v>
      </c>
      <c r="BG408" s="141">
        <v>46486466.799999997</v>
      </c>
      <c r="BH408" s="141">
        <v>47692082.82</v>
      </c>
      <c r="BI408" s="141">
        <v>47655641.960000001</v>
      </c>
      <c r="BJ408" s="141">
        <v>48407935.189999998</v>
      </c>
      <c r="BK408" s="141">
        <v>48475760.640000001</v>
      </c>
      <c r="BL408" s="141">
        <v>48476190.060000002</v>
      </c>
      <c r="BM408" s="141">
        <v>48477090.539999999</v>
      </c>
      <c r="BN408" s="141">
        <v>48477090.539999999</v>
      </c>
      <c r="BU408" s="141">
        <v>48477090.539999999</v>
      </c>
    </row>
    <row r="409" spans="1:73" ht="14.4" x14ac:dyDescent="0.3">
      <c r="A409" s="160" t="s">
        <v>248</v>
      </c>
      <c r="B409" s="161">
        <v>2002</v>
      </c>
      <c r="C409" s="161">
        <v>6791623.3100000005</v>
      </c>
      <c r="D409" s="161">
        <v>23579072.830000002</v>
      </c>
      <c r="E409" s="161">
        <v>42641730.32</v>
      </c>
      <c r="F409" s="161">
        <v>58005341.670000002</v>
      </c>
      <c r="G409" s="161">
        <v>67247585.159999996</v>
      </c>
      <c r="H409" s="161">
        <v>72556512.980000004</v>
      </c>
      <c r="I409" s="161">
        <v>74897449.609999999</v>
      </c>
      <c r="J409" s="161">
        <v>76323343.859999999</v>
      </c>
      <c r="K409" s="161">
        <v>83116510.769999996</v>
      </c>
      <c r="L409" s="161">
        <v>84049593.469999999</v>
      </c>
      <c r="M409" s="161">
        <v>84815333.319999993</v>
      </c>
      <c r="N409" s="161">
        <v>85038144.670000002</v>
      </c>
      <c r="O409" s="161">
        <v>84960930.909999996</v>
      </c>
      <c r="P409" s="161">
        <v>84970203.140000001</v>
      </c>
      <c r="Q409" s="149"/>
      <c r="R409" s="149"/>
      <c r="S409" s="149"/>
      <c r="T409" s="149"/>
      <c r="U409" s="149"/>
      <c r="V409" s="149"/>
      <c r="W409" s="149"/>
      <c r="X409" s="161">
        <v>84970203.140000001</v>
      </c>
      <c r="Y409" s="145"/>
      <c r="Z409" s="145"/>
      <c r="AX409" s="141" t="s">
        <v>242</v>
      </c>
      <c r="AY409" s="141">
        <v>1999</v>
      </c>
      <c r="AZ409" s="141">
        <v>975071.92</v>
      </c>
      <c r="BA409" s="141">
        <v>6555600.0999999996</v>
      </c>
      <c r="BB409" s="141">
        <v>14409788.58</v>
      </c>
      <c r="BC409" s="141">
        <v>24962494.859999999</v>
      </c>
      <c r="BD409" s="141">
        <v>29854342.75</v>
      </c>
      <c r="BE409" s="141">
        <v>34655455.899999999</v>
      </c>
      <c r="BF409" s="141">
        <v>35492538.130000003</v>
      </c>
      <c r="BG409" s="141">
        <v>36137546.32</v>
      </c>
      <c r="BH409" s="141">
        <v>36118894.100000001</v>
      </c>
      <c r="BI409" s="141">
        <v>36127092.609999999</v>
      </c>
      <c r="BJ409" s="141">
        <v>36162150.899999999</v>
      </c>
      <c r="BK409" s="141">
        <v>36315356.270000003</v>
      </c>
      <c r="BL409" s="141">
        <v>36337563.810000002</v>
      </c>
      <c r="BM409" s="141">
        <v>36337563.810000002</v>
      </c>
      <c r="BU409" s="141">
        <v>36337563.810000002</v>
      </c>
    </row>
    <row r="410" spans="1:73" ht="14.4" x14ac:dyDescent="0.3">
      <c r="A410" s="160" t="s">
        <v>248</v>
      </c>
      <c r="B410" s="161">
        <v>2003</v>
      </c>
      <c r="C410" s="161">
        <v>10283263.300000001</v>
      </c>
      <c r="D410" s="161">
        <v>34102409.149999999</v>
      </c>
      <c r="E410" s="161">
        <v>52650715.620000005</v>
      </c>
      <c r="F410" s="161">
        <v>73627054.719999999</v>
      </c>
      <c r="G410" s="161">
        <v>81926844.039999992</v>
      </c>
      <c r="H410" s="161">
        <v>85996618.319999993</v>
      </c>
      <c r="I410" s="161">
        <v>90782863.300000012</v>
      </c>
      <c r="J410" s="161">
        <v>95756012.599999994</v>
      </c>
      <c r="K410" s="161">
        <v>98184133.939999998</v>
      </c>
      <c r="L410" s="161">
        <v>98422304.189999998</v>
      </c>
      <c r="M410" s="161">
        <v>98493892.460000008</v>
      </c>
      <c r="N410" s="161">
        <v>98507837.870000005</v>
      </c>
      <c r="O410" s="161">
        <v>98517266.360000014</v>
      </c>
      <c r="P410" s="149"/>
      <c r="Q410" s="149"/>
      <c r="R410" s="149"/>
      <c r="S410" s="149"/>
      <c r="T410" s="149"/>
      <c r="U410" s="149"/>
      <c r="V410" s="149"/>
      <c r="W410" s="149"/>
      <c r="X410" s="161">
        <v>98517266.360000014</v>
      </c>
      <c r="Y410" s="145"/>
      <c r="Z410" s="145"/>
      <c r="AX410" s="141" t="s">
        <v>242</v>
      </c>
      <c r="AY410" s="141">
        <v>2000</v>
      </c>
      <c r="AZ410" s="141">
        <v>648252.09</v>
      </c>
      <c r="BA410" s="141">
        <v>4102828.58</v>
      </c>
      <c r="BB410" s="141">
        <v>12388448.109999999</v>
      </c>
      <c r="BC410" s="141">
        <v>15351966.65</v>
      </c>
      <c r="BD410" s="141">
        <v>20721487.57</v>
      </c>
      <c r="BE410" s="141">
        <v>23145629.960000001</v>
      </c>
      <c r="BF410" s="141">
        <v>25512872.190000001</v>
      </c>
      <c r="BG410" s="141">
        <v>26029096.850000001</v>
      </c>
      <c r="BH410" s="141">
        <v>26373527.050000001</v>
      </c>
      <c r="BI410" s="141">
        <v>26511557.199999999</v>
      </c>
      <c r="BJ410" s="141">
        <v>26566323.399999999</v>
      </c>
      <c r="BK410" s="141">
        <v>26672988.66</v>
      </c>
      <c r="BL410" s="141">
        <v>27684777.920000002</v>
      </c>
      <c r="BU410" s="141">
        <v>27684777.920000002</v>
      </c>
    </row>
    <row r="411" spans="1:73" ht="14.4" x14ac:dyDescent="0.3">
      <c r="A411" s="160" t="s">
        <v>248</v>
      </c>
      <c r="B411" s="161">
        <v>2004</v>
      </c>
      <c r="C411" s="161">
        <v>5467504.8700000001</v>
      </c>
      <c r="D411" s="161">
        <v>32160021.719999999</v>
      </c>
      <c r="E411" s="161">
        <v>57775739.329999998</v>
      </c>
      <c r="F411" s="161">
        <v>74642922.370000005</v>
      </c>
      <c r="G411" s="161">
        <v>83862371.170000002</v>
      </c>
      <c r="H411" s="161">
        <v>90332646.200000003</v>
      </c>
      <c r="I411" s="161">
        <v>96861347.730000004</v>
      </c>
      <c r="J411" s="161">
        <v>99609735.99000001</v>
      </c>
      <c r="K411" s="161">
        <v>102195399.23999999</v>
      </c>
      <c r="L411" s="161">
        <v>103995988.34999999</v>
      </c>
      <c r="M411" s="161">
        <v>105989870.68000001</v>
      </c>
      <c r="N411" s="161">
        <v>106114832.09</v>
      </c>
      <c r="O411" s="149"/>
      <c r="P411" s="149"/>
      <c r="Q411" s="149"/>
      <c r="R411" s="149"/>
      <c r="S411" s="149"/>
      <c r="T411" s="149"/>
      <c r="U411" s="149"/>
      <c r="V411" s="149"/>
      <c r="W411" s="149"/>
      <c r="X411" s="161">
        <v>106114832.09</v>
      </c>
      <c r="Y411" s="145"/>
      <c r="Z411" s="145"/>
      <c r="AX411" s="141" t="s">
        <v>242</v>
      </c>
      <c r="AY411" s="141">
        <v>2001</v>
      </c>
      <c r="AZ411" s="141">
        <v>256139.98</v>
      </c>
      <c r="BA411" s="141">
        <v>2900847.34</v>
      </c>
      <c r="BB411" s="141">
        <v>3736966.87</v>
      </c>
      <c r="BC411" s="141">
        <v>6940159.7400000002</v>
      </c>
      <c r="BD411" s="141">
        <v>11396112.1</v>
      </c>
      <c r="BE411" s="141">
        <v>10803063.74</v>
      </c>
      <c r="BF411" s="141">
        <v>11012553.35</v>
      </c>
      <c r="BG411" s="141">
        <v>11227107.27</v>
      </c>
      <c r="BH411" s="141">
        <v>11720969.390000001</v>
      </c>
      <c r="BI411" s="141">
        <v>11720028.439999999</v>
      </c>
      <c r="BJ411" s="141">
        <v>11720028.439999999</v>
      </c>
      <c r="BK411" s="141">
        <v>11720028.439999999</v>
      </c>
      <c r="BU411" s="141">
        <v>11720028.439999999</v>
      </c>
    </row>
    <row r="412" spans="1:73" ht="14.4" x14ac:dyDescent="0.3">
      <c r="A412" s="160" t="s">
        <v>248</v>
      </c>
      <c r="B412" s="161">
        <v>2005</v>
      </c>
      <c r="C412" s="161">
        <v>5464965.3799999999</v>
      </c>
      <c r="D412" s="161">
        <v>27445693.700000003</v>
      </c>
      <c r="E412" s="161">
        <v>52082341.180000007</v>
      </c>
      <c r="F412" s="161">
        <v>74366265.629999995</v>
      </c>
      <c r="G412" s="161">
        <v>87302830.319999993</v>
      </c>
      <c r="H412" s="161">
        <v>99167974.460000008</v>
      </c>
      <c r="I412" s="161">
        <v>107188089.10999998</v>
      </c>
      <c r="J412" s="161">
        <v>111663681.66</v>
      </c>
      <c r="K412" s="161">
        <v>112713456.41</v>
      </c>
      <c r="L412" s="161">
        <v>113801670.92</v>
      </c>
      <c r="M412" s="161">
        <v>114231887.21000001</v>
      </c>
      <c r="N412" s="149"/>
      <c r="O412" s="149"/>
      <c r="P412" s="149"/>
      <c r="Q412" s="149"/>
      <c r="R412" s="149"/>
      <c r="S412" s="149"/>
      <c r="T412" s="149"/>
      <c r="U412" s="149"/>
      <c r="V412" s="149"/>
      <c r="W412" s="149"/>
      <c r="X412" s="161">
        <v>114231887.21000001</v>
      </c>
      <c r="Y412" s="145"/>
      <c r="Z412" s="145"/>
      <c r="AX412" s="141" t="s">
        <v>242</v>
      </c>
      <c r="AY412" s="141">
        <v>2002</v>
      </c>
      <c r="AZ412" s="141">
        <v>104915.31</v>
      </c>
      <c r="BA412" s="141">
        <v>68938.77</v>
      </c>
      <c r="BB412" s="141">
        <v>6723218.96</v>
      </c>
      <c r="BC412" s="141">
        <v>7480206.1200000001</v>
      </c>
      <c r="BD412" s="141">
        <v>7944832.4900000002</v>
      </c>
      <c r="BE412" s="141">
        <v>8863830.4399999995</v>
      </c>
      <c r="BF412" s="141">
        <v>9534869</v>
      </c>
      <c r="BG412" s="141">
        <v>9600390.9299999997</v>
      </c>
      <c r="BH412" s="141">
        <v>10443386.75</v>
      </c>
      <c r="BI412" s="141">
        <v>10468481.720000001</v>
      </c>
      <c r="BJ412" s="141">
        <v>10552032.960000001</v>
      </c>
      <c r="BU412" s="141">
        <v>10552032.960000001</v>
      </c>
    </row>
    <row r="413" spans="1:73" ht="14.4" x14ac:dyDescent="0.3">
      <c r="A413" s="160" t="s">
        <v>248</v>
      </c>
      <c r="B413" s="161">
        <v>2006</v>
      </c>
      <c r="C413" s="161">
        <v>8319521.4000000004</v>
      </c>
      <c r="D413" s="161">
        <v>32558221.079999998</v>
      </c>
      <c r="E413" s="161">
        <v>57679793.280000001</v>
      </c>
      <c r="F413" s="161">
        <v>81510821.400000006</v>
      </c>
      <c r="G413" s="161">
        <v>96691481.239999995</v>
      </c>
      <c r="H413" s="161">
        <v>102868759.61</v>
      </c>
      <c r="I413" s="161">
        <v>106176994.06999999</v>
      </c>
      <c r="J413" s="161">
        <v>108908175.22</v>
      </c>
      <c r="K413" s="161">
        <v>110649386.48</v>
      </c>
      <c r="L413" s="161">
        <v>113269715.93000001</v>
      </c>
      <c r="M413" s="149"/>
      <c r="N413" s="149"/>
      <c r="O413" s="149"/>
      <c r="P413" s="149"/>
      <c r="Q413" s="149"/>
      <c r="R413" s="149"/>
      <c r="S413" s="149"/>
      <c r="T413" s="149"/>
      <c r="U413" s="149"/>
      <c r="V413" s="149"/>
      <c r="W413" s="149"/>
      <c r="X413" s="161">
        <v>113269715.93000001</v>
      </c>
      <c r="Y413" s="145"/>
      <c r="Z413" s="145"/>
      <c r="AX413" s="141" t="s">
        <v>242</v>
      </c>
      <c r="AY413" s="141">
        <v>2003</v>
      </c>
      <c r="AZ413" s="141">
        <v>532863.82999999996</v>
      </c>
      <c r="BA413" s="141">
        <v>2147522</v>
      </c>
      <c r="BB413" s="141">
        <v>7694241</v>
      </c>
      <c r="BC413" s="141">
        <v>11679113.359999999</v>
      </c>
      <c r="BD413" s="141">
        <v>12926650.6</v>
      </c>
      <c r="BE413" s="141">
        <v>14460994.68</v>
      </c>
      <c r="BF413" s="141">
        <v>15751674.060000001</v>
      </c>
      <c r="BG413" s="141">
        <v>15972981.24</v>
      </c>
      <c r="BH413" s="141">
        <v>16235770.029999999</v>
      </c>
      <c r="BI413" s="141">
        <v>16107242.34</v>
      </c>
      <c r="BU413" s="141">
        <v>16107242.34</v>
      </c>
    </row>
    <row r="414" spans="1:73" ht="14.4" x14ac:dyDescent="0.3">
      <c r="A414" s="160" t="s">
        <v>248</v>
      </c>
      <c r="B414" s="161">
        <v>2007</v>
      </c>
      <c r="C414" s="161">
        <v>10027464.050000001</v>
      </c>
      <c r="D414" s="161">
        <v>39305269.43</v>
      </c>
      <c r="E414" s="161">
        <v>64406533.239999995</v>
      </c>
      <c r="F414" s="161">
        <v>86302769.409999996</v>
      </c>
      <c r="G414" s="161">
        <v>96848142.510000005</v>
      </c>
      <c r="H414" s="161">
        <v>104236786.59999999</v>
      </c>
      <c r="I414" s="161">
        <v>111635632.25</v>
      </c>
      <c r="J414" s="161">
        <v>113834555.53999999</v>
      </c>
      <c r="K414" s="161">
        <v>115163983.39</v>
      </c>
      <c r="L414" s="149"/>
      <c r="M414" s="149"/>
      <c r="N414" s="149"/>
      <c r="O414" s="149"/>
      <c r="P414" s="149"/>
      <c r="Q414" s="149"/>
      <c r="R414" s="149"/>
      <c r="S414" s="149"/>
      <c r="T414" s="149"/>
      <c r="U414" s="149"/>
      <c r="V414" s="149"/>
      <c r="W414" s="149"/>
      <c r="X414" s="161">
        <v>115163983.39</v>
      </c>
      <c r="Y414" s="145"/>
      <c r="Z414" s="145"/>
      <c r="AX414" s="141" t="s">
        <v>242</v>
      </c>
      <c r="AY414" s="141">
        <v>2004</v>
      </c>
      <c r="AZ414" s="141">
        <v>656833.26</v>
      </c>
      <c r="BA414" s="141">
        <v>5182920.49</v>
      </c>
      <c r="BB414" s="141">
        <v>9054712.6199999992</v>
      </c>
      <c r="BC414" s="141">
        <v>11689577.32</v>
      </c>
      <c r="BD414" s="141">
        <v>13694193.199999999</v>
      </c>
      <c r="BE414" s="141">
        <v>14513066.789999999</v>
      </c>
      <c r="BF414" s="141">
        <v>15404292.74</v>
      </c>
      <c r="BG414" s="141">
        <v>15480773.220000001</v>
      </c>
      <c r="BH414" s="141">
        <v>15672242.5</v>
      </c>
      <c r="BU414" s="141">
        <v>15672242.5</v>
      </c>
    </row>
    <row r="415" spans="1:73" ht="14.4" x14ac:dyDescent="0.3">
      <c r="A415" s="160" t="s">
        <v>248</v>
      </c>
      <c r="B415" s="161">
        <v>2008</v>
      </c>
      <c r="C415" s="161">
        <v>9650047.8300000001</v>
      </c>
      <c r="D415" s="161">
        <v>44102377.719999999</v>
      </c>
      <c r="E415" s="161">
        <v>76264519.289999992</v>
      </c>
      <c r="F415" s="161">
        <v>99750026.090000004</v>
      </c>
      <c r="G415" s="161">
        <v>110613173.3</v>
      </c>
      <c r="H415" s="161">
        <v>120401913.66</v>
      </c>
      <c r="I415" s="161">
        <v>124859497.85000001</v>
      </c>
      <c r="J415" s="161">
        <v>128574908.94</v>
      </c>
      <c r="K415" s="149"/>
      <c r="L415" s="149"/>
      <c r="M415" s="149"/>
      <c r="N415" s="149"/>
      <c r="O415" s="149"/>
      <c r="P415" s="149"/>
      <c r="Q415" s="149"/>
      <c r="R415" s="149"/>
      <c r="S415" s="149"/>
      <c r="T415" s="149"/>
      <c r="U415" s="149"/>
      <c r="V415" s="149"/>
      <c r="W415" s="149"/>
      <c r="X415" s="161">
        <v>128574908.94</v>
      </c>
      <c r="Y415" s="145"/>
      <c r="Z415" s="145"/>
      <c r="AX415" s="141" t="s">
        <v>242</v>
      </c>
      <c r="AY415" s="141">
        <v>2005</v>
      </c>
      <c r="AZ415" s="141">
        <v>767289.14</v>
      </c>
      <c r="BA415" s="141">
        <v>5551608.1100000003</v>
      </c>
      <c r="BB415" s="141">
        <v>13682537.789999999</v>
      </c>
      <c r="BC415" s="141">
        <v>16703133.640000001</v>
      </c>
      <c r="BD415" s="141">
        <v>19680259.719999999</v>
      </c>
      <c r="BE415" s="141">
        <v>21290822.539999999</v>
      </c>
      <c r="BF415" s="141">
        <v>23015232.420000002</v>
      </c>
      <c r="BG415" s="141">
        <v>23723871.449999999</v>
      </c>
      <c r="BU415" s="141">
        <v>23723871.449999999</v>
      </c>
    </row>
    <row r="416" spans="1:73" ht="14.4" x14ac:dyDescent="0.3">
      <c r="A416" s="160" t="s">
        <v>248</v>
      </c>
      <c r="B416" s="161">
        <v>2009</v>
      </c>
      <c r="C416" s="161">
        <v>12610810.390000001</v>
      </c>
      <c r="D416" s="161">
        <v>54114208.240000002</v>
      </c>
      <c r="E416" s="161">
        <v>89661697.620000005</v>
      </c>
      <c r="F416" s="161">
        <v>125723518.49000001</v>
      </c>
      <c r="G416" s="161">
        <v>142297658.98000002</v>
      </c>
      <c r="H416" s="161">
        <v>156142654.77000001</v>
      </c>
      <c r="I416" s="161">
        <v>162733283.30000001</v>
      </c>
      <c r="J416" s="149"/>
      <c r="K416" s="149"/>
      <c r="L416" s="149"/>
      <c r="M416" s="149"/>
      <c r="N416" s="149"/>
      <c r="O416" s="149"/>
      <c r="P416" s="149"/>
      <c r="Q416" s="149"/>
      <c r="R416" s="149"/>
      <c r="S416" s="149"/>
      <c r="T416" s="149"/>
      <c r="U416" s="149"/>
      <c r="V416" s="149"/>
      <c r="W416" s="149"/>
      <c r="X416" s="161">
        <v>162733283.30000001</v>
      </c>
      <c r="Y416" s="145"/>
      <c r="Z416" s="145"/>
      <c r="AX416" s="141" t="s">
        <v>242</v>
      </c>
      <c r="AY416" s="141">
        <v>2006</v>
      </c>
      <c r="AZ416" s="141">
        <v>840382.67</v>
      </c>
      <c r="BA416" s="141">
        <v>5870853.79</v>
      </c>
      <c r="BB416" s="141">
        <v>13155444.720000001</v>
      </c>
      <c r="BC416" s="141">
        <v>18576666.34</v>
      </c>
      <c r="BD416" s="141">
        <v>24256639.210000001</v>
      </c>
      <c r="BE416" s="141">
        <v>26490520.699999999</v>
      </c>
      <c r="BF416" s="141">
        <v>26803798.239999998</v>
      </c>
      <c r="BU416" s="141">
        <v>26803798.239999998</v>
      </c>
    </row>
    <row r="417" spans="1:73" ht="14.4" x14ac:dyDescent="0.3">
      <c r="A417" s="160" t="s">
        <v>248</v>
      </c>
      <c r="B417" s="161">
        <v>2010</v>
      </c>
      <c r="C417" s="161">
        <v>10471475.880000001</v>
      </c>
      <c r="D417" s="161">
        <v>54161857.159999996</v>
      </c>
      <c r="E417" s="161">
        <v>98014392.640000001</v>
      </c>
      <c r="F417" s="161">
        <v>132301251.31</v>
      </c>
      <c r="G417" s="161">
        <v>146690743</v>
      </c>
      <c r="H417" s="161">
        <v>155594296.43000001</v>
      </c>
      <c r="I417" s="149"/>
      <c r="J417" s="149"/>
      <c r="K417" s="149"/>
      <c r="L417" s="149"/>
      <c r="M417" s="149"/>
      <c r="N417" s="149"/>
      <c r="O417" s="149"/>
      <c r="P417" s="149"/>
      <c r="Q417" s="149"/>
      <c r="R417" s="149"/>
      <c r="S417" s="149"/>
      <c r="T417" s="149"/>
      <c r="U417" s="149"/>
      <c r="V417" s="149"/>
      <c r="W417" s="149"/>
      <c r="X417" s="161">
        <v>155594296.43000001</v>
      </c>
      <c r="Y417" s="145"/>
      <c r="Z417" s="145"/>
      <c r="AX417" s="141" t="s">
        <v>242</v>
      </c>
      <c r="AY417" s="141">
        <v>2007</v>
      </c>
      <c r="AZ417" s="141">
        <v>2134729.11</v>
      </c>
      <c r="BA417" s="141">
        <v>11837818.93</v>
      </c>
      <c r="BB417" s="141">
        <v>21863059.23</v>
      </c>
      <c r="BC417" s="141">
        <v>26539108.300000001</v>
      </c>
      <c r="BD417" s="141">
        <v>28531864.039999999</v>
      </c>
      <c r="BE417" s="141">
        <v>30109451.219999999</v>
      </c>
      <c r="BU417" s="141">
        <v>30109451.219999999</v>
      </c>
    </row>
    <row r="418" spans="1:73" ht="14.4" x14ac:dyDescent="0.3">
      <c r="A418" s="160" t="s">
        <v>248</v>
      </c>
      <c r="B418" s="161">
        <v>2011</v>
      </c>
      <c r="C418" s="161">
        <v>14700023.82</v>
      </c>
      <c r="D418" s="161">
        <v>59617915</v>
      </c>
      <c r="E418" s="161">
        <v>101325999.84999999</v>
      </c>
      <c r="F418" s="161">
        <v>125207357.21000001</v>
      </c>
      <c r="G418" s="161">
        <v>144232327.68000001</v>
      </c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/>
      <c r="T418" s="149"/>
      <c r="U418" s="149"/>
      <c r="V418" s="149"/>
      <c r="W418" s="149"/>
      <c r="X418" s="161">
        <v>144232327.68000001</v>
      </c>
      <c r="Y418" s="145"/>
      <c r="Z418" s="145"/>
      <c r="AX418" s="141" t="s">
        <v>242</v>
      </c>
      <c r="AY418" s="141">
        <v>2008</v>
      </c>
      <c r="AZ418" s="141">
        <v>1042155.79</v>
      </c>
      <c r="BA418" s="141">
        <v>7062505.9800000004</v>
      </c>
      <c r="BB418" s="141">
        <v>16489231.199999999</v>
      </c>
      <c r="BC418" s="141">
        <v>25886407.16</v>
      </c>
      <c r="BD418" s="141">
        <v>30498572.920000002</v>
      </c>
      <c r="BU418" s="141">
        <v>30498572.920000002</v>
      </c>
    </row>
    <row r="419" spans="1:73" ht="14.4" x14ac:dyDescent="0.3">
      <c r="A419" s="160" t="s">
        <v>248</v>
      </c>
      <c r="B419" s="161">
        <v>2012</v>
      </c>
      <c r="C419" s="161">
        <v>14080744.98</v>
      </c>
      <c r="D419" s="161">
        <v>71516643.650000006</v>
      </c>
      <c r="E419" s="161">
        <v>110509665.19</v>
      </c>
      <c r="F419" s="161">
        <v>146728724.84999999</v>
      </c>
      <c r="G419" s="149"/>
      <c r="H419" s="149"/>
      <c r="I419" s="149"/>
      <c r="J419" s="149"/>
      <c r="K419" s="149"/>
      <c r="L419" s="149"/>
      <c r="M419" s="149"/>
      <c r="N419" s="149"/>
      <c r="O419" s="149"/>
      <c r="P419" s="149"/>
      <c r="Q419" s="149"/>
      <c r="R419" s="149"/>
      <c r="S419" s="149"/>
      <c r="T419" s="149"/>
      <c r="U419" s="149"/>
      <c r="V419" s="149"/>
      <c r="W419" s="149"/>
      <c r="X419" s="161">
        <v>146728724.84999999</v>
      </c>
      <c r="Y419" s="145"/>
      <c r="Z419" s="145"/>
      <c r="AX419" s="141" t="s">
        <v>242</v>
      </c>
      <c r="AY419" s="141">
        <v>2009</v>
      </c>
      <c r="AZ419" s="141">
        <v>1202266.68</v>
      </c>
      <c r="BA419" s="141">
        <v>10116297.369999999</v>
      </c>
      <c r="BB419" s="141">
        <v>24442402.43</v>
      </c>
      <c r="BC419" s="141">
        <v>32443599.629999999</v>
      </c>
      <c r="BU419" s="141">
        <v>32443599.629999999</v>
      </c>
    </row>
    <row r="420" spans="1:73" ht="14.4" x14ac:dyDescent="0.3">
      <c r="A420" s="160" t="s">
        <v>248</v>
      </c>
      <c r="B420" s="161">
        <v>2013</v>
      </c>
      <c r="C420" s="161">
        <v>14939315.42</v>
      </c>
      <c r="D420" s="161">
        <v>63602097.240000002</v>
      </c>
      <c r="E420" s="161">
        <v>97437299.689999998</v>
      </c>
      <c r="F420" s="149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/>
      <c r="T420" s="149"/>
      <c r="U420" s="149"/>
      <c r="V420" s="149"/>
      <c r="W420" s="149"/>
      <c r="X420" s="161">
        <v>97437299.689999998</v>
      </c>
      <c r="Y420" s="145"/>
      <c r="Z420" s="145"/>
      <c r="AX420" s="141" t="s">
        <v>242</v>
      </c>
      <c r="AY420" s="141">
        <v>2010</v>
      </c>
      <c r="AZ420" s="141">
        <v>1433549.96</v>
      </c>
      <c r="BA420" s="141">
        <v>14169287.18</v>
      </c>
      <c r="BB420" s="141">
        <v>24452128.34</v>
      </c>
      <c r="BU420" s="141">
        <v>24452128.34</v>
      </c>
    </row>
    <row r="421" spans="1:73" ht="14.4" x14ac:dyDescent="0.3">
      <c r="A421" s="160" t="s">
        <v>248</v>
      </c>
      <c r="B421" s="161">
        <v>2014</v>
      </c>
      <c r="C421" s="161">
        <v>22176642.100000001</v>
      </c>
      <c r="D421" s="161">
        <v>64594470.469999999</v>
      </c>
      <c r="E421" s="149"/>
      <c r="F421" s="149"/>
      <c r="G421" s="149"/>
      <c r="H421" s="149"/>
      <c r="I421" s="149"/>
      <c r="J421" s="149"/>
      <c r="K421" s="149"/>
      <c r="L421" s="149"/>
      <c r="M421" s="149"/>
      <c r="N421" s="149"/>
      <c r="O421" s="149"/>
      <c r="P421" s="149"/>
      <c r="Q421" s="149"/>
      <c r="R421" s="149"/>
      <c r="S421" s="149"/>
      <c r="T421" s="149"/>
      <c r="U421" s="149"/>
      <c r="V421" s="149"/>
      <c r="W421" s="149"/>
      <c r="X421" s="161">
        <v>64594470.469999999</v>
      </c>
      <c r="Y421" s="145"/>
      <c r="Z421" s="145"/>
      <c r="AX421" s="141" t="s">
        <v>242</v>
      </c>
      <c r="AY421" s="141">
        <v>2011</v>
      </c>
      <c r="AZ421" s="141">
        <v>3085719.57</v>
      </c>
      <c r="BA421" s="141">
        <v>19015225.600000001</v>
      </c>
      <c r="BU421" s="141">
        <v>19015225.600000001</v>
      </c>
    </row>
    <row r="422" spans="1:73" ht="14.4" x14ac:dyDescent="0.3">
      <c r="A422" s="160" t="s">
        <v>248</v>
      </c>
      <c r="B422" s="161">
        <v>2015</v>
      </c>
      <c r="C422" s="161">
        <v>16962588.23</v>
      </c>
      <c r="D422" s="149"/>
      <c r="E422" s="149"/>
      <c r="F422" s="149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/>
      <c r="T422" s="149"/>
      <c r="U422" s="149"/>
      <c r="V422" s="149"/>
      <c r="W422" s="149"/>
      <c r="X422" s="161">
        <v>16962588.23</v>
      </c>
      <c r="Y422" s="145"/>
      <c r="Z422" s="145"/>
      <c r="AX422" s="141" t="s">
        <v>242</v>
      </c>
      <c r="AY422" s="141">
        <v>2012</v>
      </c>
      <c r="AZ422" s="141">
        <v>3268989.25</v>
      </c>
      <c r="BU422" s="141">
        <v>3268989.25</v>
      </c>
    </row>
    <row r="423" spans="1:73" ht="14.4" x14ac:dyDescent="0.3">
      <c r="A423" s="160" t="s">
        <v>249</v>
      </c>
      <c r="B423" s="161">
        <v>1995</v>
      </c>
      <c r="C423" s="161">
        <v>0</v>
      </c>
      <c r="D423" s="161">
        <v>0</v>
      </c>
      <c r="E423" s="161">
        <v>0</v>
      </c>
      <c r="F423" s="161">
        <v>0</v>
      </c>
      <c r="G423" s="161">
        <v>0</v>
      </c>
      <c r="H423" s="161">
        <v>1.44</v>
      </c>
      <c r="I423" s="161">
        <v>1.44</v>
      </c>
      <c r="J423" s="161">
        <v>1.44</v>
      </c>
      <c r="K423" s="161">
        <v>1.44</v>
      </c>
      <c r="L423" s="161">
        <v>1.44</v>
      </c>
      <c r="M423" s="161">
        <v>1.44</v>
      </c>
      <c r="N423" s="161">
        <v>1.44</v>
      </c>
      <c r="O423" s="161">
        <v>1.44</v>
      </c>
      <c r="P423" s="161">
        <v>1.44</v>
      </c>
      <c r="Q423" s="161">
        <v>1.44</v>
      </c>
      <c r="R423" s="161">
        <v>1.44</v>
      </c>
      <c r="S423" s="161">
        <v>1.44</v>
      </c>
      <c r="T423" s="161">
        <v>1.44</v>
      </c>
      <c r="U423" s="161">
        <v>1.44</v>
      </c>
      <c r="V423" s="161">
        <v>1.44</v>
      </c>
      <c r="W423" s="161">
        <v>1.44</v>
      </c>
      <c r="X423" s="161">
        <v>1.44</v>
      </c>
      <c r="Y423" s="145"/>
      <c r="Z423" s="145"/>
      <c r="AX423" s="141" t="s">
        <v>243</v>
      </c>
      <c r="AY423" s="141">
        <v>1992</v>
      </c>
      <c r="AZ423" s="141">
        <v>6688880.1600000001</v>
      </c>
      <c r="BA423" s="141">
        <v>11415157.890000001</v>
      </c>
      <c r="BB423" s="141">
        <v>12171197.529999999</v>
      </c>
      <c r="BC423" s="141">
        <v>12660694.58</v>
      </c>
      <c r="BD423" s="141">
        <v>8645466.0800000001</v>
      </c>
      <c r="BE423" s="141">
        <v>21717910.440000001</v>
      </c>
      <c r="BF423" s="141">
        <v>16963515.41</v>
      </c>
      <c r="BG423" s="141">
        <v>16604514.98</v>
      </c>
      <c r="BH423" s="141">
        <v>16770088.130000001</v>
      </c>
      <c r="BI423" s="141">
        <v>16665172.220000001</v>
      </c>
      <c r="BJ423" s="141">
        <v>16686584.26</v>
      </c>
      <c r="BK423" s="141">
        <v>17021001.07</v>
      </c>
      <c r="BL423" s="141">
        <v>16782354.02</v>
      </c>
      <c r="BM423" s="141">
        <v>16789470.510000002</v>
      </c>
      <c r="BN423" s="141">
        <v>16791202.739999998</v>
      </c>
      <c r="BO423" s="141">
        <v>16791202.739999998</v>
      </c>
      <c r="BP423" s="141">
        <v>16791202.739999998</v>
      </c>
      <c r="BQ423" s="141">
        <v>16791202.739999998</v>
      </c>
      <c r="BR423" s="141">
        <v>16791202.739999998</v>
      </c>
      <c r="BS423" s="141">
        <v>16791202.739999998</v>
      </c>
      <c r="BT423" s="141">
        <v>16791202.739999998</v>
      </c>
      <c r="BU423" s="141">
        <v>16791202.739999998</v>
      </c>
    </row>
    <row r="424" spans="1:73" ht="14.4" x14ac:dyDescent="0.3">
      <c r="A424" s="160" t="s">
        <v>249</v>
      </c>
      <c r="B424" s="161">
        <v>1996</v>
      </c>
      <c r="C424" s="161">
        <v>99766.32</v>
      </c>
      <c r="D424" s="161">
        <v>493866.98</v>
      </c>
      <c r="E424" s="161">
        <v>1132452.69</v>
      </c>
      <c r="F424" s="161">
        <v>1620246.9100000001</v>
      </c>
      <c r="G424" s="161">
        <v>1918025.74</v>
      </c>
      <c r="H424" s="161">
        <v>2029118.79</v>
      </c>
      <c r="I424" s="161">
        <v>2044243.3900000001</v>
      </c>
      <c r="J424" s="161">
        <v>2044243.3900000001</v>
      </c>
      <c r="K424" s="161">
        <v>2044243.3900000001</v>
      </c>
      <c r="L424" s="161">
        <v>2044243.3900000001</v>
      </c>
      <c r="M424" s="161">
        <v>2044243.3900000001</v>
      </c>
      <c r="N424" s="161">
        <v>2044243.3900000001</v>
      </c>
      <c r="O424" s="161">
        <v>2044243.3900000001</v>
      </c>
      <c r="P424" s="161">
        <v>2044243.3900000001</v>
      </c>
      <c r="Q424" s="161">
        <v>2044243.3900000001</v>
      </c>
      <c r="R424" s="161">
        <v>2044243.3900000001</v>
      </c>
      <c r="S424" s="161">
        <v>2044243.3900000001</v>
      </c>
      <c r="T424" s="161">
        <v>2044243.3900000001</v>
      </c>
      <c r="U424" s="161">
        <v>2044243.3900000001</v>
      </c>
      <c r="V424" s="161">
        <v>2044243.3900000001</v>
      </c>
      <c r="W424" s="149"/>
      <c r="X424" s="161">
        <v>2044243.3900000001</v>
      </c>
      <c r="Y424" s="145"/>
      <c r="Z424" s="145"/>
      <c r="AX424" s="141" t="s">
        <v>243</v>
      </c>
      <c r="AY424" s="141">
        <v>1993</v>
      </c>
      <c r="AZ424" s="141">
        <v>4569</v>
      </c>
      <c r="BA424" s="141">
        <v>517844.89</v>
      </c>
      <c r="BB424" s="141">
        <v>799662.57</v>
      </c>
      <c r="BC424" s="141">
        <v>2398253.1800000002</v>
      </c>
      <c r="BD424" s="141">
        <v>3158650.08</v>
      </c>
      <c r="BE424" s="141">
        <v>5946174.3600000003</v>
      </c>
      <c r="BF424" s="141">
        <v>6532232.4100000001</v>
      </c>
      <c r="BG424" s="141">
        <v>6631808.5800000001</v>
      </c>
      <c r="BH424" s="141">
        <v>6669574.29</v>
      </c>
      <c r="BI424" s="141">
        <v>9804977.0199999996</v>
      </c>
      <c r="BJ424" s="141">
        <v>9869395.0899999999</v>
      </c>
      <c r="BK424" s="141">
        <v>10305331.960000001</v>
      </c>
      <c r="BL424" s="141">
        <v>10305331.960000001</v>
      </c>
      <c r="BM424" s="141">
        <v>10305339.27</v>
      </c>
      <c r="BN424" s="141">
        <v>10305339.27</v>
      </c>
      <c r="BO424" s="141">
        <v>10305339.27</v>
      </c>
      <c r="BP424" s="141">
        <v>10305339.27</v>
      </c>
      <c r="BQ424" s="141">
        <v>10305339.27</v>
      </c>
      <c r="BR424" s="141">
        <v>10305339.27</v>
      </c>
      <c r="BS424" s="141">
        <v>10305339.27</v>
      </c>
      <c r="BU424" s="141">
        <v>10305339.27</v>
      </c>
    </row>
    <row r="425" spans="1:73" ht="14.4" x14ac:dyDescent="0.3">
      <c r="A425" s="160" t="s">
        <v>249</v>
      </c>
      <c r="B425" s="161">
        <v>1997</v>
      </c>
      <c r="C425" s="161">
        <v>86577.07</v>
      </c>
      <c r="D425" s="161">
        <v>992262.89</v>
      </c>
      <c r="E425" s="161">
        <v>6752683.1200000001</v>
      </c>
      <c r="F425" s="161">
        <v>12218102.289999999</v>
      </c>
      <c r="G425" s="161">
        <v>13603128.209999999</v>
      </c>
      <c r="H425" s="161">
        <v>15450422.85</v>
      </c>
      <c r="I425" s="161">
        <v>16081350.299999999</v>
      </c>
      <c r="J425" s="161">
        <v>16131920.809999999</v>
      </c>
      <c r="K425" s="161">
        <v>16148974.559999999</v>
      </c>
      <c r="L425" s="161">
        <v>16162364.48</v>
      </c>
      <c r="M425" s="161">
        <v>16160898.48</v>
      </c>
      <c r="N425" s="161">
        <v>16173721.219999999</v>
      </c>
      <c r="O425" s="161">
        <v>16179367.050000001</v>
      </c>
      <c r="P425" s="161">
        <v>16179367.050000001</v>
      </c>
      <c r="Q425" s="161">
        <v>16179367.050000001</v>
      </c>
      <c r="R425" s="161">
        <v>16179367.050000001</v>
      </c>
      <c r="S425" s="161">
        <v>16179367.050000001</v>
      </c>
      <c r="T425" s="161">
        <v>16179367.050000001</v>
      </c>
      <c r="U425" s="161">
        <v>16179367.050000001</v>
      </c>
      <c r="V425" s="149"/>
      <c r="W425" s="149"/>
      <c r="X425" s="161">
        <v>16179367.050000001</v>
      </c>
      <c r="Y425" s="145"/>
      <c r="Z425" s="145"/>
      <c r="AX425" s="141" t="s">
        <v>243</v>
      </c>
      <c r="AY425" s="141">
        <v>1994</v>
      </c>
      <c r="AZ425" s="141">
        <v>6004.4</v>
      </c>
      <c r="BA425" s="141">
        <v>87705.65</v>
      </c>
      <c r="BB425" s="141">
        <v>13278800.199999999</v>
      </c>
      <c r="BC425" s="141">
        <v>13905995.279999999</v>
      </c>
      <c r="BD425" s="141">
        <v>21593776.949999999</v>
      </c>
      <c r="BE425" s="141">
        <v>22432836.289999999</v>
      </c>
      <c r="BF425" s="141">
        <v>22643341.170000002</v>
      </c>
      <c r="BG425" s="141">
        <v>19896216.109999999</v>
      </c>
      <c r="BH425" s="141">
        <v>24256607.449999999</v>
      </c>
      <c r="BI425" s="141">
        <v>23315247.879999999</v>
      </c>
      <c r="BJ425" s="141">
        <v>23357911.760000002</v>
      </c>
      <c r="BK425" s="141">
        <v>23357911.760000002</v>
      </c>
      <c r="BL425" s="141">
        <v>23357911.760000002</v>
      </c>
      <c r="BM425" s="141">
        <v>23357911.760000002</v>
      </c>
      <c r="BN425" s="141">
        <v>23357911.760000002</v>
      </c>
      <c r="BO425" s="141">
        <v>23357911.760000002</v>
      </c>
      <c r="BP425" s="141">
        <v>23357911.760000002</v>
      </c>
      <c r="BQ425" s="141">
        <v>23357911.760000002</v>
      </c>
      <c r="BR425" s="141">
        <v>23357911.760000002</v>
      </c>
      <c r="BU425" s="141">
        <v>23357911.760000002</v>
      </c>
    </row>
    <row r="426" spans="1:73" ht="14.4" x14ac:dyDescent="0.3">
      <c r="A426" s="160" t="s">
        <v>249</v>
      </c>
      <c r="B426" s="161">
        <v>1998</v>
      </c>
      <c r="C426" s="161">
        <v>997088.14</v>
      </c>
      <c r="D426" s="161">
        <v>10774148.350000001</v>
      </c>
      <c r="E426" s="161">
        <v>12611608.699999999</v>
      </c>
      <c r="F426" s="161">
        <v>17549831.82</v>
      </c>
      <c r="G426" s="161">
        <v>20824047.280000001</v>
      </c>
      <c r="H426" s="161">
        <v>21889529.890000001</v>
      </c>
      <c r="I426" s="161">
        <v>22219328.609999999</v>
      </c>
      <c r="J426" s="161">
        <v>23927937.559999999</v>
      </c>
      <c r="K426" s="161">
        <v>24435190.720000003</v>
      </c>
      <c r="L426" s="161">
        <v>25426581.080000002</v>
      </c>
      <c r="M426" s="161">
        <v>25448164.82</v>
      </c>
      <c r="N426" s="161">
        <v>29598582.300000001</v>
      </c>
      <c r="O426" s="161">
        <v>29598582.300000001</v>
      </c>
      <c r="P426" s="161">
        <v>29598582.300000001</v>
      </c>
      <c r="Q426" s="161">
        <v>29598582.300000001</v>
      </c>
      <c r="R426" s="161">
        <v>29598582.300000001</v>
      </c>
      <c r="S426" s="161">
        <v>29598582.300000001</v>
      </c>
      <c r="T426" s="161">
        <v>29598582.300000001</v>
      </c>
      <c r="U426" s="149"/>
      <c r="V426" s="149"/>
      <c r="W426" s="149"/>
      <c r="X426" s="161">
        <v>29598582.300000001</v>
      </c>
      <c r="Y426" s="145"/>
      <c r="Z426" s="145"/>
      <c r="AX426" s="141" t="s">
        <v>243</v>
      </c>
      <c r="AY426" s="141">
        <v>1995</v>
      </c>
      <c r="AZ426" s="141">
        <v>74163.41</v>
      </c>
      <c r="BA426" s="141">
        <v>104504.07</v>
      </c>
      <c r="BB426" s="141">
        <v>108887.58</v>
      </c>
      <c r="BC426" s="141">
        <v>1194974.1399999999</v>
      </c>
      <c r="BD426" s="141">
        <v>1102801.32</v>
      </c>
      <c r="BE426" s="141">
        <v>6251390.5099999998</v>
      </c>
      <c r="BF426" s="141">
        <v>5570866.1799999997</v>
      </c>
      <c r="BG426" s="141">
        <v>5830231.8499999996</v>
      </c>
      <c r="BH426" s="141">
        <v>6582396.9500000002</v>
      </c>
      <c r="BI426" s="141">
        <v>6582712.7699999996</v>
      </c>
      <c r="BJ426" s="141">
        <v>6582712.7699999996</v>
      </c>
      <c r="BK426" s="141">
        <v>6582712.7699999996</v>
      </c>
      <c r="BL426" s="141">
        <v>6582712.7699999996</v>
      </c>
      <c r="BM426" s="141">
        <v>6582712.7699999996</v>
      </c>
      <c r="BN426" s="141">
        <v>6582712.7699999996</v>
      </c>
      <c r="BO426" s="141">
        <v>6582712.7699999996</v>
      </c>
      <c r="BP426" s="141">
        <v>6582712.7699999996</v>
      </c>
      <c r="BQ426" s="141">
        <v>6582712.7699999996</v>
      </c>
      <c r="BU426" s="141">
        <v>6582712.7699999996</v>
      </c>
    </row>
    <row r="427" spans="1:73" ht="14.4" x14ac:dyDescent="0.3">
      <c r="A427" s="160" t="s">
        <v>249</v>
      </c>
      <c r="B427" s="161">
        <v>1999</v>
      </c>
      <c r="C427" s="161">
        <v>850285.35000000009</v>
      </c>
      <c r="D427" s="161">
        <v>10155928.73</v>
      </c>
      <c r="E427" s="161">
        <v>13900013.530000001</v>
      </c>
      <c r="F427" s="161">
        <v>16763816.190000001</v>
      </c>
      <c r="G427" s="161">
        <v>22770889.550000001</v>
      </c>
      <c r="H427" s="161">
        <v>24398209.600000001</v>
      </c>
      <c r="I427" s="161">
        <v>25414591.829999998</v>
      </c>
      <c r="J427" s="161">
        <v>25563492.710000001</v>
      </c>
      <c r="K427" s="161">
        <v>25733731.640000001</v>
      </c>
      <c r="L427" s="161">
        <v>27022451.689999998</v>
      </c>
      <c r="M427" s="161">
        <v>27026463.109999999</v>
      </c>
      <c r="N427" s="161">
        <v>27051248.300000001</v>
      </c>
      <c r="O427" s="161">
        <v>27051248.300000001</v>
      </c>
      <c r="P427" s="161">
        <v>27051248.300000001</v>
      </c>
      <c r="Q427" s="161">
        <v>27051248.300000001</v>
      </c>
      <c r="R427" s="161">
        <v>27051248.300000001</v>
      </c>
      <c r="S427" s="161">
        <v>27213793.48</v>
      </c>
      <c r="T427" s="149"/>
      <c r="U427" s="149"/>
      <c r="V427" s="149"/>
      <c r="W427" s="149"/>
      <c r="X427" s="161">
        <v>27213793.48</v>
      </c>
      <c r="Y427" s="145"/>
      <c r="Z427" s="145"/>
      <c r="AX427" s="141" t="s">
        <v>243</v>
      </c>
      <c r="AY427" s="141">
        <v>1996</v>
      </c>
      <c r="AZ427" s="141">
        <v>1363183.19</v>
      </c>
      <c r="BA427" s="141">
        <v>2222669.7599999998</v>
      </c>
      <c r="BB427" s="141">
        <v>17350984.170000002</v>
      </c>
      <c r="BC427" s="141">
        <v>26665394.600000001</v>
      </c>
      <c r="BD427" s="141">
        <v>22671209.640000001</v>
      </c>
      <c r="BE427" s="141">
        <v>22575650.649999999</v>
      </c>
      <c r="BF427" s="141">
        <v>23461145.640000001</v>
      </c>
      <c r="BG427" s="141">
        <v>23762328.120000001</v>
      </c>
      <c r="BH427" s="141">
        <v>27723803.550000001</v>
      </c>
      <c r="BI427" s="141">
        <v>28259877.68</v>
      </c>
      <c r="BJ427" s="141">
        <v>32382969.059999999</v>
      </c>
      <c r="BK427" s="141">
        <v>32422303.859999999</v>
      </c>
      <c r="BL427" s="141">
        <v>33583570.229999997</v>
      </c>
      <c r="BM427" s="141">
        <v>33513653.75</v>
      </c>
      <c r="BN427" s="141">
        <v>33513653.75</v>
      </c>
      <c r="BO427" s="141">
        <v>33513653.75</v>
      </c>
      <c r="BP427" s="141">
        <v>33513653.75</v>
      </c>
      <c r="BU427" s="141">
        <v>33513653.75</v>
      </c>
    </row>
    <row r="428" spans="1:73" ht="14.4" x14ac:dyDescent="0.3">
      <c r="A428" s="160" t="s">
        <v>249</v>
      </c>
      <c r="B428" s="161">
        <v>2000</v>
      </c>
      <c r="C428" s="161">
        <v>1441404.35</v>
      </c>
      <c r="D428" s="161">
        <v>4183870.6100000003</v>
      </c>
      <c r="E428" s="161">
        <v>9393765.4900000002</v>
      </c>
      <c r="F428" s="161">
        <v>14376804.210000001</v>
      </c>
      <c r="G428" s="161">
        <v>24140496</v>
      </c>
      <c r="H428" s="161">
        <v>25442620.77</v>
      </c>
      <c r="I428" s="161">
        <v>37717869.769999996</v>
      </c>
      <c r="J428" s="161">
        <v>38989328.600000001</v>
      </c>
      <c r="K428" s="161">
        <v>44453124.75</v>
      </c>
      <c r="L428" s="161">
        <v>45075401.140000001</v>
      </c>
      <c r="M428" s="161">
        <v>47994450.359999999</v>
      </c>
      <c r="N428" s="161">
        <v>48219628.210000001</v>
      </c>
      <c r="O428" s="161">
        <v>48234841.609999999</v>
      </c>
      <c r="P428" s="161">
        <v>48251934.390000001</v>
      </c>
      <c r="Q428" s="161">
        <v>48317705.859999999</v>
      </c>
      <c r="R428" s="161">
        <v>48341496.780000001</v>
      </c>
      <c r="S428" s="149"/>
      <c r="T428" s="149"/>
      <c r="U428" s="149"/>
      <c r="V428" s="149"/>
      <c r="W428" s="149"/>
      <c r="X428" s="161">
        <v>48341496.780000001</v>
      </c>
      <c r="Y428" s="145"/>
      <c r="Z428" s="145"/>
      <c r="AX428" s="141" t="s">
        <v>243</v>
      </c>
      <c r="AY428" s="141">
        <v>1997</v>
      </c>
      <c r="AZ428" s="141">
        <v>6007077.5099999998</v>
      </c>
      <c r="BA428" s="141">
        <v>28205494.149999999</v>
      </c>
      <c r="BB428" s="141">
        <v>32066684.48</v>
      </c>
      <c r="BC428" s="141">
        <v>32719625.359999999</v>
      </c>
      <c r="BD428" s="141">
        <v>47297245.869999997</v>
      </c>
      <c r="BE428" s="141">
        <v>54897919.200000003</v>
      </c>
      <c r="BF428" s="141">
        <v>59238115.439999998</v>
      </c>
      <c r="BG428" s="141">
        <v>63226107.789999999</v>
      </c>
      <c r="BH428" s="141">
        <v>58981468.420000002</v>
      </c>
      <c r="BI428" s="141">
        <v>59235690.520000003</v>
      </c>
      <c r="BJ428" s="141">
        <v>60818881.719999999</v>
      </c>
      <c r="BK428" s="141">
        <v>61615684.520000003</v>
      </c>
      <c r="BL428" s="141">
        <v>61794228.57</v>
      </c>
      <c r="BM428" s="141">
        <v>61830318.600000001</v>
      </c>
      <c r="BN428" s="141">
        <v>63384146.119999997</v>
      </c>
      <c r="BO428" s="141">
        <v>63271646.119999997</v>
      </c>
      <c r="BU428" s="141">
        <v>63271646.119999997</v>
      </c>
    </row>
    <row r="429" spans="1:73" ht="14.4" x14ac:dyDescent="0.3">
      <c r="A429" s="160" t="s">
        <v>249</v>
      </c>
      <c r="B429" s="161">
        <v>2001</v>
      </c>
      <c r="C429" s="161">
        <v>276135.71000000002</v>
      </c>
      <c r="D429" s="161">
        <v>3201680.5700000003</v>
      </c>
      <c r="E429" s="161">
        <v>8615465.7199999988</v>
      </c>
      <c r="F429" s="161">
        <v>13753901.6</v>
      </c>
      <c r="G429" s="161">
        <v>26927202.420000002</v>
      </c>
      <c r="H429" s="161">
        <v>41018552.990000002</v>
      </c>
      <c r="I429" s="161">
        <v>42686895.659999996</v>
      </c>
      <c r="J429" s="161">
        <v>45055863.630000003</v>
      </c>
      <c r="K429" s="161">
        <v>47879354.600000001</v>
      </c>
      <c r="L429" s="161">
        <v>46541640.530000001</v>
      </c>
      <c r="M429" s="161">
        <v>56287277.940000013</v>
      </c>
      <c r="N429" s="161">
        <v>57245445.890000001</v>
      </c>
      <c r="O429" s="161">
        <v>57155627.390000001</v>
      </c>
      <c r="P429" s="161">
        <v>57244731.380000003</v>
      </c>
      <c r="Q429" s="161">
        <v>57398134.979999997</v>
      </c>
      <c r="R429" s="149"/>
      <c r="S429" s="149"/>
      <c r="T429" s="149"/>
      <c r="U429" s="149"/>
      <c r="V429" s="149"/>
      <c r="W429" s="149"/>
      <c r="X429" s="161">
        <v>57398134.979999997</v>
      </c>
      <c r="Y429" s="145"/>
      <c r="Z429" s="145"/>
      <c r="AX429" s="141" t="s">
        <v>243</v>
      </c>
      <c r="AY429" s="141">
        <v>1998</v>
      </c>
      <c r="AZ429" s="141">
        <v>1638821.88</v>
      </c>
      <c r="BA429" s="141">
        <v>1764864.11</v>
      </c>
      <c r="BB429" s="141">
        <v>5071486.5199999996</v>
      </c>
      <c r="BC429" s="141">
        <v>7294989.0599999996</v>
      </c>
      <c r="BD429" s="141">
        <v>15095901.73</v>
      </c>
      <c r="BE429" s="141">
        <v>20375340.670000002</v>
      </c>
      <c r="BF429" s="141">
        <v>22178745.899999999</v>
      </c>
      <c r="BG429" s="141">
        <v>22789238.120000001</v>
      </c>
      <c r="BH429" s="141">
        <v>23759743.449999999</v>
      </c>
      <c r="BI429" s="141">
        <v>28257104.350000001</v>
      </c>
      <c r="BJ429" s="141">
        <v>28888424.050000001</v>
      </c>
      <c r="BK429" s="141">
        <v>42781265.060000002</v>
      </c>
      <c r="BL429" s="141">
        <v>41928818.509999998</v>
      </c>
      <c r="BM429" s="141">
        <v>49698351.960000001</v>
      </c>
      <c r="BN429" s="141">
        <v>42470242.130000003</v>
      </c>
      <c r="BU429" s="141">
        <v>42470242.130000003</v>
      </c>
    </row>
    <row r="430" spans="1:73" ht="14.4" x14ac:dyDescent="0.3">
      <c r="A430" s="160" t="s">
        <v>249</v>
      </c>
      <c r="B430" s="161">
        <v>2002</v>
      </c>
      <c r="C430" s="161">
        <v>869117.47</v>
      </c>
      <c r="D430" s="161">
        <v>5720989.0299999993</v>
      </c>
      <c r="E430" s="161">
        <v>10173377.01</v>
      </c>
      <c r="F430" s="161">
        <v>19466230.990000002</v>
      </c>
      <c r="G430" s="161">
        <v>31403607.729999997</v>
      </c>
      <c r="H430" s="161">
        <v>52457929.310000002</v>
      </c>
      <c r="I430" s="161">
        <v>54037654.869999997</v>
      </c>
      <c r="J430" s="161">
        <v>56846414.349999994</v>
      </c>
      <c r="K430" s="161">
        <v>52689439.990000002</v>
      </c>
      <c r="L430" s="161">
        <v>54855529.069999993</v>
      </c>
      <c r="M430" s="161">
        <v>59422842.82</v>
      </c>
      <c r="N430" s="161">
        <v>64719999.810000002</v>
      </c>
      <c r="O430" s="161">
        <v>64906937.460000008</v>
      </c>
      <c r="P430" s="161">
        <v>65075136.890000001</v>
      </c>
      <c r="Q430" s="149"/>
      <c r="R430" s="149"/>
      <c r="S430" s="149"/>
      <c r="T430" s="149"/>
      <c r="U430" s="149"/>
      <c r="V430" s="149"/>
      <c r="W430" s="149"/>
      <c r="X430" s="161">
        <v>65075136.890000001</v>
      </c>
      <c r="Y430" s="145"/>
      <c r="Z430" s="145"/>
      <c r="AX430" s="141" t="s">
        <v>243</v>
      </c>
      <c r="AY430" s="141">
        <v>1999</v>
      </c>
      <c r="AZ430" s="141">
        <v>269055.31</v>
      </c>
      <c r="BA430" s="141">
        <v>1022644.5</v>
      </c>
      <c r="BB430" s="141">
        <v>16734325.08</v>
      </c>
      <c r="BC430" s="141">
        <v>18689614.41</v>
      </c>
      <c r="BD430" s="141">
        <v>41239994.039999999</v>
      </c>
      <c r="BE430" s="141">
        <v>52617683.560000002</v>
      </c>
      <c r="BF430" s="141">
        <v>53680057.969999999</v>
      </c>
      <c r="BG430" s="141">
        <v>55475937.789999999</v>
      </c>
      <c r="BH430" s="141">
        <v>63502447.039999999</v>
      </c>
      <c r="BI430" s="141">
        <v>69637852.129999995</v>
      </c>
      <c r="BJ430" s="141">
        <v>70917909.260000005</v>
      </c>
      <c r="BK430" s="141">
        <v>71024707.969999999</v>
      </c>
      <c r="BL430" s="141">
        <v>71220004.239999995</v>
      </c>
      <c r="BM430" s="141">
        <v>76506869.060000002</v>
      </c>
      <c r="BU430" s="141">
        <v>76506869.060000002</v>
      </c>
    </row>
    <row r="431" spans="1:73" ht="14.4" x14ac:dyDescent="0.3">
      <c r="A431" s="160" t="s">
        <v>249</v>
      </c>
      <c r="B431" s="161">
        <v>2003</v>
      </c>
      <c r="C431" s="161">
        <v>490392.19000000006</v>
      </c>
      <c r="D431" s="161">
        <v>3402965</v>
      </c>
      <c r="E431" s="161">
        <v>10709026.309999999</v>
      </c>
      <c r="F431" s="161">
        <v>21843908.150000002</v>
      </c>
      <c r="G431" s="161">
        <v>24743469.059999999</v>
      </c>
      <c r="H431" s="161">
        <v>36405341.740000002</v>
      </c>
      <c r="I431" s="161">
        <v>45931962.039999999</v>
      </c>
      <c r="J431" s="161">
        <v>49032689.399999999</v>
      </c>
      <c r="K431" s="161">
        <v>51344360.340000004</v>
      </c>
      <c r="L431" s="161">
        <v>54206957.030000001</v>
      </c>
      <c r="M431" s="161">
        <v>54888151.799999997</v>
      </c>
      <c r="N431" s="161">
        <v>54892125.25</v>
      </c>
      <c r="O431" s="161">
        <v>55240919.850000001</v>
      </c>
      <c r="P431" s="149"/>
      <c r="Q431" s="149"/>
      <c r="R431" s="149"/>
      <c r="S431" s="149"/>
      <c r="T431" s="149"/>
      <c r="U431" s="149"/>
      <c r="V431" s="149"/>
      <c r="W431" s="149"/>
      <c r="X431" s="161">
        <v>55240919.850000001</v>
      </c>
      <c r="Y431" s="145"/>
      <c r="Z431" s="145"/>
      <c r="AX431" s="141" t="s">
        <v>243</v>
      </c>
      <c r="AY431" s="141">
        <v>2000</v>
      </c>
      <c r="AZ431" s="141">
        <v>17967.599999999999</v>
      </c>
      <c r="BA431" s="141">
        <v>1217127.45</v>
      </c>
      <c r="BB431" s="141">
        <v>4656475.54</v>
      </c>
      <c r="BC431" s="141">
        <v>11541102.619999999</v>
      </c>
      <c r="BD431" s="141">
        <v>17185849.050000001</v>
      </c>
      <c r="BE431" s="141">
        <v>23650022.219999999</v>
      </c>
      <c r="BF431" s="141">
        <v>24416352.32</v>
      </c>
      <c r="BG431" s="141">
        <v>26080261.140000001</v>
      </c>
      <c r="BH431" s="141">
        <v>26443003.440000001</v>
      </c>
      <c r="BI431" s="141">
        <v>26518383.649999999</v>
      </c>
      <c r="BJ431" s="141">
        <v>26653711.640000001</v>
      </c>
      <c r="BK431" s="141">
        <v>27632841.699999999</v>
      </c>
      <c r="BL431" s="141">
        <v>27632841.699999999</v>
      </c>
      <c r="BU431" s="141">
        <v>27632841.699999999</v>
      </c>
    </row>
    <row r="432" spans="1:73" ht="14.4" x14ac:dyDescent="0.3">
      <c r="A432" s="160" t="s">
        <v>249</v>
      </c>
      <c r="B432" s="161">
        <v>2004</v>
      </c>
      <c r="C432" s="161">
        <v>2973.22</v>
      </c>
      <c r="D432" s="161">
        <v>1492502.5499999998</v>
      </c>
      <c r="E432" s="161">
        <v>3706521.81</v>
      </c>
      <c r="F432" s="161">
        <v>11564900.32</v>
      </c>
      <c r="G432" s="161">
        <v>14163445.800000001</v>
      </c>
      <c r="H432" s="161">
        <v>14263532.560000001</v>
      </c>
      <c r="I432" s="161">
        <v>22492743.609999999</v>
      </c>
      <c r="J432" s="161">
        <v>33584364.439999998</v>
      </c>
      <c r="K432" s="161">
        <v>37891106.490000002</v>
      </c>
      <c r="L432" s="161">
        <v>38350330.25</v>
      </c>
      <c r="M432" s="161">
        <v>38353881.969999999</v>
      </c>
      <c r="N432" s="161">
        <v>38387173.5</v>
      </c>
      <c r="O432" s="149"/>
      <c r="P432" s="149"/>
      <c r="Q432" s="149"/>
      <c r="R432" s="149"/>
      <c r="S432" s="149"/>
      <c r="T432" s="149"/>
      <c r="U432" s="149"/>
      <c r="V432" s="149"/>
      <c r="W432" s="149"/>
      <c r="X432" s="161">
        <v>38387173.5</v>
      </c>
      <c r="Y432" s="145"/>
      <c r="Z432" s="145"/>
      <c r="AX432" s="141" t="s">
        <v>243</v>
      </c>
      <c r="AY432" s="141">
        <v>2001</v>
      </c>
      <c r="AZ432" s="141">
        <v>3479.71</v>
      </c>
      <c r="BA432" s="141">
        <v>2275624.04</v>
      </c>
      <c r="BB432" s="141">
        <v>231817.94000000099</v>
      </c>
      <c r="BC432" s="141">
        <v>3698418.24</v>
      </c>
      <c r="BD432" s="141">
        <v>27180541.16</v>
      </c>
      <c r="BE432" s="141">
        <v>35218320.869999997</v>
      </c>
      <c r="BF432" s="141">
        <v>32703069.079999998</v>
      </c>
      <c r="BG432" s="141">
        <v>35150189.310000002</v>
      </c>
      <c r="BH432" s="141">
        <v>35162172.600000001</v>
      </c>
      <c r="BI432" s="141">
        <v>35566572.210000001</v>
      </c>
      <c r="BJ432" s="141">
        <v>35568128.909999996</v>
      </c>
      <c r="BK432" s="141">
        <v>35645281.539999999</v>
      </c>
      <c r="BU432" s="141">
        <v>35645281.539999999</v>
      </c>
    </row>
    <row r="433" spans="1:73" ht="14.4" x14ac:dyDescent="0.3">
      <c r="A433" s="160" t="s">
        <v>249</v>
      </c>
      <c r="B433" s="161">
        <v>2005</v>
      </c>
      <c r="C433" s="161">
        <v>1509524.21</v>
      </c>
      <c r="D433" s="161">
        <v>4722182.51</v>
      </c>
      <c r="E433" s="161">
        <v>30243601.579999998</v>
      </c>
      <c r="F433" s="161">
        <v>35094127.900000006</v>
      </c>
      <c r="G433" s="161">
        <v>47809740.75</v>
      </c>
      <c r="H433" s="161">
        <v>51619114.909999996</v>
      </c>
      <c r="I433" s="161">
        <v>53137879.43</v>
      </c>
      <c r="J433" s="161">
        <v>53575614.990000002</v>
      </c>
      <c r="K433" s="161">
        <v>53796917.829999998</v>
      </c>
      <c r="L433" s="161">
        <v>53839576.230000004</v>
      </c>
      <c r="M433" s="161">
        <v>53873992.240000002</v>
      </c>
      <c r="N433" s="149"/>
      <c r="O433" s="149"/>
      <c r="P433" s="149"/>
      <c r="Q433" s="149"/>
      <c r="R433" s="149"/>
      <c r="S433" s="149"/>
      <c r="T433" s="149"/>
      <c r="U433" s="149"/>
      <c r="V433" s="149"/>
      <c r="W433" s="149"/>
      <c r="X433" s="161">
        <v>53873992.240000002</v>
      </c>
      <c r="Y433" s="145"/>
      <c r="Z433" s="145"/>
      <c r="AX433" s="141" t="s">
        <v>243</v>
      </c>
      <c r="AY433" s="141">
        <v>2002</v>
      </c>
      <c r="AZ433" s="141">
        <v>7677.18</v>
      </c>
      <c r="BA433" s="141">
        <v>-3201762.4</v>
      </c>
      <c r="BB433" s="141">
        <v>6839333.9400000004</v>
      </c>
      <c r="BC433" s="141">
        <v>11740750.25</v>
      </c>
      <c r="BD433" s="141">
        <v>15353285.32</v>
      </c>
      <c r="BE433" s="141">
        <v>18323323.850000001</v>
      </c>
      <c r="BF433" s="141">
        <v>18795332.100000001</v>
      </c>
      <c r="BG433" s="141">
        <v>18898662.66</v>
      </c>
      <c r="BH433" s="141">
        <v>18954132.960000001</v>
      </c>
      <c r="BI433" s="141">
        <v>18959864.940000001</v>
      </c>
      <c r="BJ433" s="141">
        <v>18960744.940000001</v>
      </c>
      <c r="BU433" s="141">
        <v>18960744.940000001</v>
      </c>
    </row>
    <row r="434" spans="1:73" ht="14.4" x14ac:dyDescent="0.3">
      <c r="A434" s="160" t="s">
        <v>249</v>
      </c>
      <c r="B434" s="161">
        <v>2006</v>
      </c>
      <c r="C434" s="161">
        <v>288761.46000000002</v>
      </c>
      <c r="D434" s="161">
        <v>2688342.62</v>
      </c>
      <c r="E434" s="161">
        <v>11286490.48</v>
      </c>
      <c r="F434" s="161">
        <v>14611283.84</v>
      </c>
      <c r="G434" s="161">
        <v>24575097.25</v>
      </c>
      <c r="H434" s="161">
        <v>35914629.789999999</v>
      </c>
      <c r="I434" s="161">
        <v>46321594.069999993</v>
      </c>
      <c r="J434" s="161">
        <v>48895446.840000004</v>
      </c>
      <c r="K434" s="161">
        <v>49934024.289999999</v>
      </c>
      <c r="L434" s="161">
        <v>50048166.200000003</v>
      </c>
      <c r="M434" s="149"/>
      <c r="N434" s="149"/>
      <c r="O434" s="149"/>
      <c r="P434" s="149"/>
      <c r="Q434" s="149"/>
      <c r="R434" s="149"/>
      <c r="S434" s="149"/>
      <c r="T434" s="149"/>
      <c r="U434" s="149"/>
      <c r="V434" s="149"/>
      <c r="W434" s="149"/>
      <c r="X434" s="161">
        <v>50048166.200000003</v>
      </c>
      <c r="Y434" s="145"/>
      <c r="Z434" s="145"/>
      <c r="AX434" s="141" t="s">
        <v>243</v>
      </c>
      <c r="AY434" s="141">
        <v>2003</v>
      </c>
      <c r="AZ434" s="141">
        <v>9139.25</v>
      </c>
      <c r="BA434" s="141">
        <v>24536.78</v>
      </c>
      <c r="BB434" s="141">
        <v>1828363.81</v>
      </c>
      <c r="BC434" s="141">
        <v>4398642.43</v>
      </c>
      <c r="BD434" s="141">
        <v>5263682.04</v>
      </c>
      <c r="BE434" s="141">
        <v>5650932.4000000004</v>
      </c>
      <c r="BF434" s="141">
        <v>8433748.9600000009</v>
      </c>
      <c r="BG434" s="141">
        <v>15401818.33</v>
      </c>
      <c r="BH434" s="141">
        <v>16781885.809999999</v>
      </c>
      <c r="BI434" s="141">
        <v>20190054.449999999</v>
      </c>
      <c r="BU434" s="141">
        <v>20190054.449999999</v>
      </c>
    </row>
    <row r="435" spans="1:73" ht="14.4" x14ac:dyDescent="0.3">
      <c r="A435" s="160" t="s">
        <v>249</v>
      </c>
      <c r="B435" s="161">
        <v>2007</v>
      </c>
      <c r="C435" s="161">
        <v>487008.39</v>
      </c>
      <c r="D435" s="161">
        <v>1834597.9300000002</v>
      </c>
      <c r="E435" s="161">
        <v>8937609.709999999</v>
      </c>
      <c r="F435" s="161">
        <v>11799872.359999999</v>
      </c>
      <c r="G435" s="161">
        <v>29478104.469999999</v>
      </c>
      <c r="H435" s="161">
        <v>35350330.770000003</v>
      </c>
      <c r="I435" s="161">
        <v>48353638.109999999</v>
      </c>
      <c r="J435" s="161">
        <v>55956380.739999995</v>
      </c>
      <c r="K435" s="161">
        <v>56827771.839999996</v>
      </c>
      <c r="L435" s="149"/>
      <c r="M435" s="149"/>
      <c r="N435" s="149"/>
      <c r="O435" s="149"/>
      <c r="P435" s="149"/>
      <c r="Q435" s="149"/>
      <c r="R435" s="149"/>
      <c r="S435" s="149"/>
      <c r="T435" s="149"/>
      <c r="U435" s="149"/>
      <c r="V435" s="149"/>
      <c r="W435" s="149"/>
      <c r="X435" s="161">
        <v>56827771.839999996</v>
      </c>
      <c r="Y435" s="145"/>
      <c r="Z435" s="145"/>
      <c r="AX435" s="141" t="s">
        <v>243</v>
      </c>
      <c r="AY435" s="141">
        <v>2004</v>
      </c>
      <c r="AZ435" s="141">
        <v>12157.89</v>
      </c>
      <c r="BA435" s="141">
        <v>1145758.17</v>
      </c>
      <c r="BB435" s="141">
        <v>6968292.5199999996</v>
      </c>
      <c r="BC435" s="141">
        <v>12803078.09</v>
      </c>
      <c r="BD435" s="141">
        <v>13306757.49</v>
      </c>
      <c r="BE435" s="141">
        <v>13329766.529999999</v>
      </c>
      <c r="BF435" s="141">
        <v>13338281.949999999</v>
      </c>
      <c r="BG435" s="141">
        <v>13339787.23</v>
      </c>
      <c r="BH435" s="141">
        <v>13339787.23</v>
      </c>
      <c r="BU435" s="141">
        <v>13339787.23</v>
      </c>
    </row>
    <row r="436" spans="1:73" ht="14.4" x14ac:dyDescent="0.3">
      <c r="A436" s="160" t="s">
        <v>249</v>
      </c>
      <c r="B436" s="161">
        <v>2008</v>
      </c>
      <c r="C436" s="161">
        <v>-6952.7800000000007</v>
      </c>
      <c r="D436" s="161">
        <v>974784.19000000006</v>
      </c>
      <c r="E436" s="161">
        <v>15366303.91</v>
      </c>
      <c r="F436" s="161">
        <v>35461120.350000001</v>
      </c>
      <c r="G436" s="161">
        <v>51081137.460000001</v>
      </c>
      <c r="H436" s="161">
        <v>56753098.109999999</v>
      </c>
      <c r="I436" s="161">
        <v>58292212.140000001</v>
      </c>
      <c r="J436" s="161">
        <v>63910869.670000002</v>
      </c>
      <c r="K436" s="149"/>
      <c r="L436" s="149"/>
      <c r="M436" s="149"/>
      <c r="N436" s="149"/>
      <c r="O436" s="149"/>
      <c r="P436" s="149"/>
      <c r="Q436" s="149"/>
      <c r="R436" s="149"/>
      <c r="S436" s="149"/>
      <c r="T436" s="149"/>
      <c r="U436" s="149"/>
      <c r="V436" s="149"/>
      <c r="W436" s="149"/>
      <c r="X436" s="161">
        <v>63910869.670000002</v>
      </c>
      <c r="Y436" s="145"/>
      <c r="Z436" s="145"/>
      <c r="AX436" s="141" t="s">
        <v>243</v>
      </c>
      <c r="AY436" s="141">
        <v>2005</v>
      </c>
      <c r="AZ436" s="141">
        <v>25025.439999999999</v>
      </c>
      <c r="BA436" s="141">
        <v>761383.46</v>
      </c>
      <c r="BB436" s="141">
        <v>6280662.4299999997</v>
      </c>
      <c r="BC436" s="141">
        <v>17157372.27</v>
      </c>
      <c r="BD436" s="141">
        <v>20471266.02</v>
      </c>
      <c r="BE436" s="141">
        <v>21104294.140000001</v>
      </c>
      <c r="BF436" s="141">
        <v>20927445.27</v>
      </c>
      <c r="BG436" s="141">
        <v>20928040.27</v>
      </c>
      <c r="BU436" s="141">
        <v>20928040.27</v>
      </c>
    </row>
    <row r="437" spans="1:73" ht="14.4" x14ac:dyDescent="0.3">
      <c r="A437" s="160" t="s">
        <v>249</v>
      </c>
      <c r="B437" s="161">
        <v>2009</v>
      </c>
      <c r="C437" s="161">
        <v>52441.94</v>
      </c>
      <c r="D437" s="161">
        <v>3807372.98</v>
      </c>
      <c r="E437" s="161">
        <v>16080811.609999999</v>
      </c>
      <c r="F437" s="161">
        <v>37148130.589999996</v>
      </c>
      <c r="G437" s="161">
        <v>51946089.700000003</v>
      </c>
      <c r="H437" s="161">
        <v>80427643.579999998</v>
      </c>
      <c r="I437" s="161">
        <v>94588223.600000009</v>
      </c>
      <c r="J437" s="149"/>
      <c r="K437" s="149"/>
      <c r="L437" s="149"/>
      <c r="M437" s="149"/>
      <c r="N437" s="149"/>
      <c r="O437" s="149"/>
      <c r="P437" s="149"/>
      <c r="Q437" s="149"/>
      <c r="R437" s="149"/>
      <c r="S437" s="149"/>
      <c r="T437" s="149"/>
      <c r="U437" s="149"/>
      <c r="V437" s="149"/>
      <c r="W437" s="149"/>
      <c r="X437" s="161">
        <v>94588223.600000009</v>
      </c>
      <c r="Y437" s="145"/>
      <c r="Z437" s="145"/>
      <c r="AX437" s="141" t="s">
        <v>243</v>
      </c>
      <c r="AY437" s="141">
        <v>2006</v>
      </c>
      <c r="AZ437" s="141">
        <v>14599.5</v>
      </c>
      <c r="BA437" s="141">
        <v>641948.97</v>
      </c>
      <c r="BB437" s="141">
        <v>1484107.89</v>
      </c>
      <c r="BC437" s="141">
        <v>3975716.4</v>
      </c>
      <c r="BD437" s="141">
        <v>8540112.7699999996</v>
      </c>
      <c r="BE437" s="141">
        <v>8427901.3000000007</v>
      </c>
      <c r="BF437" s="141">
        <v>8430274.8699999992</v>
      </c>
      <c r="BU437" s="141">
        <v>8430274.8699999992</v>
      </c>
    </row>
    <row r="438" spans="1:73" ht="14.4" x14ac:dyDescent="0.3">
      <c r="A438" s="160" t="s">
        <v>249</v>
      </c>
      <c r="B438" s="161">
        <v>2010</v>
      </c>
      <c r="C438" s="161">
        <v>81435.14</v>
      </c>
      <c r="D438" s="161">
        <v>1904505.53</v>
      </c>
      <c r="E438" s="161">
        <v>13138679.369999999</v>
      </c>
      <c r="F438" s="161">
        <v>24939910.66</v>
      </c>
      <c r="G438" s="161">
        <v>39899183.600000001</v>
      </c>
      <c r="H438" s="161">
        <v>46354165.219999999</v>
      </c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/>
      <c r="T438" s="149"/>
      <c r="U438" s="149"/>
      <c r="V438" s="149"/>
      <c r="W438" s="149"/>
      <c r="X438" s="161">
        <v>46354165.219999999</v>
      </c>
      <c r="Y438" s="145"/>
      <c r="Z438" s="145"/>
      <c r="AX438" s="141" t="s">
        <v>243</v>
      </c>
      <c r="AY438" s="141">
        <v>2007</v>
      </c>
      <c r="AZ438" s="141">
        <v>22587.84</v>
      </c>
      <c r="BA438" s="141">
        <v>6130627.8200000003</v>
      </c>
      <c r="BB438" s="141">
        <v>8365500.7300000004</v>
      </c>
      <c r="BC438" s="141">
        <v>9222621.9900000002</v>
      </c>
      <c r="BD438" s="141">
        <v>12988257.449999999</v>
      </c>
      <c r="BE438" s="141">
        <v>13913023.720000001</v>
      </c>
      <c r="BU438" s="141">
        <v>13913023.720000001</v>
      </c>
    </row>
    <row r="439" spans="1:73" ht="14.4" x14ac:dyDescent="0.3">
      <c r="A439" s="160" t="s">
        <v>249</v>
      </c>
      <c r="B439" s="161">
        <v>2011</v>
      </c>
      <c r="C439" s="161">
        <v>1139030.26</v>
      </c>
      <c r="D439" s="161">
        <v>9544340.2000000011</v>
      </c>
      <c r="E439" s="161">
        <v>16420192.23</v>
      </c>
      <c r="F439" s="161">
        <v>24345146.789999999</v>
      </c>
      <c r="G439" s="161">
        <v>34610031.369999997</v>
      </c>
      <c r="H439" s="149"/>
      <c r="I439" s="149"/>
      <c r="J439" s="149"/>
      <c r="K439" s="149"/>
      <c r="L439" s="149"/>
      <c r="M439" s="149"/>
      <c r="N439" s="149"/>
      <c r="O439" s="149"/>
      <c r="P439" s="149"/>
      <c r="Q439" s="149"/>
      <c r="R439" s="149"/>
      <c r="S439" s="149"/>
      <c r="T439" s="149"/>
      <c r="U439" s="149"/>
      <c r="V439" s="149"/>
      <c r="W439" s="149"/>
      <c r="X439" s="161">
        <v>34610031.369999997</v>
      </c>
      <c r="Y439" s="145"/>
      <c r="Z439" s="145"/>
      <c r="AX439" s="141" t="s">
        <v>243</v>
      </c>
      <c r="AY439" s="141">
        <v>2008</v>
      </c>
      <c r="AZ439" s="141">
        <v>906466.22</v>
      </c>
      <c r="BA439" s="141">
        <v>2004043.95</v>
      </c>
      <c r="BB439" s="141">
        <v>9879610.5800000001</v>
      </c>
      <c r="BC439" s="141">
        <v>20492583.050000001</v>
      </c>
      <c r="BD439" s="141">
        <v>28975997.859999999</v>
      </c>
      <c r="BU439" s="141">
        <v>28975997.859999999</v>
      </c>
    </row>
    <row r="440" spans="1:73" ht="14.4" x14ac:dyDescent="0.3">
      <c r="A440" s="160" t="s">
        <v>249</v>
      </c>
      <c r="B440" s="161">
        <v>2012</v>
      </c>
      <c r="C440" s="161">
        <v>203801.61</v>
      </c>
      <c r="D440" s="161">
        <v>4517749.8499999996</v>
      </c>
      <c r="E440" s="161">
        <v>8860793.2799999993</v>
      </c>
      <c r="F440" s="161">
        <v>14610893.08</v>
      </c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/>
      <c r="T440" s="149"/>
      <c r="U440" s="149"/>
      <c r="V440" s="149"/>
      <c r="W440" s="149"/>
      <c r="X440" s="161">
        <v>14610893.08</v>
      </c>
      <c r="Y440" s="145"/>
      <c r="Z440" s="145"/>
      <c r="AX440" s="141" t="s">
        <v>243</v>
      </c>
      <c r="AY440" s="141">
        <v>2009</v>
      </c>
      <c r="AZ440" s="141">
        <v>14756.46</v>
      </c>
      <c r="BA440" s="141">
        <v>1773132.79</v>
      </c>
      <c r="BB440" s="141">
        <v>9651018.2200000007</v>
      </c>
      <c r="BC440" s="141">
        <v>11866566.939999999</v>
      </c>
      <c r="BU440" s="141">
        <v>11866566.939999999</v>
      </c>
    </row>
    <row r="441" spans="1:73" ht="14.4" x14ac:dyDescent="0.3">
      <c r="A441" s="160" t="s">
        <v>249</v>
      </c>
      <c r="B441" s="161">
        <v>2013</v>
      </c>
      <c r="C441" s="161">
        <v>385719.9</v>
      </c>
      <c r="D441" s="161">
        <v>2729594.15</v>
      </c>
      <c r="E441" s="161">
        <v>26444887.829999998</v>
      </c>
      <c r="F441" s="149"/>
      <c r="G441" s="149"/>
      <c r="H441" s="149"/>
      <c r="I441" s="149"/>
      <c r="J441" s="149"/>
      <c r="K441" s="149"/>
      <c r="L441" s="149"/>
      <c r="M441" s="149"/>
      <c r="N441" s="149"/>
      <c r="O441" s="149"/>
      <c r="P441" s="149"/>
      <c r="Q441" s="149"/>
      <c r="R441" s="149"/>
      <c r="S441" s="149"/>
      <c r="T441" s="149"/>
      <c r="U441" s="149"/>
      <c r="V441" s="149"/>
      <c r="W441" s="149"/>
      <c r="X441" s="161">
        <v>26444887.829999998</v>
      </c>
      <c r="Y441" s="145"/>
      <c r="Z441" s="145"/>
      <c r="AX441" s="141" t="s">
        <v>243</v>
      </c>
      <c r="AY441" s="141">
        <v>2010</v>
      </c>
      <c r="AZ441" s="141">
        <v>2384</v>
      </c>
      <c r="BA441" s="141">
        <v>1071488.51</v>
      </c>
      <c r="BB441" s="141">
        <v>4428583.59</v>
      </c>
      <c r="BU441" s="141">
        <v>4428583.59</v>
      </c>
    </row>
    <row r="442" spans="1:73" ht="14.4" x14ac:dyDescent="0.3">
      <c r="A442" s="160" t="s">
        <v>249</v>
      </c>
      <c r="B442" s="161">
        <v>2014</v>
      </c>
      <c r="C442" s="161">
        <v>4882</v>
      </c>
      <c r="D442" s="161">
        <v>13289828.800000001</v>
      </c>
      <c r="E442" s="149"/>
      <c r="F442" s="149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/>
      <c r="T442" s="149"/>
      <c r="U442" s="149"/>
      <c r="V442" s="149"/>
      <c r="W442" s="149"/>
      <c r="X442" s="161">
        <v>13289828.800000001</v>
      </c>
      <c r="Y442" s="145"/>
      <c r="Z442" s="145"/>
      <c r="AX442" s="141" t="s">
        <v>243</v>
      </c>
      <c r="AY442" s="141">
        <v>2011</v>
      </c>
      <c r="AZ442" s="141">
        <v>0</v>
      </c>
      <c r="BA442" s="141">
        <v>10387462.550000001</v>
      </c>
      <c r="BU442" s="141">
        <v>10387462.550000001</v>
      </c>
    </row>
    <row r="443" spans="1:73" ht="14.4" x14ac:dyDescent="0.3">
      <c r="A443" s="160" t="s">
        <v>249</v>
      </c>
      <c r="B443" s="161">
        <v>2015</v>
      </c>
      <c r="C443" s="161">
        <v>347853.53</v>
      </c>
      <c r="D443" s="149"/>
      <c r="E443" s="149"/>
      <c r="F443" s="149"/>
      <c r="G443" s="149"/>
      <c r="H443" s="149"/>
      <c r="I443" s="149"/>
      <c r="J443" s="149"/>
      <c r="K443" s="149"/>
      <c r="L443" s="149"/>
      <c r="M443" s="149"/>
      <c r="N443" s="149"/>
      <c r="O443" s="149"/>
      <c r="P443" s="149"/>
      <c r="Q443" s="149"/>
      <c r="R443" s="149"/>
      <c r="S443" s="149"/>
      <c r="T443" s="149"/>
      <c r="U443" s="149"/>
      <c r="V443" s="149"/>
      <c r="W443" s="149"/>
      <c r="X443" s="161">
        <v>347853.53</v>
      </c>
      <c r="Y443" s="145"/>
      <c r="Z443" s="145"/>
      <c r="AX443" s="141" t="s">
        <v>243</v>
      </c>
      <c r="AY443" s="141">
        <v>2012</v>
      </c>
      <c r="AZ443" s="141">
        <v>0</v>
      </c>
      <c r="BU443" s="141">
        <v>0</v>
      </c>
    </row>
    <row r="444" spans="1:73" ht="14.4" x14ac:dyDescent="0.3">
      <c r="A444" s="160" t="s">
        <v>250</v>
      </c>
      <c r="B444" s="161">
        <v>1995</v>
      </c>
      <c r="C444" s="161">
        <v>2016553.35</v>
      </c>
      <c r="D444" s="161">
        <v>16977764.640000001</v>
      </c>
      <c r="E444" s="161">
        <v>35376056.670000002</v>
      </c>
      <c r="F444" s="161">
        <v>45907760.859999999</v>
      </c>
      <c r="G444" s="161">
        <v>53237404.920000002</v>
      </c>
      <c r="H444" s="161">
        <v>58434927.189999998</v>
      </c>
      <c r="I444" s="161">
        <v>63636091.520000003</v>
      </c>
      <c r="J444" s="161">
        <v>63808081.57</v>
      </c>
      <c r="K444" s="161">
        <v>64404641.609999999</v>
      </c>
      <c r="L444" s="161">
        <v>64860756.170000002</v>
      </c>
      <c r="M444" s="161">
        <v>63893946.299999997</v>
      </c>
      <c r="N444" s="161">
        <v>63480157.739999995</v>
      </c>
      <c r="O444" s="161">
        <v>63504411.719999999</v>
      </c>
      <c r="P444" s="161">
        <v>63831865.600000001</v>
      </c>
      <c r="Q444" s="161">
        <v>63807468.799999997</v>
      </c>
      <c r="R444" s="161">
        <v>63807468.799999997</v>
      </c>
      <c r="S444" s="161">
        <v>63807468.799999997</v>
      </c>
      <c r="T444" s="161">
        <v>63809420.799999997</v>
      </c>
      <c r="U444" s="161">
        <v>63809420.799999997</v>
      </c>
      <c r="V444" s="161">
        <v>63809420.799999997</v>
      </c>
      <c r="W444" s="161">
        <v>63809420.799999997</v>
      </c>
      <c r="X444" s="161">
        <v>63809420.799999997</v>
      </c>
      <c r="Y444" s="145"/>
      <c r="Z444" s="145"/>
      <c r="AX444" s="141" t="s">
        <v>244</v>
      </c>
      <c r="AY444" s="141">
        <v>1992</v>
      </c>
      <c r="AZ444" s="141">
        <v>0</v>
      </c>
      <c r="BA444" s="141">
        <v>0</v>
      </c>
      <c r="BB444" s="141">
        <v>-10000</v>
      </c>
      <c r="BC444" s="141">
        <v>-10000</v>
      </c>
      <c r="BD444" s="141">
        <v>-10000</v>
      </c>
      <c r="BE444" s="141">
        <v>-10000</v>
      </c>
      <c r="BF444" s="141">
        <v>-10000</v>
      </c>
      <c r="BG444" s="141">
        <v>-10000</v>
      </c>
      <c r="BH444" s="141">
        <v>-10000</v>
      </c>
      <c r="BI444" s="141">
        <v>-10000</v>
      </c>
      <c r="BJ444" s="141">
        <v>-10000</v>
      </c>
      <c r="BK444" s="141">
        <v>-10000</v>
      </c>
      <c r="BL444" s="141">
        <v>-10000</v>
      </c>
      <c r="BM444" s="141">
        <v>-10000</v>
      </c>
      <c r="BN444" s="141">
        <v>-10000</v>
      </c>
      <c r="BO444" s="141">
        <v>-10000</v>
      </c>
      <c r="BP444" s="141">
        <v>-10000</v>
      </c>
      <c r="BQ444" s="141">
        <v>-10000</v>
      </c>
      <c r="BR444" s="141">
        <v>-10000</v>
      </c>
      <c r="BS444" s="141">
        <v>-10000</v>
      </c>
      <c r="BT444" s="141">
        <v>-10000</v>
      </c>
      <c r="BU444" s="141">
        <v>-10000</v>
      </c>
    </row>
    <row r="445" spans="1:73" ht="14.4" x14ac:dyDescent="0.3">
      <c r="A445" s="160" t="s">
        <v>250</v>
      </c>
      <c r="B445" s="161">
        <v>1996</v>
      </c>
      <c r="C445" s="161">
        <v>3467527.66</v>
      </c>
      <c r="D445" s="161">
        <v>22953685.609999999</v>
      </c>
      <c r="E445" s="161">
        <v>43260541.649999999</v>
      </c>
      <c r="F445" s="161">
        <v>56639376.600000001</v>
      </c>
      <c r="G445" s="161">
        <v>66572382.040000007</v>
      </c>
      <c r="H445" s="161">
        <v>68295277.310000002</v>
      </c>
      <c r="I445" s="161">
        <v>69306384.86999999</v>
      </c>
      <c r="J445" s="161">
        <v>69644616.019999996</v>
      </c>
      <c r="K445" s="161">
        <v>69608641.100000009</v>
      </c>
      <c r="L445" s="161">
        <v>70584718.699999988</v>
      </c>
      <c r="M445" s="161">
        <v>70620995.949999988</v>
      </c>
      <c r="N445" s="161">
        <v>70746517.349999994</v>
      </c>
      <c r="O445" s="161">
        <v>71181556.840000004</v>
      </c>
      <c r="P445" s="161">
        <v>71199578.75</v>
      </c>
      <c r="Q445" s="161">
        <v>71259730.939999998</v>
      </c>
      <c r="R445" s="161">
        <v>71135641.629999995</v>
      </c>
      <c r="S445" s="161">
        <v>71138356.939999998</v>
      </c>
      <c r="T445" s="161">
        <v>71228589.180000007</v>
      </c>
      <c r="U445" s="161">
        <v>71228741.180000007</v>
      </c>
      <c r="V445" s="161">
        <v>71228741.180000007</v>
      </c>
      <c r="W445" s="149"/>
      <c r="X445" s="161">
        <v>71228741.180000007</v>
      </c>
      <c r="Y445" s="145"/>
      <c r="Z445" s="145"/>
      <c r="AX445" s="141" t="s">
        <v>244</v>
      </c>
      <c r="AY445" s="141">
        <v>1993</v>
      </c>
      <c r="AZ445" s="141">
        <v>11818.35</v>
      </c>
      <c r="BA445" s="141">
        <v>508762.15</v>
      </c>
      <c r="BB445" s="141">
        <v>1447345.86</v>
      </c>
      <c r="BC445" s="141">
        <v>1458245.13</v>
      </c>
      <c r="BD445" s="141">
        <v>1458210.23</v>
      </c>
      <c r="BE445" s="141">
        <v>1458210.23</v>
      </c>
      <c r="BF445" s="141">
        <v>1458210.23</v>
      </c>
      <c r="BG445" s="141">
        <v>1458210.23</v>
      </c>
      <c r="BH445" s="141">
        <v>1458210.23</v>
      </c>
      <c r="BI445" s="141">
        <v>1458210.23</v>
      </c>
      <c r="BJ445" s="141">
        <v>1458210.23</v>
      </c>
      <c r="BK445" s="141">
        <v>1458210.23</v>
      </c>
      <c r="BL445" s="141">
        <v>1458210.23</v>
      </c>
      <c r="BM445" s="141">
        <v>1458210.23</v>
      </c>
      <c r="BN445" s="141">
        <v>1458210.23</v>
      </c>
      <c r="BO445" s="141">
        <v>1458210.23</v>
      </c>
      <c r="BP445" s="141">
        <v>1458210.23</v>
      </c>
      <c r="BQ445" s="141">
        <v>1458210.23</v>
      </c>
      <c r="BR445" s="141">
        <v>1458210.23</v>
      </c>
      <c r="BS445" s="141">
        <v>1458210.23</v>
      </c>
      <c r="BU445" s="141">
        <v>1458210.23</v>
      </c>
    </row>
    <row r="446" spans="1:73" ht="14.4" x14ac:dyDescent="0.3">
      <c r="A446" s="160" t="s">
        <v>250</v>
      </c>
      <c r="B446" s="161">
        <v>1997</v>
      </c>
      <c r="C446" s="161">
        <v>3922945.72</v>
      </c>
      <c r="D446" s="161">
        <v>23104129.079999998</v>
      </c>
      <c r="E446" s="161">
        <v>43532356.269999996</v>
      </c>
      <c r="F446" s="161">
        <v>56716217.789999999</v>
      </c>
      <c r="G446" s="161">
        <v>65335737.729999997</v>
      </c>
      <c r="H446" s="161">
        <v>67581655.219999999</v>
      </c>
      <c r="I446" s="161">
        <v>68791682.060000002</v>
      </c>
      <c r="J446" s="161">
        <v>69902858.50999999</v>
      </c>
      <c r="K446" s="161">
        <v>69946786.640000001</v>
      </c>
      <c r="L446" s="161">
        <v>70230376.829999998</v>
      </c>
      <c r="M446" s="161">
        <v>71919448.699999988</v>
      </c>
      <c r="N446" s="161">
        <v>71934910.909999996</v>
      </c>
      <c r="O446" s="161">
        <v>71929994.099999994</v>
      </c>
      <c r="P446" s="161">
        <v>71929994.099999994</v>
      </c>
      <c r="Q446" s="161">
        <v>71929994.099999994</v>
      </c>
      <c r="R446" s="161">
        <v>71929994.189999998</v>
      </c>
      <c r="S446" s="161">
        <v>71929994.189999998</v>
      </c>
      <c r="T446" s="161">
        <v>71929994.189999998</v>
      </c>
      <c r="U446" s="161">
        <v>71929994.189999998</v>
      </c>
      <c r="V446" s="149"/>
      <c r="W446" s="149"/>
      <c r="X446" s="161">
        <v>71929994.189999998</v>
      </c>
      <c r="Y446" s="145"/>
      <c r="Z446" s="145"/>
      <c r="AX446" s="141" t="s">
        <v>244</v>
      </c>
      <c r="AY446" s="141">
        <v>1994</v>
      </c>
      <c r="AZ446" s="141">
        <v>112158.55</v>
      </c>
      <c r="BA446" s="141">
        <v>863104.19</v>
      </c>
      <c r="BB446" s="141">
        <v>928277.2</v>
      </c>
      <c r="BC446" s="141">
        <v>912904.4</v>
      </c>
      <c r="BD446" s="141">
        <v>889782.06</v>
      </c>
      <c r="BE446" s="141">
        <v>951799.49</v>
      </c>
      <c r="BF446" s="141">
        <v>951799.49</v>
      </c>
      <c r="BG446" s="141">
        <v>951799.49</v>
      </c>
      <c r="BH446" s="141">
        <v>951799.49</v>
      </c>
      <c r="BI446" s="141">
        <v>951799.49</v>
      </c>
      <c r="BJ446" s="141">
        <v>951799.49</v>
      </c>
      <c r="BK446" s="141">
        <v>951799.49</v>
      </c>
      <c r="BL446" s="141">
        <v>951799.49</v>
      </c>
      <c r="BM446" s="141">
        <v>951799.49</v>
      </c>
      <c r="BN446" s="141">
        <v>951799.49</v>
      </c>
      <c r="BO446" s="141">
        <v>951799.49</v>
      </c>
      <c r="BP446" s="141">
        <v>951799.49</v>
      </c>
      <c r="BQ446" s="141">
        <v>951799.49</v>
      </c>
      <c r="BR446" s="141">
        <v>951799.49</v>
      </c>
      <c r="BU446" s="141">
        <v>951799.49</v>
      </c>
    </row>
    <row r="447" spans="1:73" ht="14.4" x14ac:dyDescent="0.3">
      <c r="A447" s="160" t="s">
        <v>250</v>
      </c>
      <c r="B447" s="161">
        <v>1998</v>
      </c>
      <c r="C447" s="161">
        <v>3286122.02</v>
      </c>
      <c r="D447" s="161">
        <v>19861603.880000003</v>
      </c>
      <c r="E447" s="161">
        <v>38646888.329999998</v>
      </c>
      <c r="F447" s="161">
        <v>54355265.939999998</v>
      </c>
      <c r="G447" s="161">
        <v>58252727.18</v>
      </c>
      <c r="H447" s="161">
        <v>60450318.960000001</v>
      </c>
      <c r="I447" s="161">
        <v>65942110.989999995</v>
      </c>
      <c r="J447" s="161">
        <v>70400851.340000004</v>
      </c>
      <c r="K447" s="161">
        <v>71206110.980000004</v>
      </c>
      <c r="L447" s="161">
        <v>70925736.430000007</v>
      </c>
      <c r="M447" s="161">
        <v>70632578.890000001</v>
      </c>
      <c r="N447" s="161">
        <v>70543593.780000001</v>
      </c>
      <c r="O447" s="161">
        <v>70520519.829999998</v>
      </c>
      <c r="P447" s="161">
        <v>70385071.25</v>
      </c>
      <c r="Q447" s="161">
        <v>70365829.689999998</v>
      </c>
      <c r="R447" s="161">
        <v>70373191.989999995</v>
      </c>
      <c r="S447" s="161">
        <v>70416886.329999998</v>
      </c>
      <c r="T447" s="161">
        <v>70441669.010000005</v>
      </c>
      <c r="U447" s="149"/>
      <c r="V447" s="149"/>
      <c r="W447" s="149"/>
      <c r="X447" s="161">
        <v>70441669.010000005</v>
      </c>
      <c r="Y447" s="145"/>
      <c r="Z447" s="145"/>
      <c r="AX447" s="141" t="s">
        <v>244</v>
      </c>
      <c r="AY447" s="141">
        <v>1995</v>
      </c>
      <c r="AZ447" s="141">
        <v>1205.6600000000001</v>
      </c>
      <c r="BA447" s="141">
        <v>4329.93</v>
      </c>
      <c r="BB447" s="141">
        <v>12581.66</v>
      </c>
      <c r="BC447" s="141">
        <v>18426.939999999999</v>
      </c>
      <c r="BD447" s="141">
        <v>22700.3</v>
      </c>
      <c r="BE447" s="141">
        <v>303974.05</v>
      </c>
      <c r="BF447" s="141">
        <v>303974.05</v>
      </c>
      <c r="BG447" s="141">
        <v>303974.05</v>
      </c>
      <c r="BH447" s="141">
        <v>303974.05</v>
      </c>
      <c r="BI447" s="141">
        <v>303974.05</v>
      </c>
      <c r="BJ447" s="141">
        <v>303974.05</v>
      </c>
      <c r="BK447" s="141">
        <v>303974.05</v>
      </c>
      <c r="BL447" s="141">
        <v>303974.05</v>
      </c>
      <c r="BM447" s="141">
        <v>303974.05</v>
      </c>
      <c r="BN447" s="141">
        <v>303974.05</v>
      </c>
      <c r="BO447" s="141">
        <v>303974.05</v>
      </c>
      <c r="BP447" s="141">
        <v>303974.05</v>
      </c>
      <c r="BQ447" s="141">
        <v>303974.05</v>
      </c>
      <c r="BU447" s="141">
        <v>303974.05</v>
      </c>
    </row>
    <row r="448" spans="1:73" ht="14.4" x14ac:dyDescent="0.3">
      <c r="A448" s="160" t="s">
        <v>250</v>
      </c>
      <c r="B448" s="161">
        <v>1999</v>
      </c>
      <c r="C448" s="161">
        <v>4130412.21</v>
      </c>
      <c r="D448" s="161">
        <v>19733943.369999997</v>
      </c>
      <c r="E448" s="161">
        <v>34733505.25</v>
      </c>
      <c r="F448" s="161">
        <v>48371538.25</v>
      </c>
      <c r="G448" s="161">
        <v>54844256.689999998</v>
      </c>
      <c r="H448" s="161">
        <v>58647274.590000004</v>
      </c>
      <c r="I448" s="161">
        <v>59584000.660000004</v>
      </c>
      <c r="J448" s="161">
        <v>60022248.799999997</v>
      </c>
      <c r="K448" s="161">
        <v>60173745.180000007</v>
      </c>
      <c r="L448" s="161">
        <v>60202223.660000004</v>
      </c>
      <c r="M448" s="161">
        <v>59900769.330000006</v>
      </c>
      <c r="N448" s="161">
        <v>59893665.230000004</v>
      </c>
      <c r="O448" s="161">
        <v>59957845.310000002</v>
      </c>
      <c r="P448" s="161">
        <v>60011542.010000005</v>
      </c>
      <c r="Q448" s="161">
        <v>59992439.160000004</v>
      </c>
      <c r="R448" s="161">
        <v>59985878.899999999</v>
      </c>
      <c r="S448" s="161">
        <v>59986036.619999997</v>
      </c>
      <c r="T448" s="149"/>
      <c r="U448" s="149"/>
      <c r="V448" s="149"/>
      <c r="W448" s="149"/>
      <c r="X448" s="161">
        <v>59986036.619999997</v>
      </c>
      <c r="Y448" s="145"/>
      <c r="Z448" s="145"/>
      <c r="AX448" s="141" t="s">
        <v>244</v>
      </c>
      <c r="AY448" s="141">
        <v>1996</v>
      </c>
      <c r="AZ448" s="141">
        <v>47197.24</v>
      </c>
      <c r="BA448" s="141">
        <v>113758.02</v>
      </c>
      <c r="BB448" s="141">
        <v>141200.87</v>
      </c>
      <c r="BC448" s="141">
        <v>142601.95000000001</v>
      </c>
      <c r="BD448" s="141">
        <v>142601.96</v>
      </c>
      <c r="BE448" s="141">
        <v>142601.95000000001</v>
      </c>
      <c r="BF448" s="141">
        <v>142710.75</v>
      </c>
      <c r="BG448" s="141">
        <v>1585227.2</v>
      </c>
      <c r="BH448" s="141">
        <v>2353507.7200000002</v>
      </c>
      <c r="BI448" s="141">
        <v>2353626.65</v>
      </c>
      <c r="BJ448" s="141">
        <v>2370999.29</v>
      </c>
      <c r="BK448" s="141">
        <v>2370999.29</v>
      </c>
      <c r="BL448" s="141">
        <v>3597144.25</v>
      </c>
      <c r="BM448" s="141">
        <v>3621915.72</v>
      </c>
      <c r="BN448" s="141">
        <v>4283027.79</v>
      </c>
      <c r="BO448" s="141">
        <v>4283027.79</v>
      </c>
      <c r="BP448" s="141">
        <v>4283027.79</v>
      </c>
      <c r="BU448" s="141">
        <v>4283027.79</v>
      </c>
    </row>
    <row r="449" spans="1:73" ht="14.4" x14ac:dyDescent="0.3">
      <c r="A449" s="160" t="s">
        <v>250</v>
      </c>
      <c r="B449" s="161">
        <v>2000</v>
      </c>
      <c r="C449" s="161">
        <v>5012550.3499999996</v>
      </c>
      <c r="D449" s="161">
        <v>21564364.259999998</v>
      </c>
      <c r="E449" s="161">
        <v>39413159.510000005</v>
      </c>
      <c r="F449" s="161">
        <v>51691178.480000004</v>
      </c>
      <c r="G449" s="161">
        <v>61185288.059999995</v>
      </c>
      <c r="H449" s="161">
        <v>64842233.029999994</v>
      </c>
      <c r="I449" s="161">
        <v>67458362.370000005</v>
      </c>
      <c r="J449" s="161">
        <v>69300854.75999999</v>
      </c>
      <c r="K449" s="161">
        <v>71613346.310000002</v>
      </c>
      <c r="L449" s="161">
        <v>71890297.439999998</v>
      </c>
      <c r="M449" s="161">
        <v>73619315.829999998</v>
      </c>
      <c r="N449" s="161">
        <v>73652601.070000008</v>
      </c>
      <c r="O449" s="161">
        <v>73657540.070000008</v>
      </c>
      <c r="P449" s="161">
        <v>73668888.030000001</v>
      </c>
      <c r="Q449" s="161">
        <v>73678588.290000007</v>
      </c>
      <c r="R449" s="161">
        <v>73685551.170000002</v>
      </c>
      <c r="S449" s="149"/>
      <c r="T449" s="149"/>
      <c r="U449" s="149"/>
      <c r="V449" s="149"/>
      <c r="W449" s="149"/>
      <c r="X449" s="161">
        <v>73685551.170000002</v>
      </c>
      <c r="Y449" s="145"/>
      <c r="Z449" s="145"/>
      <c r="AX449" s="141" t="s">
        <v>244</v>
      </c>
      <c r="AY449" s="141">
        <v>1997</v>
      </c>
      <c r="AZ449" s="141">
        <v>24367.41</v>
      </c>
      <c r="BA449" s="141">
        <v>11359924</v>
      </c>
      <c r="BB449" s="141">
        <v>4211251.57</v>
      </c>
      <c r="BC449" s="141">
        <v>7713890.9800000004</v>
      </c>
      <c r="BD449" s="141">
        <v>8453287.9000000004</v>
      </c>
      <c r="BE449" s="141">
        <v>8453287.8499999996</v>
      </c>
      <c r="BF449" s="141">
        <v>8453355.3499999996</v>
      </c>
      <c r="BG449" s="141">
        <v>8453355.3599999994</v>
      </c>
      <c r="BH449" s="141">
        <v>8453355.3599999994</v>
      </c>
      <c r="BI449" s="141">
        <v>8453355.3599999994</v>
      </c>
      <c r="BJ449" s="141">
        <v>8453355.3599999994</v>
      </c>
      <c r="BK449" s="141">
        <v>8453355.3599999994</v>
      </c>
      <c r="BL449" s="141">
        <v>8453355.3599999994</v>
      </c>
      <c r="BM449" s="141">
        <v>8453355.3599999994</v>
      </c>
      <c r="BN449" s="141">
        <v>8451265.3100000005</v>
      </c>
      <c r="BO449" s="141">
        <v>8451265.3100000005</v>
      </c>
      <c r="BU449" s="141">
        <v>8451265.3100000005</v>
      </c>
    </row>
    <row r="450" spans="1:73" ht="14.4" x14ac:dyDescent="0.3">
      <c r="A450" s="160" t="s">
        <v>250</v>
      </c>
      <c r="B450" s="161">
        <v>2001</v>
      </c>
      <c r="C450" s="161">
        <v>3957049.13</v>
      </c>
      <c r="D450" s="161">
        <v>22365563.140000001</v>
      </c>
      <c r="E450" s="161">
        <v>38529035.57</v>
      </c>
      <c r="F450" s="161">
        <v>53365934.130000003</v>
      </c>
      <c r="G450" s="161">
        <v>67852935.88000001</v>
      </c>
      <c r="H450" s="161">
        <v>70787201.340000004</v>
      </c>
      <c r="I450" s="161">
        <v>71159436.060000002</v>
      </c>
      <c r="J450" s="161">
        <v>72429886.719999999</v>
      </c>
      <c r="K450" s="161">
        <v>73011647.609999999</v>
      </c>
      <c r="L450" s="161">
        <v>73385555.899999991</v>
      </c>
      <c r="M450" s="161">
        <v>73437808.590000004</v>
      </c>
      <c r="N450" s="161">
        <v>73786394.25999999</v>
      </c>
      <c r="O450" s="161">
        <v>73838738.620000005</v>
      </c>
      <c r="P450" s="161">
        <v>74274898.689999998</v>
      </c>
      <c r="Q450" s="161">
        <v>74287405.419999987</v>
      </c>
      <c r="R450" s="149"/>
      <c r="S450" s="149"/>
      <c r="T450" s="149"/>
      <c r="U450" s="149"/>
      <c r="V450" s="149"/>
      <c r="W450" s="149"/>
      <c r="X450" s="161">
        <v>74287405.419999987</v>
      </c>
      <c r="Y450" s="145"/>
      <c r="Z450" s="145"/>
      <c r="AX450" s="141" t="s">
        <v>244</v>
      </c>
      <c r="AY450" s="141">
        <v>1998</v>
      </c>
      <c r="AZ450" s="141">
        <v>6777.73</v>
      </c>
      <c r="BA450" s="141">
        <v>50055.93</v>
      </c>
      <c r="BB450" s="141">
        <v>50158.43</v>
      </c>
      <c r="BC450" s="141">
        <v>50158.43</v>
      </c>
      <c r="BD450" s="141">
        <v>50158.43</v>
      </c>
      <c r="BE450" s="141">
        <v>50158.43</v>
      </c>
      <c r="BF450" s="141">
        <v>50158.43</v>
      </c>
      <c r="BG450" s="141">
        <v>50158.43</v>
      </c>
      <c r="BH450" s="141">
        <v>50158.43</v>
      </c>
      <c r="BI450" s="141">
        <v>50158.43</v>
      </c>
      <c r="BJ450" s="141">
        <v>50158.43</v>
      </c>
      <c r="BK450" s="141">
        <v>50158.43</v>
      </c>
      <c r="BL450" s="141">
        <v>50158.43</v>
      </c>
      <c r="BM450" s="141">
        <v>50158.43</v>
      </c>
      <c r="BN450" s="141">
        <v>50158.43</v>
      </c>
      <c r="BU450" s="141">
        <v>50158.43</v>
      </c>
    </row>
    <row r="451" spans="1:73" ht="14.4" x14ac:dyDescent="0.3">
      <c r="A451" s="160" t="s">
        <v>250</v>
      </c>
      <c r="B451" s="161">
        <v>2002</v>
      </c>
      <c r="C451" s="161">
        <v>6395439.75</v>
      </c>
      <c r="D451" s="161">
        <v>37918700.080000006</v>
      </c>
      <c r="E451" s="161">
        <v>59617910.449999996</v>
      </c>
      <c r="F451" s="161">
        <v>82556873.689999998</v>
      </c>
      <c r="G451" s="161">
        <v>92939004.790000007</v>
      </c>
      <c r="H451" s="161">
        <v>95658700.140000001</v>
      </c>
      <c r="I451" s="161">
        <v>98368635.879999995</v>
      </c>
      <c r="J451" s="161">
        <v>97000102.939999998</v>
      </c>
      <c r="K451" s="161">
        <v>97349933.090000004</v>
      </c>
      <c r="L451" s="161">
        <v>97520610.430000007</v>
      </c>
      <c r="M451" s="161">
        <v>98216251.150000006</v>
      </c>
      <c r="N451" s="161">
        <v>98729647.280000001</v>
      </c>
      <c r="O451" s="161">
        <v>98746837.280000001</v>
      </c>
      <c r="P451" s="161">
        <v>98757333.180000007</v>
      </c>
      <c r="Q451" s="149"/>
      <c r="R451" s="149"/>
      <c r="S451" s="149"/>
      <c r="T451" s="149"/>
      <c r="U451" s="149"/>
      <c r="V451" s="149"/>
      <c r="W451" s="149"/>
      <c r="X451" s="161">
        <v>98757333.180000007</v>
      </c>
      <c r="Y451" s="145"/>
      <c r="Z451" s="145"/>
      <c r="AX451" s="141" t="s">
        <v>244</v>
      </c>
      <c r="AY451" s="141">
        <v>1999</v>
      </c>
      <c r="AZ451" s="141">
        <v>15556.54</v>
      </c>
      <c r="BA451" s="141">
        <v>26131.53</v>
      </c>
      <c r="BB451" s="141">
        <v>63043.76</v>
      </c>
      <c r="BC451" s="141">
        <v>82865.77</v>
      </c>
      <c r="BD451" s="141">
        <v>280548.69</v>
      </c>
      <c r="BE451" s="141">
        <v>347322.33</v>
      </c>
      <c r="BF451" s="141">
        <v>469535.6</v>
      </c>
      <c r="BG451" s="141">
        <v>482426.58</v>
      </c>
      <c r="BH451" s="141">
        <v>867081.98</v>
      </c>
      <c r="BI451" s="141">
        <v>1559030.69</v>
      </c>
      <c r="BJ451" s="141">
        <v>1559030.69</v>
      </c>
      <c r="BK451" s="141">
        <v>1559030.69</v>
      </c>
      <c r="BL451" s="141">
        <v>1559030.69</v>
      </c>
      <c r="BM451" s="141">
        <v>1559030.69</v>
      </c>
      <c r="BU451" s="141">
        <v>1559030.69</v>
      </c>
    </row>
    <row r="452" spans="1:73" ht="14.4" x14ac:dyDescent="0.3">
      <c r="A452" s="160" t="s">
        <v>250</v>
      </c>
      <c r="B452" s="161">
        <v>2003</v>
      </c>
      <c r="C452" s="161">
        <v>7149995.4000000004</v>
      </c>
      <c r="D452" s="161">
        <v>57219041.93</v>
      </c>
      <c r="E452" s="161">
        <v>91201251.930000007</v>
      </c>
      <c r="F452" s="161">
        <v>108308106.56</v>
      </c>
      <c r="G452" s="161">
        <v>120030155.7</v>
      </c>
      <c r="H452" s="161">
        <v>126322014.61</v>
      </c>
      <c r="I452" s="161">
        <v>129175351.00999999</v>
      </c>
      <c r="J452" s="161">
        <v>130894332.23</v>
      </c>
      <c r="K452" s="161">
        <v>131445934.19</v>
      </c>
      <c r="L452" s="161">
        <v>131689494.62</v>
      </c>
      <c r="M452" s="161">
        <v>132334669.5</v>
      </c>
      <c r="N452" s="161">
        <v>132461186.90000001</v>
      </c>
      <c r="O452" s="161">
        <v>132937197.47000001</v>
      </c>
      <c r="P452" s="149"/>
      <c r="Q452" s="149"/>
      <c r="R452" s="149"/>
      <c r="S452" s="149"/>
      <c r="T452" s="149"/>
      <c r="U452" s="149"/>
      <c r="V452" s="149"/>
      <c r="W452" s="149"/>
      <c r="X452" s="161">
        <v>132937197.47000001</v>
      </c>
      <c r="Y452" s="145"/>
      <c r="Z452" s="145"/>
      <c r="AX452" s="141" t="s">
        <v>244</v>
      </c>
      <c r="AY452" s="141">
        <v>2000</v>
      </c>
      <c r="AZ452" s="141">
        <v>12036.56</v>
      </c>
      <c r="BA452" s="141">
        <v>122092.89</v>
      </c>
      <c r="BB452" s="141">
        <v>169173.48</v>
      </c>
      <c r="BC452" s="141">
        <v>272414.93</v>
      </c>
      <c r="BD452" s="141">
        <v>2790682.71</v>
      </c>
      <c r="BE452" s="141">
        <v>3900647.34</v>
      </c>
      <c r="BF452" s="141">
        <v>4185801.48</v>
      </c>
      <c r="BG452" s="141">
        <v>9305427.6999999993</v>
      </c>
      <c r="BH452" s="141">
        <v>21074923.329999998</v>
      </c>
      <c r="BI452" s="141">
        <v>24451841.600000001</v>
      </c>
      <c r="BJ452" s="141">
        <v>23050965.789999999</v>
      </c>
      <c r="BK452" s="141">
        <v>23050974.489999998</v>
      </c>
      <c r="BL452" s="141">
        <v>23050974.489999998</v>
      </c>
      <c r="BU452" s="141">
        <v>23050974.489999998</v>
      </c>
    </row>
    <row r="453" spans="1:73" ht="14.4" x14ac:dyDescent="0.3">
      <c r="A453" s="160" t="s">
        <v>250</v>
      </c>
      <c r="B453" s="161">
        <v>2004</v>
      </c>
      <c r="C453" s="161">
        <v>6860159.0099999998</v>
      </c>
      <c r="D453" s="161">
        <v>42529262.780000001</v>
      </c>
      <c r="E453" s="161">
        <v>71411449.140000001</v>
      </c>
      <c r="F453" s="161">
        <v>88117051.039999992</v>
      </c>
      <c r="G453" s="161">
        <v>99838967.060000002</v>
      </c>
      <c r="H453" s="161">
        <v>99747832.840000004</v>
      </c>
      <c r="I453" s="161">
        <v>101304560.91999999</v>
      </c>
      <c r="J453" s="161">
        <v>102640702.64</v>
      </c>
      <c r="K453" s="161">
        <v>103459863.86</v>
      </c>
      <c r="L453" s="161">
        <v>104637796.69</v>
      </c>
      <c r="M453" s="161">
        <v>104862353.41</v>
      </c>
      <c r="N453" s="161">
        <v>104864486.37</v>
      </c>
      <c r="O453" s="149"/>
      <c r="P453" s="149"/>
      <c r="Q453" s="149"/>
      <c r="R453" s="149"/>
      <c r="S453" s="149"/>
      <c r="T453" s="149"/>
      <c r="U453" s="149"/>
      <c r="V453" s="149"/>
      <c r="W453" s="149"/>
      <c r="X453" s="161">
        <v>104864486.37</v>
      </c>
      <c r="Y453" s="145"/>
      <c r="Z453" s="145"/>
      <c r="AX453" s="141" t="s">
        <v>244</v>
      </c>
      <c r="AY453" s="141">
        <v>2001</v>
      </c>
      <c r="AZ453" s="141">
        <v>38898.99</v>
      </c>
      <c r="BA453" s="141">
        <v>453134.39</v>
      </c>
      <c r="BB453" s="141">
        <v>2083229.2</v>
      </c>
      <c r="BC453" s="141">
        <v>2079879.15</v>
      </c>
      <c r="BD453" s="141">
        <v>2088799.63</v>
      </c>
      <c r="BE453" s="141">
        <v>2054992.27</v>
      </c>
      <c r="BF453" s="141">
        <v>4869501.53</v>
      </c>
      <c r="BG453" s="141">
        <v>5640504.9199999999</v>
      </c>
      <c r="BH453" s="141">
        <v>5758331.8399999999</v>
      </c>
      <c r="BI453" s="141">
        <v>2841099.35</v>
      </c>
      <c r="BJ453" s="141">
        <v>2841099.35</v>
      </c>
      <c r="BK453" s="141">
        <v>2841183.59</v>
      </c>
      <c r="BU453" s="141">
        <v>2841183.59</v>
      </c>
    </row>
    <row r="454" spans="1:73" ht="14.4" x14ac:dyDescent="0.3">
      <c r="A454" s="160" t="s">
        <v>250</v>
      </c>
      <c r="B454" s="161">
        <v>2005</v>
      </c>
      <c r="C454" s="161">
        <v>6235936.2699999996</v>
      </c>
      <c r="D454" s="161">
        <v>34667906.459999993</v>
      </c>
      <c r="E454" s="161">
        <v>56836042.549999997</v>
      </c>
      <c r="F454" s="161">
        <v>78443051.340000004</v>
      </c>
      <c r="G454" s="161">
        <v>86716849.550000012</v>
      </c>
      <c r="H454" s="161">
        <v>94538525.439999998</v>
      </c>
      <c r="I454" s="161">
        <v>98107571.400000006</v>
      </c>
      <c r="J454" s="161">
        <v>99003554.939999998</v>
      </c>
      <c r="K454" s="161">
        <v>99470717.060000002</v>
      </c>
      <c r="L454" s="161">
        <v>99837260.920000002</v>
      </c>
      <c r="M454" s="161">
        <v>100107146.42</v>
      </c>
      <c r="N454" s="149"/>
      <c r="O454" s="149"/>
      <c r="P454" s="149"/>
      <c r="Q454" s="149"/>
      <c r="R454" s="149"/>
      <c r="S454" s="149"/>
      <c r="T454" s="149"/>
      <c r="U454" s="149"/>
      <c r="V454" s="149"/>
      <c r="W454" s="149"/>
      <c r="X454" s="161">
        <v>100107146.42</v>
      </c>
      <c r="Y454" s="145"/>
      <c r="Z454" s="145"/>
      <c r="AX454" s="141" t="s">
        <v>244</v>
      </c>
      <c r="AY454" s="141">
        <v>2002</v>
      </c>
      <c r="AZ454" s="141">
        <v>45899.92</v>
      </c>
      <c r="BA454" s="141">
        <v>522307.16</v>
      </c>
      <c r="BB454" s="141">
        <v>1132969.1000000001</v>
      </c>
      <c r="BC454" s="141">
        <v>2799495.4</v>
      </c>
      <c r="BD454" s="141">
        <v>3252476.17</v>
      </c>
      <c r="BE454" s="141">
        <v>3157273.67</v>
      </c>
      <c r="BF454" s="141">
        <v>3258741.01</v>
      </c>
      <c r="BG454" s="141">
        <v>3258741.01</v>
      </c>
      <c r="BH454" s="141">
        <v>3258741.01</v>
      </c>
      <c r="BI454" s="141">
        <v>3258741.01</v>
      </c>
      <c r="BJ454" s="141">
        <v>3258741.01</v>
      </c>
      <c r="BU454" s="141">
        <v>3258741.01</v>
      </c>
    </row>
    <row r="455" spans="1:73" ht="14.4" x14ac:dyDescent="0.3">
      <c r="A455" s="160" t="s">
        <v>250</v>
      </c>
      <c r="B455" s="161">
        <v>2006</v>
      </c>
      <c r="C455" s="161">
        <v>7571720.46</v>
      </c>
      <c r="D455" s="161">
        <v>35294353.060000002</v>
      </c>
      <c r="E455" s="161">
        <v>68580595.920000002</v>
      </c>
      <c r="F455" s="161">
        <v>82613608.599999994</v>
      </c>
      <c r="G455" s="161">
        <v>90710346.900000006</v>
      </c>
      <c r="H455" s="161">
        <v>96869186.909999996</v>
      </c>
      <c r="I455" s="161">
        <v>100103490.93000001</v>
      </c>
      <c r="J455" s="161">
        <v>102276435.14</v>
      </c>
      <c r="K455" s="161">
        <v>103133521.99000001</v>
      </c>
      <c r="L455" s="161">
        <v>103550843.97</v>
      </c>
      <c r="M455" s="149"/>
      <c r="N455" s="149"/>
      <c r="O455" s="149"/>
      <c r="P455" s="149"/>
      <c r="Q455" s="149"/>
      <c r="R455" s="149"/>
      <c r="S455" s="149"/>
      <c r="T455" s="149"/>
      <c r="U455" s="149"/>
      <c r="V455" s="149"/>
      <c r="W455" s="149"/>
      <c r="X455" s="161">
        <v>103550843.97</v>
      </c>
      <c r="Y455" s="145"/>
      <c r="Z455" s="145"/>
      <c r="AX455" s="141" t="s">
        <v>244</v>
      </c>
      <c r="AY455" s="141">
        <v>2003</v>
      </c>
      <c r="AZ455" s="141">
        <v>153361.20000000001</v>
      </c>
      <c r="BA455" s="141">
        <v>724791.65</v>
      </c>
      <c r="BB455" s="141">
        <v>893944.53</v>
      </c>
      <c r="BC455" s="141">
        <v>1163909.02</v>
      </c>
      <c r="BD455" s="141">
        <v>14602123.91</v>
      </c>
      <c r="BE455" s="141">
        <v>18973350.52</v>
      </c>
      <c r="BF455" s="141">
        <v>19837759.289999999</v>
      </c>
      <c r="BG455" s="141">
        <v>19478562.84</v>
      </c>
      <c r="BH455" s="141">
        <v>21142058.219999999</v>
      </c>
      <c r="BI455" s="141">
        <v>26830149.699999999</v>
      </c>
      <c r="BU455" s="141">
        <v>26830149.699999999</v>
      </c>
    </row>
    <row r="456" spans="1:73" ht="14.4" x14ac:dyDescent="0.3">
      <c r="A456" s="160" t="s">
        <v>250</v>
      </c>
      <c r="B456" s="161">
        <v>2007</v>
      </c>
      <c r="C456" s="161">
        <v>7607705.0099999998</v>
      </c>
      <c r="D456" s="161">
        <v>37357905.469999999</v>
      </c>
      <c r="E456" s="161">
        <v>56338580.030000001</v>
      </c>
      <c r="F456" s="161">
        <v>69855874.900000006</v>
      </c>
      <c r="G456" s="161">
        <v>85036818.939999998</v>
      </c>
      <c r="H456" s="161">
        <v>91184484.439999998</v>
      </c>
      <c r="I456" s="161">
        <v>93838346.799999997</v>
      </c>
      <c r="J456" s="161">
        <v>94723880.319999993</v>
      </c>
      <c r="K456" s="161">
        <v>95221857.450000003</v>
      </c>
      <c r="L456" s="149"/>
      <c r="M456" s="149"/>
      <c r="N456" s="149"/>
      <c r="O456" s="149"/>
      <c r="P456" s="149"/>
      <c r="Q456" s="149"/>
      <c r="R456" s="149"/>
      <c r="S456" s="149"/>
      <c r="T456" s="149"/>
      <c r="U456" s="149"/>
      <c r="V456" s="149"/>
      <c r="W456" s="149"/>
      <c r="X456" s="161">
        <v>95221857.450000003</v>
      </c>
      <c r="Y456" s="145"/>
      <c r="Z456" s="145"/>
      <c r="AX456" s="141" t="s">
        <v>244</v>
      </c>
      <c r="AY456" s="141">
        <v>2004</v>
      </c>
      <c r="AZ456" s="141">
        <v>1434889.45</v>
      </c>
      <c r="BA456" s="141">
        <v>2897677.72</v>
      </c>
      <c r="BB456" s="141">
        <v>3685854.94</v>
      </c>
      <c r="BC456" s="141">
        <v>7460613.8300000001</v>
      </c>
      <c r="BD456" s="141">
        <v>9102065.9499999993</v>
      </c>
      <c r="BE456" s="141">
        <v>12344964.16</v>
      </c>
      <c r="BF456" s="141">
        <v>12347987.16</v>
      </c>
      <c r="BG456" s="141">
        <v>12467277.6</v>
      </c>
      <c r="BH456" s="141">
        <v>12490758.869999999</v>
      </c>
      <c r="BU456" s="141">
        <v>12490758.869999999</v>
      </c>
    </row>
    <row r="457" spans="1:73" ht="14.4" x14ac:dyDescent="0.3">
      <c r="A457" s="160" t="s">
        <v>250</v>
      </c>
      <c r="B457" s="161">
        <v>2008</v>
      </c>
      <c r="C457" s="161">
        <v>10220333.439999999</v>
      </c>
      <c r="D457" s="161">
        <v>37991750.549999997</v>
      </c>
      <c r="E457" s="161">
        <v>61142874.420000002</v>
      </c>
      <c r="F457" s="161">
        <v>76683179.870000005</v>
      </c>
      <c r="G457" s="161">
        <v>87616968.519999996</v>
      </c>
      <c r="H457" s="161">
        <v>91739854.370000005</v>
      </c>
      <c r="I457" s="161">
        <v>93743850.24000001</v>
      </c>
      <c r="J457" s="161">
        <v>94302268.859999985</v>
      </c>
      <c r="K457" s="149"/>
      <c r="L457" s="149"/>
      <c r="M457" s="149"/>
      <c r="N457" s="149"/>
      <c r="O457" s="149"/>
      <c r="P457" s="149"/>
      <c r="Q457" s="149"/>
      <c r="R457" s="149"/>
      <c r="S457" s="149"/>
      <c r="T457" s="149"/>
      <c r="U457" s="149"/>
      <c r="V457" s="149"/>
      <c r="W457" s="149"/>
      <c r="X457" s="161">
        <v>94302268.859999985</v>
      </c>
      <c r="Y457" s="145"/>
      <c r="Z457" s="145"/>
      <c r="AX457" s="141" t="s">
        <v>244</v>
      </c>
      <c r="AY457" s="141">
        <v>2005</v>
      </c>
      <c r="AZ457" s="141">
        <v>135340.56</v>
      </c>
      <c r="BA457" s="141">
        <v>1984831.91</v>
      </c>
      <c r="BB457" s="141">
        <v>3902395.55</v>
      </c>
      <c r="BC457" s="141">
        <v>6205220.9800000004</v>
      </c>
      <c r="BD457" s="141">
        <v>20222181.300000001</v>
      </c>
      <c r="BE457" s="141">
        <v>23700946.02</v>
      </c>
      <c r="BF457" s="141">
        <v>24041600.440000001</v>
      </c>
      <c r="BG457" s="141">
        <v>23985429.09</v>
      </c>
      <c r="BU457" s="141">
        <v>23985429.09</v>
      </c>
    </row>
    <row r="458" spans="1:73" ht="14.4" x14ac:dyDescent="0.3">
      <c r="A458" s="160" t="s">
        <v>250</v>
      </c>
      <c r="B458" s="161">
        <v>2009</v>
      </c>
      <c r="C458" s="161">
        <v>9291723.370000001</v>
      </c>
      <c r="D458" s="161">
        <v>40059955.32</v>
      </c>
      <c r="E458" s="161">
        <v>70198757.960000008</v>
      </c>
      <c r="F458" s="161">
        <v>109247550.86000001</v>
      </c>
      <c r="G458" s="161">
        <v>122852658.52</v>
      </c>
      <c r="H458" s="161">
        <v>142961703.25999999</v>
      </c>
      <c r="I458" s="161">
        <v>152067337.72999999</v>
      </c>
      <c r="J458" s="149"/>
      <c r="K458" s="149"/>
      <c r="L458" s="149"/>
      <c r="M458" s="149"/>
      <c r="N458" s="149"/>
      <c r="O458" s="149"/>
      <c r="P458" s="149"/>
      <c r="Q458" s="149"/>
      <c r="R458" s="149"/>
      <c r="S458" s="149"/>
      <c r="T458" s="149"/>
      <c r="U458" s="149"/>
      <c r="V458" s="149"/>
      <c r="W458" s="149"/>
      <c r="X458" s="161">
        <v>152067337.72999999</v>
      </c>
      <c r="Y458" s="145"/>
      <c r="Z458" s="145"/>
      <c r="AX458" s="141" t="s">
        <v>244</v>
      </c>
      <c r="AY458" s="141">
        <v>2006</v>
      </c>
      <c r="AZ458" s="141">
        <v>319250.78999999998</v>
      </c>
      <c r="BA458" s="141">
        <v>1128767.1499999999</v>
      </c>
      <c r="BB458" s="141">
        <v>5287273.57</v>
      </c>
      <c r="BC458" s="141">
        <v>11216767.390000001</v>
      </c>
      <c r="BD458" s="141">
        <v>17240920.719999999</v>
      </c>
      <c r="BE458" s="141">
        <v>17628533.059999999</v>
      </c>
      <c r="BF458" s="141">
        <v>17634176.850000001</v>
      </c>
      <c r="BU458" s="141">
        <v>17634176.850000001</v>
      </c>
    </row>
    <row r="459" spans="1:73" ht="14.4" x14ac:dyDescent="0.3">
      <c r="A459" s="160" t="s">
        <v>250</v>
      </c>
      <c r="B459" s="161">
        <v>2010</v>
      </c>
      <c r="C459" s="161">
        <v>6956245.2599999998</v>
      </c>
      <c r="D459" s="161">
        <v>39897691.589999996</v>
      </c>
      <c r="E459" s="161">
        <v>69665026.060000002</v>
      </c>
      <c r="F459" s="161">
        <v>92347912.629999995</v>
      </c>
      <c r="G459" s="161">
        <v>102662939.5</v>
      </c>
      <c r="H459" s="161">
        <v>109327569.52</v>
      </c>
      <c r="I459" s="149"/>
      <c r="J459" s="149"/>
      <c r="K459" s="149"/>
      <c r="L459" s="149"/>
      <c r="M459" s="149"/>
      <c r="N459" s="149"/>
      <c r="O459" s="149"/>
      <c r="P459" s="149"/>
      <c r="Q459" s="149"/>
      <c r="R459" s="149"/>
      <c r="S459" s="149"/>
      <c r="T459" s="149"/>
      <c r="U459" s="149"/>
      <c r="V459" s="149"/>
      <c r="W459" s="149"/>
      <c r="X459" s="161">
        <v>109327569.52</v>
      </c>
      <c r="Y459" s="145"/>
      <c r="Z459" s="145"/>
      <c r="AX459" s="141" t="s">
        <v>244</v>
      </c>
      <c r="AY459" s="141">
        <v>2007</v>
      </c>
      <c r="AZ459" s="141">
        <v>94532.24</v>
      </c>
      <c r="BA459" s="141">
        <v>2930903.14</v>
      </c>
      <c r="BB459" s="141">
        <v>7769279.1200000001</v>
      </c>
      <c r="BC459" s="141">
        <v>24772624.5</v>
      </c>
      <c r="BD459" s="141">
        <v>33801781.43</v>
      </c>
      <c r="BE459" s="141">
        <v>61221215.119999997</v>
      </c>
      <c r="BU459" s="141">
        <v>61221215.119999997</v>
      </c>
    </row>
    <row r="460" spans="1:73" ht="14.4" x14ac:dyDescent="0.3">
      <c r="A460" s="160" t="s">
        <v>250</v>
      </c>
      <c r="B460" s="161">
        <v>2011</v>
      </c>
      <c r="C460" s="161">
        <v>10569567.199999999</v>
      </c>
      <c r="D460" s="161">
        <v>45203583.210000001</v>
      </c>
      <c r="E460" s="161">
        <v>85572221.719999999</v>
      </c>
      <c r="F460" s="161">
        <v>106483098.61</v>
      </c>
      <c r="G460" s="161">
        <v>117826683.34</v>
      </c>
      <c r="H460" s="149"/>
      <c r="I460" s="149"/>
      <c r="J460" s="149"/>
      <c r="K460" s="149"/>
      <c r="L460" s="149"/>
      <c r="M460" s="149"/>
      <c r="N460" s="149"/>
      <c r="O460" s="149"/>
      <c r="P460" s="149"/>
      <c r="Q460" s="149"/>
      <c r="R460" s="149"/>
      <c r="S460" s="149"/>
      <c r="T460" s="149"/>
      <c r="U460" s="149"/>
      <c r="V460" s="149"/>
      <c r="W460" s="149"/>
      <c r="X460" s="161">
        <v>117826683.34</v>
      </c>
      <c r="Y460" s="145"/>
      <c r="Z460" s="145"/>
      <c r="AX460" s="141" t="s">
        <v>244</v>
      </c>
      <c r="AY460" s="141">
        <v>2008</v>
      </c>
      <c r="AZ460" s="141">
        <v>168283.65</v>
      </c>
      <c r="BA460" s="141">
        <v>21610192.75</v>
      </c>
      <c r="BB460" s="141">
        <v>65292362.979999997</v>
      </c>
      <c r="BC460" s="141">
        <v>74139409.560000002</v>
      </c>
      <c r="BD460" s="141">
        <v>83357112.099999994</v>
      </c>
      <c r="BU460" s="141">
        <v>83357112.099999994</v>
      </c>
    </row>
    <row r="461" spans="1:73" ht="14.4" x14ac:dyDescent="0.3">
      <c r="A461" s="160" t="s">
        <v>250</v>
      </c>
      <c r="B461" s="161">
        <v>2012</v>
      </c>
      <c r="C461" s="161">
        <v>9663376.9800000004</v>
      </c>
      <c r="D461" s="161">
        <v>41586823.700000003</v>
      </c>
      <c r="E461" s="161">
        <v>74518333.129999995</v>
      </c>
      <c r="F461" s="161">
        <v>95599456.519999996</v>
      </c>
      <c r="G461" s="149"/>
      <c r="H461" s="149"/>
      <c r="I461" s="149"/>
      <c r="J461" s="149"/>
      <c r="K461" s="149"/>
      <c r="L461" s="149"/>
      <c r="M461" s="149"/>
      <c r="N461" s="149"/>
      <c r="O461" s="149"/>
      <c r="P461" s="149"/>
      <c r="Q461" s="149"/>
      <c r="R461" s="149"/>
      <c r="S461" s="149"/>
      <c r="T461" s="149"/>
      <c r="U461" s="149"/>
      <c r="V461" s="149"/>
      <c r="W461" s="149"/>
      <c r="X461" s="161">
        <v>95599456.519999996</v>
      </c>
      <c r="Y461" s="145"/>
      <c r="Z461" s="145"/>
      <c r="AX461" s="141" t="s">
        <v>244</v>
      </c>
      <c r="AY461" s="141">
        <v>2009</v>
      </c>
      <c r="AZ461" s="141">
        <v>136694.51999999999</v>
      </c>
      <c r="BA461" s="141">
        <v>11858027.810000001</v>
      </c>
      <c r="BB461" s="141">
        <v>36720803.409999996</v>
      </c>
      <c r="BC461" s="141">
        <v>63382539.850000001</v>
      </c>
      <c r="BU461" s="141">
        <v>63382539.850000001</v>
      </c>
    </row>
    <row r="462" spans="1:73" ht="14.4" x14ac:dyDescent="0.3">
      <c r="A462" s="160" t="s">
        <v>250</v>
      </c>
      <c r="B462" s="161">
        <v>2013</v>
      </c>
      <c r="C462" s="161">
        <v>9919881.7799999993</v>
      </c>
      <c r="D462" s="161">
        <v>41897807.539999999</v>
      </c>
      <c r="E462" s="161">
        <v>64617792.630000003</v>
      </c>
      <c r="F462" s="149"/>
      <c r="G462" s="149"/>
      <c r="H462" s="149"/>
      <c r="I462" s="149"/>
      <c r="J462" s="149"/>
      <c r="K462" s="149"/>
      <c r="L462" s="149"/>
      <c r="M462" s="149"/>
      <c r="N462" s="149"/>
      <c r="O462" s="149"/>
      <c r="P462" s="149"/>
      <c r="Q462" s="149"/>
      <c r="R462" s="149"/>
      <c r="S462" s="149"/>
      <c r="T462" s="149"/>
      <c r="U462" s="149"/>
      <c r="V462" s="149"/>
      <c r="W462" s="149"/>
      <c r="X462" s="161">
        <v>64617792.630000003</v>
      </c>
      <c r="Y462" s="145"/>
      <c r="Z462" s="145"/>
      <c r="AX462" s="141" t="s">
        <v>244</v>
      </c>
      <c r="AY462" s="141">
        <v>2010</v>
      </c>
      <c r="AZ462" s="141">
        <v>403653.82</v>
      </c>
      <c r="BA462" s="141">
        <v>6183761.29</v>
      </c>
      <c r="BB462" s="141">
        <v>13263030.310000001</v>
      </c>
      <c r="BU462" s="141">
        <v>13263030.310000001</v>
      </c>
    </row>
    <row r="463" spans="1:73" ht="14.4" x14ac:dyDescent="0.3">
      <c r="A463" s="160" t="s">
        <v>250</v>
      </c>
      <c r="B463" s="161">
        <v>2014</v>
      </c>
      <c r="C463" s="161">
        <v>8854658.2200000007</v>
      </c>
      <c r="D463" s="161">
        <v>38969910.850000001</v>
      </c>
      <c r="E463" s="149"/>
      <c r="F463" s="149"/>
      <c r="G463" s="149"/>
      <c r="H463" s="149"/>
      <c r="I463" s="149"/>
      <c r="J463" s="149"/>
      <c r="K463" s="149"/>
      <c r="L463" s="149"/>
      <c r="M463" s="149"/>
      <c r="N463" s="149"/>
      <c r="O463" s="149"/>
      <c r="P463" s="149"/>
      <c r="Q463" s="149"/>
      <c r="R463" s="149"/>
      <c r="S463" s="149"/>
      <c r="T463" s="149"/>
      <c r="U463" s="149"/>
      <c r="V463" s="149"/>
      <c r="W463" s="149"/>
      <c r="X463" s="161">
        <v>38969910.850000001</v>
      </c>
      <c r="Y463" s="145"/>
      <c r="Z463" s="145"/>
      <c r="AX463" s="141" t="s">
        <v>244</v>
      </c>
      <c r="AY463" s="141">
        <v>2011</v>
      </c>
      <c r="AZ463" s="141">
        <v>432447.7</v>
      </c>
      <c r="BA463" s="141">
        <v>10921335.390000001</v>
      </c>
      <c r="BU463" s="141">
        <v>10921335.390000001</v>
      </c>
    </row>
    <row r="464" spans="1:73" ht="14.4" x14ac:dyDescent="0.3">
      <c r="A464" s="160" t="s">
        <v>250</v>
      </c>
      <c r="B464" s="161">
        <v>2015</v>
      </c>
      <c r="C464" s="161">
        <v>11314734.26</v>
      </c>
      <c r="D464" s="149"/>
      <c r="E464" s="149"/>
      <c r="F464" s="149"/>
      <c r="G464" s="149"/>
      <c r="H464" s="149"/>
      <c r="I464" s="149"/>
      <c r="J464" s="149"/>
      <c r="K464" s="149"/>
      <c r="L464" s="149"/>
      <c r="M464" s="149"/>
      <c r="N464" s="149"/>
      <c r="O464" s="149"/>
      <c r="P464" s="149"/>
      <c r="Q464" s="149"/>
      <c r="R464" s="149"/>
      <c r="S464" s="149"/>
      <c r="T464" s="149"/>
      <c r="U464" s="149"/>
      <c r="V464" s="149"/>
      <c r="W464" s="149"/>
      <c r="X464" s="161">
        <v>11314734.26</v>
      </c>
      <c r="Y464" s="145"/>
      <c r="Z464" s="145"/>
      <c r="AX464" s="141" t="s">
        <v>244</v>
      </c>
      <c r="AY464" s="141">
        <v>2012</v>
      </c>
      <c r="AZ464" s="141">
        <v>501856.81</v>
      </c>
      <c r="BU464" s="141">
        <v>501856.81</v>
      </c>
    </row>
    <row r="465" spans="1:73" ht="14.4" x14ac:dyDescent="0.3">
      <c r="A465" s="160" t="s">
        <v>251</v>
      </c>
      <c r="B465" s="161">
        <v>1995</v>
      </c>
      <c r="C465" s="161">
        <v>18517.080000000002</v>
      </c>
      <c r="D465" s="161">
        <v>1291501.17</v>
      </c>
      <c r="E465" s="161">
        <v>1655691.8599999999</v>
      </c>
      <c r="F465" s="161">
        <v>2068763.47</v>
      </c>
      <c r="G465" s="161">
        <v>2092185.31</v>
      </c>
      <c r="H465" s="161">
        <v>2097681.71</v>
      </c>
      <c r="I465" s="161">
        <v>2112781.09</v>
      </c>
      <c r="J465" s="161">
        <v>2127977.7800000003</v>
      </c>
      <c r="K465" s="161">
        <v>2133326.65</v>
      </c>
      <c r="L465" s="161">
        <v>2133326.65</v>
      </c>
      <c r="M465" s="161">
        <v>3180696.9</v>
      </c>
      <c r="N465" s="161">
        <v>3171049.6199999996</v>
      </c>
      <c r="O465" s="161">
        <v>3171049.6199999996</v>
      </c>
      <c r="P465" s="161">
        <v>3171049.6199999996</v>
      </c>
      <c r="Q465" s="161">
        <v>3171049.6199999996</v>
      </c>
      <c r="R465" s="161">
        <v>3171049.6199999996</v>
      </c>
      <c r="S465" s="161">
        <v>3171049.6199999996</v>
      </c>
      <c r="T465" s="161">
        <v>3171049.6199999996</v>
      </c>
      <c r="U465" s="161">
        <v>3171049.6199999996</v>
      </c>
      <c r="V465" s="161">
        <v>3171049.6199999996</v>
      </c>
      <c r="W465" s="161">
        <v>3171049.6199999996</v>
      </c>
      <c r="X465" s="161">
        <v>3171049.6199999996</v>
      </c>
      <c r="Y465" s="145"/>
      <c r="Z465" s="145"/>
      <c r="AX465" s="141" t="s">
        <v>245</v>
      </c>
      <c r="AY465" s="141">
        <v>1992</v>
      </c>
      <c r="AZ465" s="141">
        <v>986363297.71000004</v>
      </c>
      <c r="BA465" s="141">
        <v>1082184079.95</v>
      </c>
      <c r="BB465" s="141">
        <v>1165456398.2</v>
      </c>
      <c r="BC465" s="141">
        <v>1232185483.6700001</v>
      </c>
      <c r="BD465" s="141">
        <v>1262998289.05</v>
      </c>
      <c r="BE465" s="141">
        <v>1283451807.78</v>
      </c>
      <c r="BF465" s="141">
        <v>1289608194.73</v>
      </c>
      <c r="BG465" s="141">
        <v>1299216966.78</v>
      </c>
      <c r="BH465" s="141">
        <v>1302160645.6400001</v>
      </c>
      <c r="BI465" s="141">
        <v>1308128636.6800001</v>
      </c>
      <c r="BJ465" s="141">
        <v>1310816642.45</v>
      </c>
      <c r="BK465" s="141">
        <v>1310929049.47</v>
      </c>
      <c r="BL465" s="141">
        <v>1310573249.1700001</v>
      </c>
      <c r="BM465" s="141">
        <v>1310564862.8099999</v>
      </c>
      <c r="BN465" s="141">
        <v>1310809894.6900001</v>
      </c>
      <c r="BO465" s="141">
        <v>1310946970.21</v>
      </c>
      <c r="BP465" s="141">
        <v>1310947181.6199999</v>
      </c>
      <c r="BQ465" s="141">
        <v>1311059782.3099999</v>
      </c>
      <c r="BR465" s="141">
        <v>1311062062.5</v>
      </c>
      <c r="BS465" s="141">
        <v>1311062605.5</v>
      </c>
      <c r="BT465" s="141">
        <v>1311097079.5</v>
      </c>
      <c r="BU465" s="141">
        <v>1311097079.5</v>
      </c>
    </row>
    <row r="466" spans="1:73" ht="14.4" x14ac:dyDescent="0.3">
      <c r="A466" s="160" t="s">
        <v>251</v>
      </c>
      <c r="B466" s="161">
        <v>1996</v>
      </c>
      <c r="C466" s="161">
        <v>170140.2</v>
      </c>
      <c r="D466" s="161">
        <v>655558.21</v>
      </c>
      <c r="E466" s="161">
        <v>1895316.84</v>
      </c>
      <c r="F466" s="161">
        <v>3652852.04</v>
      </c>
      <c r="G466" s="161">
        <v>4063014.71</v>
      </c>
      <c r="H466" s="161">
        <v>4372638.01</v>
      </c>
      <c r="I466" s="161">
        <v>5090406.6900000004</v>
      </c>
      <c r="J466" s="161">
        <v>5090903.25</v>
      </c>
      <c r="K466" s="161">
        <v>7359443.5</v>
      </c>
      <c r="L466" s="161">
        <v>7388084.1099999994</v>
      </c>
      <c r="M466" s="161">
        <v>7388084.1099999994</v>
      </c>
      <c r="N466" s="161">
        <v>7388084.1099999994</v>
      </c>
      <c r="O466" s="161">
        <v>7388084.1099999994</v>
      </c>
      <c r="P466" s="161">
        <v>7388084.1099999994</v>
      </c>
      <c r="Q466" s="161">
        <v>7388084.1099999994</v>
      </c>
      <c r="R466" s="161">
        <v>7388084.1099999994</v>
      </c>
      <c r="S466" s="161">
        <v>7388084.1099999994</v>
      </c>
      <c r="T466" s="161">
        <v>7388084.1099999994</v>
      </c>
      <c r="U466" s="161">
        <v>7388084.1099999994</v>
      </c>
      <c r="V466" s="161">
        <v>7388084.1099999994</v>
      </c>
      <c r="W466" s="149"/>
      <c r="X466" s="161">
        <v>7388084.1099999994</v>
      </c>
      <c r="Y466" s="145"/>
      <c r="Z466" s="145"/>
      <c r="AX466" s="141" t="s">
        <v>245</v>
      </c>
      <c r="AY466" s="141">
        <v>1993</v>
      </c>
      <c r="AZ466" s="141">
        <v>2227143.98</v>
      </c>
      <c r="BA466" s="141">
        <v>18188097.800000001</v>
      </c>
      <c r="BB466" s="141">
        <v>43347492.049999997</v>
      </c>
      <c r="BC466" s="141">
        <v>54619584.68</v>
      </c>
      <c r="BD466" s="141">
        <v>69024927.950000003</v>
      </c>
      <c r="BE466" s="141">
        <v>78220372.689999998</v>
      </c>
      <c r="BF466" s="141">
        <v>80188119.569999993</v>
      </c>
      <c r="BG466" s="141">
        <v>85212213.760000005</v>
      </c>
      <c r="BH466" s="141">
        <v>87420060.209999993</v>
      </c>
      <c r="BI466" s="141">
        <v>88254935.439999998</v>
      </c>
      <c r="BJ466" s="141">
        <v>88285525</v>
      </c>
      <c r="BK466" s="141">
        <v>88449709.890000001</v>
      </c>
      <c r="BL466" s="141">
        <v>88513672.540000007</v>
      </c>
      <c r="BM466" s="141">
        <v>88653893.730000004</v>
      </c>
      <c r="BN466" s="141">
        <v>88727449.530000001</v>
      </c>
      <c r="BO466" s="141">
        <v>88823214.370000005</v>
      </c>
      <c r="BP466" s="141">
        <v>88856556.890000001</v>
      </c>
      <c r="BQ466" s="141">
        <v>90478387.510000005</v>
      </c>
      <c r="BR466" s="141">
        <v>90027391.950000003</v>
      </c>
      <c r="BS466" s="141">
        <v>90027391.950000003</v>
      </c>
      <c r="BU466" s="141">
        <v>90027391.950000003</v>
      </c>
    </row>
    <row r="467" spans="1:73" ht="14.4" x14ac:dyDescent="0.3">
      <c r="A467" s="160" t="s">
        <v>251</v>
      </c>
      <c r="B467" s="161">
        <v>1997</v>
      </c>
      <c r="C467" s="161">
        <v>17844</v>
      </c>
      <c r="D467" s="161">
        <v>5754122.8399999999</v>
      </c>
      <c r="E467" s="161">
        <v>7382893.4499999993</v>
      </c>
      <c r="F467" s="161">
        <v>8790026.1099999994</v>
      </c>
      <c r="G467" s="161">
        <v>12823418.93</v>
      </c>
      <c r="H467" s="161">
        <v>13173445.620000001</v>
      </c>
      <c r="I467" s="161">
        <v>12877626.670000002</v>
      </c>
      <c r="J467" s="161">
        <v>12960705.33</v>
      </c>
      <c r="K467" s="161">
        <v>12960705.33</v>
      </c>
      <c r="L467" s="161">
        <v>12960705.33</v>
      </c>
      <c r="M467" s="161">
        <v>12960705.33</v>
      </c>
      <c r="N467" s="161">
        <v>12960580.789999999</v>
      </c>
      <c r="O467" s="161">
        <v>12960580.789999999</v>
      </c>
      <c r="P467" s="161">
        <v>12960580.789999999</v>
      </c>
      <c r="Q467" s="161">
        <v>12959025.879999999</v>
      </c>
      <c r="R467" s="161">
        <v>12959025.879999999</v>
      </c>
      <c r="S467" s="161">
        <v>12959025.879999999</v>
      </c>
      <c r="T467" s="161">
        <v>12959025.879999999</v>
      </c>
      <c r="U467" s="161">
        <v>12959025.879999999</v>
      </c>
      <c r="V467" s="149"/>
      <c r="W467" s="149"/>
      <c r="X467" s="161">
        <v>12959025.879999999</v>
      </c>
      <c r="Y467" s="145"/>
      <c r="Z467" s="145"/>
      <c r="AX467" s="141" t="s">
        <v>245</v>
      </c>
      <c r="AY467" s="141">
        <v>1994</v>
      </c>
      <c r="AZ467" s="141">
        <v>3660092.87</v>
      </c>
      <c r="BA467" s="141">
        <v>28335133.449999999</v>
      </c>
      <c r="BB467" s="141">
        <v>47071611.119999997</v>
      </c>
      <c r="BC467" s="141">
        <v>68425980.5</v>
      </c>
      <c r="BD467" s="141">
        <v>87404549.599999994</v>
      </c>
      <c r="BE467" s="141">
        <v>96381657.670000002</v>
      </c>
      <c r="BF467" s="141">
        <v>101612608.42</v>
      </c>
      <c r="BG467" s="141">
        <v>105023146.66</v>
      </c>
      <c r="BH467" s="141">
        <v>107598735.88</v>
      </c>
      <c r="BI467" s="141">
        <v>108625521.45999999</v>
      </c>
      <c r="BJ467" s="141">
        <v>109056902.34</v>
      </c>
      <c r="BK467" s="141">
        <v>113108822.16</v>
      </c>
      <c r="BL467" s="141">
        <v>112783529.02</v>
      </c>
      <c r="BM467" s="141">
        <v>112762681.02</v>
      </c>
      <c r="BN467" s="141">
        <v>112763941.02</v>
      </c>
      <c r="BO467" s="141">
        <v>112763508.08</v>
      </c>
      <c r="BP467" s="141">
        <v>112763508.08</v>
      </c>
      <c r="BQ467" s="141">
        <v>112761400.34999999</v>
      </c>
      <c r="BR467" s="141">
        <v>112761400.34999999</v>
      </c>
      <c r="BU467" s="141">
        <v>112761400.34999999</v>
      </c>
    </row>
    <row r="468" spans="1:73" ht="14.4" x14ac:dyDescent="0.3">
      <c r="A468" s="160" t="s">
        <v>251</v>
      </c>
      <c r="B468" s="161">
        <v>1998</v>
      </c>
      <c r="C468" s="161">
        <v>394948.24</v>
      </c>
      <c r="D468" s="161">
        <v>2150807.2199999997</v>
      </c>
      <c r="E468" s="161">
        <v>5436720.5199999996</v>
      </c>
      <c r="F468" s="161">
        <v>12669073.299999999</v>
      </c>
      <c r="G468" s="161">
        <v>18539106.439999998</v>
      </c>
      <c r="H468" s="161">
        <v>29076512.239999998</v>
      </c>
      <c r="I468" s="161">
        <v>29784481.529999997</v>
      </c>
      <c r="J468" s="161">
        <v>32359936.520000003</v>
      </c>
      <c r="K468" s="161">
        <v>32359936.520000003</v>
      </c>
      <c r="L468" s="161">
        <v>32359936.520000003</v>
      </c>
      <c r="M468" s="161">
        <v>32359936.520000003</v>
      </c>
      <c r="N468" s="161">
        <v>32457488.579999998</v>
      </c>
      <c r="O468" s="161">
        <v>38603293.209999993</v>
      </c>
      <c r="P468" s="161">
        <v>40800658.209999993</v>
      </c>
      <c r="Q468" s="161">
        <v>40800658.209999993</v>
      </c>
      <c r="R468" s="161">
        <v>40800658.209999993</v>
      </c>
      <c r="S468" s="161">
        <v>40800658.209999993</v>
      </c>
      <c r="T468" s="161">
        <v>40800658.209999993</v>
      </c>
      <c r="U468" s="149"/>
      <c r="V468" s="149"/>
      <c r="W468" s="149"/>
      <c r="X468" s="161">
        <v>40800658.209999993</v>
      </c>
      <c r="Y468" s="145"/>
      <c r="Z468" s="145"/>
      <c r="AX468" s="141" t="s">
        <v>245</v>
      </c>
      <c r="AY468" s="141">
        <v>1995</v>
      </c>
      <c r="AZ468" s="141">
        <v>3310131.12</v>
      </c>
      <c r="BA468" s="141">
        <v>25071055.850000001</v>
      </c>
      <c r="BB468" s="141">
        <v>51885626.810000002</v>
      </c>
      <c r="BC468" s="141">
        <v>77547391.260000005</v>
      </c>
      <c r="BD468" s="141">
        <v>97890488.719999999</v>
      </c>
      <c r="BE468" s="141">
        <v>106689157.44</v>
      </c>
      <c r="BF468" s="141">
        <v>110361032.92</v>
      </c>
      <c r="BG468" s="141">
        <v>114560765.78</v>
      </c>
      <c r="BH468" s="141">
        <v>116977948.18000001</v>
      </c>
      <c r="BI468" s="141">
        <v>117913783.95</v>
      </c>
      <c r="BJ468" s="141">
        <v>118137561.8</v>
      </c>
      <c r="BK468" s="141">
        <v>118204249.84999999</v>
      </c>
      <c r="BL468" s="141">
        <v>118510184.62</v>
      </c>
      <c r="BM468" s="141">
        <v>118510707.23999999</v>
      </c>
      <c r="BN468" s="141">
        <v>118513118.7</v>
      </c>
      <c r="BO468" s="141">
        <v>118513118.7</v>
      </c>
      <c r="BP468" s="141">
        <v>118513118.7</v>
      </c>
      <c r="BQ468" s="141">
        <v>118513118.7</v>
      </c>
      <c r="BU468" s="141">
        <v>118513118.7</v>
      </c>
    </row>
    <row r="469" spans="1:73" ht="14.4" x14ac:dyDescent="0.3">
      <c r="A469" s="160" t="s">
        <v>251</v>
      </c>
      <c r="B469" s="161">
        <v>1999</v>
      </c>
      <c r="C469" s="161">
        <v>316518.18</v>
      </c>
      <c r="D469" s="161">
        <v>2560725.4299999997</v>
      </c>
      <c r="E469" s="161">
        <v>8782170.0700000003</v>
      </c>
      <c r="F469" s="161">
        <v>10348041.74</v>
      </c>
      <c r="G469" s="161">
        <v>13136686.079999998</v>
      </c>
      <c r="H469" s="161">
        <v>15137843.199999999</v>
      </c>
      <c r="I469" s="161">
        <v>16263273.59</v>
      </c>
      <c r="J469" s="161">
        <v>17255579.18</v>
      </c>
      <c r="K469" s="161">
        <v>18935883.460000001</v>
      </c>
      <c r="L469" s="161">
        <v>19790034.079999998</v>
      </c>
      <c r="M469" s="161">
        <v>20254893.289999999</v>
      </c>
      <c r="N469" s="161">
        <v>26152013.170000002</v>
      </c>
      <c r="O469" s="161">
        <v>28090582.580000002</v>
      </c>
      <c r="P469" s="161">
        <v>28090582.580000002</v>
      </c>
      <c r="Q469" s="161">
        <v>28090582.580000002</v>
      </c>
      <c r="R469" s="161">
        <v>28090582.580000002</v>
      </c>
      <c r="S469" s="161">
        <v>28090582.580000002</v>
      </c>
      <c r="T469" s="149"/>
      <c r="U469" s="149"/>
      <c r="V469" s="149"/>
      <c r="W469" s="149"/>
      <c r="X469" s="161">
        <v>28090582.580000002</v>
      </c>
      <c r="Y469" s="145"/>
      <c r="Z469" s="145"/>
      <c r="AX469" s="141" t="s">
        <v>245</v>
      </c>
      <c r="AY469" s="141">
        <v>1996</v>
      </c>
      <c r="AZ469" s="141">
        <v>8231563.7199999997</v>
      </c>
      <c r="BA469" s="141">
        <v>39418308.469999999</v>
      </c>
      <c r="BB469" s="141">
        <v>69800650.819999993</v>
      </c>
      <c r="BC469" s="141">
        <v>92134065.510000005</v>
      </c>
      <c r="BD469" s="141">
        <v>111243971.56999999</v>
      </c>
      <c r="BE469" s="141">
        <v>129898913.7</v>
      </c>
      <c r="BF469" s="141">
        <v>136957346.52000001</v>
      </c>
      <c r="BG469" s="141">
        <v>140820531.69</v>
      </c>
      <c r="BH469" s="141">
        <v>142245250.19999999</v>
      </c>
      <c r="BI469" s="141">
        <v>142796156.30000001</v>
      </c>
      <c r="BJ469" s="141">
        <v>142982717.25</v>
      </c>
      <c r="BK469" s="141">
        <v>143010717.72</v>
      </c>
      <c r="BL469" s="141">
        <v>143011999.08000001</v>
      </c>
      <c r="BM469" s="141">
        <v>143011857.41999999</v>
      </c>
      <c r="BN469" s="141">
        <v>143011857.41999999</v>
      </c>
      <c r="BO469" s="141">
        <v>143011607.41999999</v>
      </c>
      <c r="BP469" s="141">
        <v>143009857.41999999</v>
      </c>
      <c r="BU469" s="141">
        <v>143009857.41999999</v>
      </c>
    </row>
    <row r="470" spans="1:73" ht="14.4" x14ac:dyDescent="0.3">
      <c r="A470" s="160" t="s">
        <v>251</v>
      </c>
      <c r="B470" s="161">
        <v>2000</v>
      </c>
      <c r="C470" s="161">
        <v>157615.4</v>
      </c>
      <c r="D470" s="161">
        <v>1911597.83</v>
      </c>
      <c r="E470" s="161">
        <v>6574673.1000000006</v>
      </c>
      <c r="F470" s="161">
        <v>7425139.8099999996</v>
      </c>
      <c r="G470" s="161">
        <v>8097691.3300000001</v>
      </c>
      <c r="H470" s="161">
        <v>8182088.0899999999</v>
      </c>
      <c r="I470" s="161">
        <v>8822608.0600000005</v>
      </c>
      <c r="J470" s="161">
        <v>8926668.4299999997</v>
      </c>
      <c r="K470" s="161">
        <v>10066170.08</v>
      </c>
      <c r="L470" s="161">
        <v>10504302.17</v>
      </c>
      <c r="M470" s="161">
        <v>10604503.690000001</v>
      </c>
      <c r="N470" s="161">
        <v>12242847.75</v>
      </c>
      <c r="O470" s="161">
        <v>12242847.75</v>
      </c>
      <c r="P470" s="161">
        <v>12242847.75</v>
      </c>
      <c r="Q470" s="161">
        <v>12242847.75</v>
      </c>
      <c r="R470" s="161">
        <v>12242847.75</v>
      </c>
      <c r="S470" s="149"/>
      <c r="T470" s="149"/>
      <c r="U470" s="149"/>
      <c r="V470" s="149"/>
      <c r="W470" s="149"/>
      <c r="X470" s="161">
        <v>12242847.75</v>
      </c>
      <c r="Y470" s="145"/>
      <c r="Z470" s="145"/>
      <c r="AX470" s="141" t="s">
        <v>245</v>
      </c>
      <c r="AY470" s="141">
        <v>1997</v>
      </c>
      <c r="AZ470" s="141">
        <v>11660241.77</v>
      </c>
      <c r="BA470" s="141">
        <v>34366306.049999997</v>
      </c>
      <c r="BB470" s="141">
        <v>71746977.620000005</v>
      </c>
      <c r="BC470" s="141">
        <v>98307960.689999998</v>
      </c>
      <c r="BD470" s="141">
        <v>121469386.45</v>
      </c>
      <c r="BE470" s="141">
        <v>133163255.61</v>
      </c>
      <c r="BF470" s="141">
        <v>145596041.19999999</v>
      </c>
      <c r="BG470" s="141">
        <v>152010562.22</v>
      </c>
      <c r="BH470" s="141">
        <v>153969147.03999999</v>
      </c>
      <c r="BI470" s="141">
        <v>154246049.38</v>
      </c>
      <c r="BJ470" s="141">
        <v>154404821.5</v>
      </c>
      <c r="BK470" s="141">
        <v>154470904.34999999</v>
      </c>
      <c r="BL470" s="141">
        <v>155244805.49000001</v>
      </c>
      <c r="BM470" s="141">
        <v>155285219.44999999</v>
      </c>
      <c r="BN470" s="141">
        <v>159141962.50999999</v>
      </c>
      <c r="BO470" s="141">
        <v>159787600.12</v>
      </c>
      <c r="BU470" s="141">
        <v>159787600.12</v>
      </c>
    </row>
    <row r="471" spans="1:73" ht="14.4" x14ac:dyDescent="0.3">
      <c r="A471" s="160" t="s">
        <v>251</v>
      </c>
      <c r="B471" s="161">
        <v>2001</v>
      </c>
      <c r="C471" s="161">
        <v>90003.459999999992</v>
      </c>
      <c r="D471" s="161">
        <v>3083738.34</v>
      </c>
      <c r="E471" s="161">
        <v>5074016.97</v>
      </c>
      <c r="F471" s="161">
        <v>6997833.04</v>
      </c>
      <c r="G471" s="161">
        <v>7464436.6500000004</v>
      </c>
      <c r="H471" s="161">
        <v>8226416.3200000003</v>
      </c>
      <c r="I471" s="161">
        <v>16759854.689999999</v>
      </c>
      <c r="J471" s="161">
        <v>16801192.66</v>
      </c>
      <c r="K471" s="161">
        <v>16726891.900000002</v>
      </c>
      <c r="L471" s="161">
        <v>16726891.900000002</v>
      </c>
      <c r="M471" s="161">
        <v>16715932.880000001</v>
      </c>
      <c r="N471" s="161">
        <v>16715932.880000001</v>
      </c>
      <c r="O471" s="161">
        <v>16715932.880000001</v>
      </c>
      <c r="P471" s="161">
        <v>16715932.880000001</v>
      </c>
      <c r="Q471" s="161">
        <v>16715932.880000001</v>
      </c>
      <c r="R471" s="149"/>
      <c r="S471" s="149"/>
      <c r="T471" s="149"/>
      <c r="U471" s="149"/>
      <c r="V471" s="149"/>
      <c r="W471" s="149"/>
      <c r="X471" s="161">
        <v>16715932.880000001</v>
      </c>
      <c r="Y471" s="145"/>
      <c r="Z471" s="145"/>
      <c r="AX471" s="141" t="s">
        <v>245</v>
      </c>
      <c r="AY471" s="141">
        <v>1998</v>
      </c>
      <c r="AZ471" s="141">
        <v>26942942.210000001</v>
      </c>
      <c r="BA471" s="141">
        <v>58781171.780000001</v>
      </c>
      <c r="BB471" s="141">
        <v>95281473.239999995</v>
      </c>
      <c r="BC471" s="141">
        <v>132647627.45999999</v>
      </c>
      <c r="BD471" s="141">
        <v>159704883.56999999</v>
      </c>
      <c r="BE471" s="141">
        <v>174572137.94</v>
      </c>
      <c r="BF471" s="141">
        <v>180197541.80000001</v>
      </c>
      <c r="BG471" s="141">
        <v>186117793.88</v>
      </c>
      <c r="BH471" s="141">
        <v>188554684.34</v>
      </c>
      <c r="BI471" s="141">
        <v>189832633.77000001</v>
      </c>
      <c r="BJ471" s="141">
        <v>191238784.25</v>
      </c>
      <c r="BK471" s="141">
        <v>191559331.58000001</v>
      </c>
      <c r="BL471" s="141">
        <v>192605888.16999999</v>
      </c>
      <c r="BM471" s="141">
        <v>193470082.63999999</v>
      </c>
      <c r="BN471" s="141">
        <v>193983577.94999999</v>
      </c>
      <c r="BU471" s="141">
        <v>193983577.94999999</v>
      </c>
    </row>
    <row r="472" spans="1:73" ht="14.4" x14ac:dyDescent="0.3">
      <c r="A472" s="160" t="s">
        <v>251</v>
      </c>
      <c r="B472" s="161">
        <v>2002</v>
      </c>
      <c r="C472" s="161">
        <v>723707.06</v>
      </c>
      <c r="D472" s="161">
        <v>1690932.5599999998</v>
      </c>
      <c r="E472" s="161">
        <v>6207757.8899999997</v>
      </c>
      <c r="F472" s="161">
        <v>10294321.4</v>
      </c>
      <c r="G472" s="161">
        <v>10316780.98</v>
      </c>
      <c r="H472" s="161">
        <v>10326066.310000001</v>
      </c>
      <c r="I472" s="161">
        <v>10377695.550000001</v>
      </c>
      <c r="J472" s="161">
        <v>10377695.550000001</v>
      </c>
      <c r="K472" s="161">
        <v>11763507.66</v>
      </c>
      <c r="L472" s="161">
        <v>16988918.439999998</v>
      </c>
      <c r="M472" s="161">
        <v>16988918.439999998</v>
      </c>
      <c r="N472" s="161">
        <v>16988918.439999998</v>
      </c>
      <c r="O472" s="161">
        <v>16988918.439999998</v>
      </c>
      <c r="P472" s="161">
        <v>16988918.439999998</v>
      </c>
      <c r="Q472" s="149"/>
      <c r="R472" s="149"/>
      <c r="S472" s="149"/>
      <c r="T472" s="149"/>
      <c r="U472" s="149"/>
      <c r="V472" s="149"/>
      <c r="W472" s="149"/>
      <c r="X472" s="161">
        <v>16988918.439999998</v>
      </c>
      <c r="Y472" s="145"/>
      <c r="Z472" s="145"/>
      <c r="AX472" s="141" t="s">
        <v>245</v>
      </c>
      <c r="AY472" s="141">
        <v>1999</v>
      </c>
      <c r="AZ472" s="141">
        <v>13336687.66</v>
      </c>
      <c r="BA472" s="141">
        <v>52008766.880000003</v>
      </c>
      <c r="BB472" s="141">
        <v>91173788.849999994</v>
      </c>
      <c r="BC472" s="141">
        <v>126164675.33</v>
      </c>
      <c r="BD472" s="141">
        <v>154340904.05000001</v>
      </c>
      <c r="BE472" s="141">
        <v>167803862.58000001</v>
      </c>
      <c r="BF472" s="141">
        <v>176410984.12</v>
      </c>
      <c r="BG472" s="141">
        <v>184964284.13999999</v>
      </c>
      <c r="BH472" s="141">
        <v>190923458.22</v>
      </c>
      <c r="BI472" s="141">
        <v>191608664.08000001</v>
      </c>
      <c r="BJ472" s="141">
        <v>192173056.62</v>
      </c>
      <c r="BK472" s="141">
        <v>192410733.56999999</v>
      </c>
      <c r="BL472" s="141">
        <v>192502642.87</v>
      </c>
      <c r="BM472" s="141">
        <v>192797278.09999999</v>
      </c>
      <c r="BU472" s="141">
        <v>192797278.09999999</v>
      </c>
    </row>
    <row r="473" spans="1:73" ht="14.4" x14ac:dyDescent="0.3">
      <c r="A473" s="160" t="s">
        <v>251</v>
      </c>
      <c r="B473" s="161">
        <v>2003</v>
      </c>
      <c r="C473" s="161">
        <v>253604.66000000003</v>
      </c>
      <c r="D473" s="161">
        <v>6738704.7199999997</v>
      </c>
      <c r="E473" s="161">
        <v>9191321.8200000003</v>
      </c>
      <c r="F473" s="161">
        <v>12928521.52</v>
      </c>
      <c r="G473" s="161">
        <v>12970613.17</v>
      </c>
      <c r="H473" s="161">
        <v>15580868.23</v>
      </c>
      <c r="I473" s="161">
        <v>19450922.710000001</v>
      </c>
      <c r="J473" s="161">
        <v>26324542.850000001</v>
      </c>
      <c r="K473" s="161">
        <v>26395374.419999998</v>
      </c>
      <c r="L473" s="161">
        <v>26395374.419999998</v>
      </c>
      <c r="M473" s="161">
        <v>26684106.32</v>
      </c>
      <c r="N473" s="161">
        <v>26740873.370000001</v>
      </c>
      <c r="O473" s="161">
        <v>26764864.790000003</v>
      </c>
      <c r="P473" s="149"/>
      <c r="Q473" s="149"/>
      <c r="R473" s="149"/>
      <c r="S473" s="149"/>
      <c r="T473" s="149"/>
      <c r="U473" s="149"/>
      <c r="V473" s="149"/>
      <c r="W473" s="149"/>
      <c r="X473" s="161">
        <v>26764864.790000003</v>
      </c>
      <c r="Y473" s="145"/>
      <c r="Z473" s="145"/>
      <c r="AX473" s="141" t="s">
        <v>245</v>
      </c>
      <c r="AY473" s="141">
        <v>2000</v>
      </c>
      <c r="AZ473" s="141">
        <v>19669471.920000002</v>
      </c>
      <c r="BA473" s="141">
        <v>75290377.760000005</v>
      </c>
      <c r="BB473" s="141">
        <v>138034542.25999999</v>
      </c>
      <c r="BC473" s="141">
        <v>180599928.5</v>
      </c>
      <c r="BD473" s="141">
        <v>221659228.12</v>
      </c>
      <c r="BE473" s="141">
        <v>236463666.34</v>
      </c>
      <c r="BF473" s="141">
        <v>245704534.69999999</v>
      </c>
      <c r="BG473" s="141">
        <v>249652496.75999999</v>
      </c>
      <c r="BH473" s="141">
        <v>257050430.24000001</v>
      </c>
      <c r="BI473" s="141">
        <v>259487445.22</v>
      </c>
      <c r="BJ473" s="141">
        <v>263724852.87</v>
      </c>
      <c r="BK473" s="141">
        <v>263775820.18000001</v>
      </c>
      <c r="BL473" s="141">
        <v>264103831.15000001</v>
      </c>
      <c r="BU473" s="141">
        <v>264103831.15000001</v>
      </c>
    </row>
    <row r="474" spans="1:73" ht="14.4" x14ac:dyDescent="0.3">
      <c r="A474" s="160" t="s">
        <v>251</v>
      </c>
      <c r="B474" s="161">
        <v>2004</v>
      </c>
      <c r="C474" s="161">
        <v>570521.23</v>
      </c>
      <c r="D474" s="161">
        <v>4127137.75</v>
      </c>
      <c r="E474" s="161">
        <v>11546663.260000002</v>
      </c>
      <c r="F474" s="161">
        <v>17130237.310000002</v>
      </c>
      <c r="G474" s="161">
        <v>27537946.259999994</v>
      </c>
      <c r="H474" s="161">
        <v>28754758.039999999</v>
      </c>
      <c r="I474" s="161">
        <v>27849785.340000004</v>
      </c>
      <c r="J474" s="161">
        <v>33063216.010000005</v>
      </c>
      <c r="K474" s="161">
        <v>33339684.079999998</v>
      </c>
      <c r="L474" s="161">
        <v>33359348.730000004</v>
      </c>
      <c r="M474" s="161">
        <v>33367228.25</v>
      </c>
      <c r="N474" s="161">
        <v>33367158.379999995</v>
      </c>
      <c r="O474" s="149"/>
      <c r="P474" s="149"/>
      <c r="Q474" s="149"/>
      <c r="R474" s="149"/>
      <c r="S474" s="149"/>
      <c r="T474" s="149"/>
      <c r="U474" s="149"/>
      <c r="V474" s="149"/>
      <c r="W474" s="149"/>
      <c r="X474" s="161">
        <v>33367158.379999995</v>
      </c>
      <c r="Y474" s="145"/>
      <c r="Z474" s="145"/>
      <c r="AX474" s="141" t="s">
        <v>245</v>
      </c>
      <c r="AY474" s="141">
        <v>2001</v>
      </c>
      <c r="AZ474" s="141">
        <v>13516816.68</v>
      </c>
      <c r="BA474" s="141">
        <v>59628237.890000001</v>
      </c>
      <c r="BB474" s="141">
        <v>106423933.12</v>
      </c>
      <c r="BC474" s="141">
        <v>141367721.30000001</v>
      </c>
      <c r="BD474" s="141">
        <v>173930013.66</v>
      </c>
      <c r="BE474" s="141">
        <v>197246800.09</v>
      </c>
      <c r="BF474" s="141">
        <v>205236361.72</v>
      </c>
      <c r="BG474" s="141">
        <v>221195133.41</v>
      </c>
      <c r="BH474" s="141">
        <v>227018884.27000001</v>
      </c>
      <c r="BI474" s="141">
        <v>229988681.41999999</v>
      </c>
      <c r="BJ474" s="141">
        <v>231394488.75999999</v>
      </c>
      <c r="BK474" s="141">
        <v>236347336.47</v>
      </c>
      <c r="BU474" s="141">
        <v>236347336.47</v>
      </c>
    </row>
    <row r="475" spans="1:73" ht="14.4" x14ac:dyDescent="0.3">
      <c r="A475" s="160" t="s">
        <v>251</v>
      </c>
      <c r="B475" s="161">
        <v>2005</v>
      </c>
      <c r="C475" s="161">
        <v>506658.94999999995</v>
      </c>
      <c r="D475" s="161">
        <v>5944360.9300000006</v>
      </c>
      <c r="E475" s="161">
        <v>14932975.109999999</v>
      </c>
      <c r="F475" s="161">
        <v>14689272.810000002</v>
      </c>
      <c r="G475" s="161">
        <v>15800484.379999999</v>
      </c>
      <c r="H475" s="161">
        <v>16924887.379999999</v>
      </c>
      <c r="I475" s="161">
        <v>17035516.719999999</v>
      </c>
      <c r="J475" s="161">
        <v>17101690.259999998</v>
      </c>
      <c r="K475" s="161">
        <v>17501566.25</v>
      </c>
      <c r="L475" s="161">
        <v>17509402.759999998</v>
      </c>
      <c r="M475" s="161">
        <v>17631834.790000003</v>
      </c>
      <c r="N475" s="149"/>
      <c r="O475" s="149"/>
      <c r="P475" s="149"/>
      <c r="Q475" s="149"/>
      <c r="R475" s="149"/>
      <c r="S475" s="149"/>
      <c r="T475" s="149"/>
      <c r="U475" s="149"/>
      <c r="V475" s="149"/>
      <c r="W475" s="149"/>
      <c r="X475" s="161">
        <v>17631834.790000003</v>
      </c>
      <c r="Y475" s="145"/>
      <c r="Z475" s="145"/>
      <c r="AX475" s="141" t="s">
        <v>245</v>
      </c>
      <c r="AY475" s="141">
        <v>2002</v>
      </c>
      <c r="AZ475" s="141">
        <v>13134688.449999999</v>
      </c>
      <c r="BA475" s="141">
        <v>53562429.390000001</v>
      </c>
      <c r="BB475" s="141">
        <v>101451119.02</v>
      </c>
      <c r="BC475" s="141">
        <v>151156623.15000001</v>
      </c>
      <c r="BD475" s="141">
        <v>187291904.34</v>
      </c>
      <c r="BE475" s="141">
        <v>200509326.03999999</v>
      </c>
      <c r="BF475" s="141">
        <v>231165739.31999999</v>
      </c>
      <c r="BG475" s="141">
        <v>239438640.08000001</v>
      </c>
      <c r="BH475" s="141">
        <v>249670395.66999999</v>
      </c>
      <c r="BI475" s="141">
        <v>254528779.68000001</v>
      </c>
      <c r="BJ475" s="141">
        <v>259277037.61000001</v>
      </c>
      <c r="BU475" s="141">
        <v>259277037.61000001</v>
      </c>
    </row>
    <row r="476" spans="1:73" ht="14.4" x14ac:dyDescent="0.3">
      <c r="A476" s="160" t="s">
        <v>251</v>
      </c>
      <c r="B476" s="161">
        <v>2006</v>
      </c>
      <c r="C476" s="161">
        <v>1265757.1599999999</v>
      </c>
      <c r="D476" s="161">
        <v>13589176.48</v>
      </c>
      <c r="E476" s="161">
        <v>16389531.020000001</v>
      </c>
      <c r="F476" s="161">
        <v>17427529.98</v>
      </c>
      <c r="G476" s="161">
        <v>18235249.66</v>
      </c>
      <c r="H476" s="161">
        <v>21084780.469999999</v>
      </c>
      <c r="I476" s="161">
        <v>21493747.599999998</v>
      </c>
      <c r="J476" s="161">
        <v>22135928.77</v>
      </c>
      <c r="K476" s="161">
        <v>22158658.789999999</v>
      </c>
      <c r="L476" s="161">
        <v>22159810.789999999</v>
      </c>
      <c r="M476" s="149"/>
      <c r="N476" s="149"/>
      <c r="O476" s="149"/>
      <c r="P476" s="149"/>
      <c r="Q476" s="149"/>
      <c r="R476" s="149"/>
      <c r="S476" s="149"/>
      <c r="T476" s="149"/>
      <c r="U476" s="149"/>
      <c r="V476" s="149"/>
      <c r="W476" s="149"/>
      <c r="X476" s="161">
        <v>22159810.789999999</v>
      </c>
      <c r="Y476" s="145"/>
      <c r="Z476" s="145"/>
      <c r="AX476" s="141" t="s">
        <v>245</v>
      </c>
      <c r="AY476" s="141">
        <v>2003</v>
      </c>
      <c r="AZ476" s="141">
        <v>11418390.939999999</v>
      </c>
      <c r="BA476" s="141">
        <v>55741733.100000001</v>
      </c>
      <c r="BB476" s="141">
        <v>109013296.11</v>
      </c>
      <c r="BC476" s="141">
        <v>152281184.78</v>
      </c>
      <c r="BD476" s="141">
        <v>184816496.38999999</v>
      </c>
      <c r="BE476" s="141">
        <v>204274998.05000001</v>
      </c>
      <c r="BF476" s="141">
        <v>216962632.63999999</v>
      </c>
      <c r="BG476" s="141">
        <v>235167484.94999999</v>
      </c>
      <c r="BH476" s="141">
        <v>243351378.44999999</v>
      </c>
      <c r="BI476" s="141">
        <v>247830512.71000001</v>
      </c>
      <c r="BU476" s="141">
        <v>247830512.71000001</v>
      </c>
    </row>
    <row r="477" spans="1:73" ht="14.4" x14ac:dyDescent="0.3">
      <c r="A477" s="160" t="s">
        <v>251</v>
      </c>
      <c r="B477" s="161">
        <v>2007</v>
      </c>
      <c r="C477" s="161">
        <v>2625818.6100000003</v>
      </c>
      <c r="D477" s="161">
        <v>14819574.399999999</v>
      </c>
      <c r="E477" s="161">
        <v>26373180.650000002</v>
      </c>
      <c r="F477" s="161">
        <v>28483262.68</v>
      </c>
      <c r="G477" s="161">
        <v>30542184.639999997</v>
      </c>
      <c r="H477" s="161">
        <v>33075932.91</v>
      </c>
      <c r="I477" s="161">
        <v>37046965.189999998</v>
      </c>
      <c r="J477" s="161">
        <v>37050428.150000006</v>
      </c>
      <c r="K477" s="161">
        <v>37051044.490000002</v>
      </c>
      <c r="L477" s="149"/>
      <c r="M477" s="149"/>
      <c r="N477" s="149"/>
      <c r="O477" s="149"/>
      <c r="P477" s="149"/>
      <c r="Q477" s="149"/>
      <c r="R477" s="149"/>
      <c r="S477" s="149"/>
      <c r="T477" s="149"/>
      <c r="U477" s="149"/>
      <c r="V477" s="149"/>
      <c r="W477" s="149"/>
      <c r="X477" s="161">
        <v>37051044.490000002</v>
      </c>
      <c r="Y477" s="145"/>
      <c r="Z477" s="145"/>
      <c r="AX477" s="141" t="s">
        <v>245</v>
      </c>
      <c r="AY477" s="141">
        <v>2004</v>
      </c>
      <c r="AZ477" s="141">
        <v>9846077.6300000008</v>
      </c>
      <c r="BA477" s="141">
        <v>45788744.640000001</v>
      </c>
      <c r="BB477" s="141">
        <v>91038930.900000006</v>
      </c>
      <c r="BC477" s="141">
        <v>129663866.11</v>
      </c>
      <c r="BD477" s="141">
        <v>159221501.30000001</v>
      </c>
      <c r="BE477" s="141">
        <v>183151842.06</v>
      </c>
      <c r="BF477" s="141">
        <v>192663561.40000001</v>
      </c>
      <c r="BG477" s="141">
        <v>200515852.13</v>
      </c>
      <c r="BH477" s="141">
        <v>202368826.47999999</v>
      </c>
      <c r="BU477" s="141">
        <v>202368826.47999999</v>
      </c>
    </row>
    <row r="478" spans="1:73" ht="14.4" x14ac:dyDescent="0.3">
      <c r="A478" s="160" t="s">
        <v>251</v>
      </c>
      <c r="B478" s="161">
        <v>2008</v>
      </c>
      <c r="C478" s="161">
        <v>758037.08</v>
      </c>
      <c r="D478" s="161">
        <v>4766988.17</v>
      </c>
      <c r="E478" s="161">
        <v>10593509.68</v>
      </c>
      <c r="F478" s="161">
        <v>11772523.209999999</v>
      </c>
      <c r="G478" s="161">
        <v>12046155.5</v>
      </c>
      <c r="H478" s="161">
        <v>14741086.799999999</v>
      </c>
      <c r="I478" s="161">
        <v>15552043.960000001</v>
      </c>
      <c r="J478" s="161">
        <v>22962316.359999999</v>
      </c>
      <c r="K478" s="149"/>
      <c r="L478" s="149"/>
      <c r="M478" s="149"/>
      <c r="N478" s="149"/>
      <c r="O478" s="149"/>
      <c r="P478" s="149"/>
      <c r="Q478" s="149"/>
      <c r="R478" s="149"/>
      <c r="S478" s="149"/>
      <c r="T478" s="149"/>
      <c r="U478" s="149"/>
      <c r="V478" s="149"/>
      <c r="W478" s="149"/>
      <c r="X478" s="161">
        <v>22962316.359999999</v>
      </c>
      <c r="Y478" s="145"/>
      <c r="Z478" s="145"/>
      <c r="AX478" s="141" t="s">
        <v>245</v>
      </c>
      <c r="AY478" s="141">
        <v>2005</v>
      </c>
      <c r="AZ478" s="141">
        <v>8411673.1300000008</v>
      </c>
      <c r="BA478" s="141">
        <v>45440784.609999999</v>
      </c>
      <c r="BB478" s="141">
        <v>89245004.950000003</v>
      </c>
      <c r="BC478" s="141">
        <v>130017156.7</v>
      </c>
      <c r="BD478" s="141">
        <v>161497800.84999999</v>
      </c>
      <c r="BE478" s="141">
        <v>185635679.38999999</v>
      </c>
      <c r="BF478" s="141">
        <v>192960274.74000001</v>
      </c>
      <c r="BG478" s="141">
        <v>198347943.05000001</v>
      </c>
      <c r="BU478" s="141">
        <v>198347943.05000001</v>
      </c>
    </row>
    <row r="479" spans="1:73" ht="14.4" x14ac:dyDescent="0.3">
      <c r="A479" s="160" t="s">
        <v>251</v>
      </c>
      <c r="B479" s="161">
        <v>2009</v>
      </c>
      <c r="C479" s="161">
        <v>863697.32</v>
      </c>
      <c r="D479" s="161">
        <v>10192483.58</v>
      </c>
      <c r="E479" s="161">
        <v>15740472.920000002</v>
      </c>
      <c r="F479" s="161">
        <v>23824073.379999999</v>
      </c>
      <c r="G479" s="161">
        <v>24158953.219999999</v>
      </c>
      <c r="H479" s="161">
        <v>24203103.640000001</v>
      </c>
      <c r="I479" s="161">
        <v>24435491.560000002</v>
      </c>
      <c r="J479" s="149"/>
      <c r="K479" s="149"/>
      <c r="L479" s="149"/>
      <c r="M479" s="149"/>
      <c r="N479" s="149"/>
      <c r="O479" s="149"/>
      <c r="P479" s="149"/>
      <c r="Q479" s="149"/>
      <c r="R479" s="149"/>
      <c r="S479" s="149"/>
      <c r="T479" s="149"/>
      <c r="U479" s="149"/>
      <c r="V479" s="149"/>
      <c r="W479" s="149"/>
      <c r="X479" s="161">
        <v>24435491.560000002</v>
      </c>
      <c r="Y479" s="145"/>
      <c r="Z479" s="145"/>
      <c r="AX479" s="141" t="s">
        <v>245</v>
      </c>
      <c r="AY479" s="141">
        <v>2006</v>
      </c>
      <c r="AZ479" s="141">
        <v>7495227.5</v>
      </c>
      <c r="BA479" s="141">
        <v>42772113.979999997</v>
      </c>
      <c r="BB479" s="141">
        <v>78832998.170000002</v>
      </c>
      <c r="BC479" s="141">
        <v>113026937.73</v>
      </c>
      <c r="BD479" s="141">
        <v>137903284.99000001</v>
      </c>
      <c r="BE479" s="141">
        <v>157429682.84</v>
      </c>
      <c r="BF479" s="141">
        <v>167615586.97</v>
      </c>
      <c r="BU479" s="141">
        <v>167615586.97</v>
      </c>
    </row>
    <row r="480" spans="1:73" ht="14.4" x14ac:dyDescent="0.3">
      <c r="A480" s="160" t="s">
        <v>251</v>
      </c>
      <c r="B480" s="161">
        <v>2010</v>
      </c>
      <c r="C480" s="161">
        <v>1376995.44</v>
      </c>
      <c r="D480" s="161">
        <v>17591571.550000001</v>
      </c>
      <c r="E480" s="161">
        <v>31324758.399999999</v>
      </c>
      <c r="F480" s="161">
        <v>37043112.659999996</v>
      </c>
      <c r="G480" s="161">
        <v>37377915.810000002</v>
      </c>
      <c r="H480" s="161">
        <v>41924462.579999998</v>
      </c>
      <c r="I480" s="149"/>
      <c r="J480" s="149"/>
      <c r="K480" s="149"/>
      <c r="L480" s="149"/>
      <c r="M480" s="149"/>
      <c r="N480" s="149"/>
      <c r="O480" s="149"/>
      <c r="P480" s="149"/>
      <c r="Q480" s="149"/>
      <c r="R480" s="149"/>
      <c r="S480" s="149"/>
      <c r="T480" s="149"/>
      <c r="U480" s="149"/>
      <c r="V480" s="149"/>
      <c r="W480" s="149"/>
      <c r="X480" s="161">
        <v>41924462.579999998</v>
      </c>
      <c r="Y480" s="145"/>
      <c r="Z480" s="145"/>
      <c r="AX480" s="141" t="s">
        <v>245</v>
      </c>
      <c r="AY480" s="141">
        <v>2007</v>
      </c>
      <c r="AZ480" s="141">
        <v>7199172.8200000003</v>
      </c>
      <c r="BA480" s="141">
        <v>42360030.590000004</v>
      </c>
      <c r="BB480" s="141">
        <v>87558981.200000003</v>
      </c>
      <c r="BC480" s="141">
        <v>119141237.34</v>
      </c>
      <c r="BD480" s="141">
        <v>137541590.90000001</v>
      </c>
      <c r="BE480" s="141">
        <v>162355554.74000001</v>
      </c>
      <c r="BU480" s="141">
        <v>162355554.74000001</v>
      </c>
    </row>
    <row r="481" spans="1:73" ht="14.4" x14ac:dyDescent="0.3">
      <c r="A481" s="160" t="s">
        <v>251</v>
      </c>
      <c r="B481" s="161">
        <v>2011</v>
      </c>
      <c r="C481" s="161">
        <v>15273835.92</v>
      </c>
      <c r="D481" s="161">
        <v>45081297.649999999</v>
      </c>
      <c r="E481" s="161">
        <v>58239953.920000002</v>
      </c>
      <c r="F481" s="161">
        <v>66581540.800000004</v>
      </c>
      <c r="G481" s="161">
        <v>70766796.560000002</v>
      </c>
      <c r="H481" s="149"/>
      <c r="I481" s="149"/>
      <c r="J481" s="149"/>
      <c r="K481" s="149"/>
      <c r="L481" s="149"/>
      <c r="M481" s="149"/>
      <c r="N481" s="149"/>
      <c r="O481" s="149"/>
      <c r="P481" s="149"/>
      <c r="Q481" s="149"/>
      <c r="R481" s="149"/>
      <c r="S481" s="149"/>
      <c r="T481" s="149"/>
      <c r="U481" s="149"/>
      <c r="V481" s="149"/>
      <c r="W481" s="149"/>
      <c r="X481" s="161">
        <v>70766796.560000002</v>
      </c>
      <c r="Y481" s="145"/>
      <c r="Z481" s="145"/>
      <c r="AX481" s="141" t="s">
        <v>245</v>
      </c>
      <c r="AY481" s="141">
        <v>2008</v>
      </c>
      <c r="AZ481" s="141">
        <v>7668786.9100000001</v>
      </c>
      <c r="BA481" s="141">
        <v>42313567.590000004</v>
      </c>
      <c r="BB481" s="141">
        <v>82231561.129999995</v>
      </c>
      <c r="BC481" s="141">
        <v>119082112.73</v>
      </c>
      <c r="BD481" s="141">
        <v>137213604.69999999</v>
      </c>
      <c r="BU481" s="141">
        <v>137213604.69999999</v>
      </c>
    </row>
    <row r="482" spans="1:73" ht="14.4" x14ac:dyDescent="0.3">
      <c r="A482" s="160" t="s">
        <v>251</v>
      </c>
      <c r="B482" s="161">
        <v>2012</v>
      </c>
      <c r="C482" s="161">
        <v>3000938.19</v>
      </c>
      <c r="D482" s="161">
        <v>24127713.77</v>
      </c>
      <c r="E482" s="161">
        <v>38787932.57</v>
      </c>
      <c r="F482" s="161">
        <v>66095928.970000006</v>
      </c>
      <c r="G482" s="149"/>
      <c r="H482" s="149"/>
      <c r="I482" s="149"/>
      <c r="J482" s="149"/>
      <c r="K482" s="149"/>
      <c r="L482" s="149"/>
      <c r="M482" s="149"/>
      <c r="N482" s="149"/>
      <c r="O482" s="149"/>
      <c r="P482" s="149"/>
      <c r="Q482" s="149"/>
      <c r="R482" s="149"/>
      <c r="S482" s="149"/>
      <c r="T482" s="149"/>
      <c r="U482" s="149"/>
      <c r="V482" s="149"/>
      <c r="W482" s="149"/>
      <c r="X482" s="161">
        <v>66095928.970000006</v>
      </c>
      <c r="Y482" s="145"/>
      <c r="Z482" s="145"/>
      <c r="AX482" s="141" t="s">
        <v>245</v>
      </c>
      <c r="AY482" s="141">
        <v>2009</v>
      </c>
      <c r="AZ482" s="141">
        <v>6104540.2800000003</v>
      </c>
      <c r="BA482" s="141">
        <v>29852974.890000001</v>
      </c>
      <c r="BB482" s="141">
        <v>52710492.890000001</v>
      </c>
      <c r="BC482" s="141">
        <v>76535030.810000002</v>
      </c>
      <c r="BU482" s="141">
        <v>76535030.810000002</v>
      </c>
    </row>
    <row r="483" spans="1:73" ht="14.4" x14ac:dyDescent="0.3">
      <c r="A483" s="160" t="s">
        <v>251</v>
      </c>
      <c r="B483" s="161">
        <v>2013</v>
      </c>
      <c r="C483" s="161">
        <v>3450146.58</v>
      </c>
      <c r="D483" s="161">
        <v>17358657.620000001</v>
      </c>
      <c r="E483" s="161">
        <v>32855963.370000001</v>
      </c>
      <c r="F483" s="149"/>
      <c r="G483" s="149"/>
      <c r="H483" s="149"/>
      <c r="I483" s="149"/>
      <c r="J483" s="149"/>
      <c r="K483" s="149"/>
      <c r="L483" s="149"/>
      <c r="M483" s="149"/>
      <c r="N483" s="149"/>
      <c r="O483" s="149"/>
      <c r="P483" s="149"/>
      <c r="Q483" s="149"/>
      <c r="R483" s="149"/>
      <c r="S483" s="149"/>
      <c r="T483" s="149"/>
      <c r="U483" s="149"/>
      <c r="V483" s="149"/>
      <c r="W483" s="149"/>
      <c r="X483" s="161">
        <v>32855963.370000001</v>
      </c>
      <c r="Y483" s="145"/>
      <c r="Z483" s="145"/>
      <c r="AX483" s="141" t="s">
        <v>245</v>
      </c>
      <c r="AY483" s="141">
        <v>2010</v>
      </c>
      <c r="AZ483" s="141">
        <v>4141968.28</v>
      </c>
      <c r="BA483" s="141">
        <v>28579037.989999998</v>
      </c>
      <c r="BB483" s="141">
        <v>56294271.399999999</v>
      </c>
      <c r="BU483" s="141">
        <v>56294271.399999999</v>
      </c>
    </row>
    <row r="484" spans="1:73" ht="14.4" x14ac:dyDescent="0.3">
      <c r="A484" s="160" t="s">
        <v>251</v>
      </c>
      <c r="B484" s="161">
        <v>2014</v>
      </c>
      <c r="C484" s="161">
        <v>632360.00999999989</v>
      </c>
      <c r="D484" s="161">
        <v>14287370.780000001</v>
      </c>
      <c r="E484" s="149"/>
      <c r="F484" s="149"/>
      <c r="G484" s="149"/>
      <c r="H484" s="149"/>
      <c r="I484" s="149"/>
      <c r="J484" s="149"/>
      <c r="K484" s="149"/>
      <c r="L484" s="149"/>
      <c r="M484" s="149"/>
      <c r="N484" s="149"/>
      <c r="O484" s="149"/>
      <c r="P484" s="149"/>
      <c r="Q484" s="149"/>
      <c r="R484" s="149"/>
      <c r="S484" s="149"/>
      <c r="T484" s="149"/>
      <c r="U484" s="149"/>
      <c r="V484" s="149"/>
      <c r="W484" s="149"/>
      <c r="X484" s="161">
        <v>14287370.780000001</v>
      </c>
      <c r="Y484" s="145"/>
      <c r="Z484" s="145"/>
      <c r="AX484" s="141" t="s">
        <v>245</v>
      </c>
      <c r="AY484" s="141">
        <v>2011</v>
      </c>
      <c r="AZ484" s="141">
        <v>10254834.25</v>
      </c>
      <c r="BA484" s="141">
        <v>36872606.850000001</v>
      </c>
      <c r="BU484" s="141">
        <v>36872606.850000001</v>
      </c>
    </row>
    <row r="485" spans="1:73" ht="14.4" x14ac:dyDescent="0.3">
      <c r="A485" s="160" t="s">
        <v>251</v>
      </c>
      <c r="B485" s="161">
        <v>2015</v>
      </c>
      <c r="C485" s="161">
        <v>10980926</v>
      </c>
      <c r="D485" s="149"/>
      <c r="E485" s="149"/>
      <c r="F485" s="149"/>
      <c r="G485" s="149"/>
      <c r="H485" s="149"/>
      <c r="I485" s="149"/>
      <c r="J485" s="149"/>
      <c r="K485" s="149"/>
      <c r="L485" s="149"/>
      <c r="M485" s="149"/>
      <c r="N485" s="149"/>
      <c r="O485" s="149"/>
      <c r="P485" s="149"/>
      <c r="Q485" s="149"/>
      <c r="R485" s="149"/>
      <c r="S485" s="149"/>
      <c r="T485" s="149"/>
      <c r="U485" s="149"/>
      <c r="V485" s="149"/>
      <c r="W485" s="149"/>
      <c r="X485" s="161">
        <v>10980926</v>
      </c>
      <c r="Y485" s="145"/>
      <c r="Z485" s="145"/>
      <c r="AX485" s="141" t="s">
        <v>245</v>
      </c>
      <c r="AY485" s="141">
        <v>2012</v>
      </c>
      <c r="AZ485" s="141">
        <v>4967808.05</v>
      </c>
      <c r="BU485" s="141">
        <v>4967808.05</v>
      </c>
    </row>
    <row r="486" spans="1:73" ht="14.4" x14ac:dyDescent="0.3">
      <c r="A486" s="160" t="s">
        <v>252</v>
      </c>
      <c r="B486" s="161">
        <v>1995</v>
      </c>
      <c r="C486" s="172">
        <v>1003353.56</v>
      </c>
      <c r="D486" s="172">
        <v>17758752.579999998</v>
      </c>
      <c r="E486" s="172">
        <v>25810581.41</v>
      </c>
      <c r="F486" s="172">
        <v>28168725.560000002</v>
      </c>
      <c r="G486" s="172">
        <v>30227859.149999999</v>
      </c>
      <c r="H486" s="172">
        <v>36759549.25</v>
      </c>
      <c r="I486" s="172">
        <v>38630821.57</v>
      </c>
      <c r="J486" s="172">
        <v>40015882.410000004</v>
      </c>
      <c r="K486" s="172">
        <v>40005529.689999998</v>
      </c>
      <c r="L486" s="172">
        <v>39438860.57</v>
      </c>
      <c r="M486" s="172">
        <v>39383758.900000006</v>
      </c>
      <c r="N486" s="172">
        <v>39399694.68</v>
      </c>
      <c r="O486" s="172">
        <v>39399694.68</v>
      </c>
      <c r="P486" s="172">
        <v>39495765.410000004</v>
      </c>
      <c r="Q486" s="172">
        <v>39495765.410000004</v>
      </c>
      <c r="R486" s="172">
        <v>39495765.410000004</v>
      </c>
      <c r="S486" s="172">
        <v>39495765.410000004</v>
      </c>
      <c r="T486" s="172">
        <v>39495765.410000004</v>
      </c>
      <c r="U486" s="172">
        <v>39495765.410000004</v>
      </c>
      <c r="V486" s="172">
        <v>39495765.410000004</v>
      </c>
      <c r="W486" s="172">
        <v>39495765.410000004</v>
      </c>
      <c r="X486" s="161">
        <v>39495765.410000004</v>
      </c>
      <c r="Y486" s="145"/>
      <c r="Z486" s="145"/>
      <c r="AX486" s="141" t="s">
        <v>246</v>
      </c>
      <c r="AY486" s="141">
        <v>1992</v>
      </c>
      <c r="AZ486" s="141">
        <v>202890353.25999999</v>
      </c>
      <c r="BA486" s="141">
        <v>261786554.41</v>
      </c>
      <c r="BB486" s="141">
        <v>314816491.00999999</v>
      </c>
      <c r="BC486" s="141">
        <v>352155365.95999998</v>
      </c>
      <c r="BD486" s="141">
        <v>382551578.93000001</v>
      </c>
      <c r="BE486" s="141">
        <v>395127451.99000001</v>
      </c>
      <c r="BF486" s="141">
        <v>405316243.57999998</v>
      </c>
      <c r="BG486" s="141">
        <v>409866428.75</v>
      </c>
      <c r="BH486" s="141">
        <v>415121281.77999997</v>
      </c>
      <c r="BI486" s="141">
        <v>414606740.27999997</v>
      </c>
      <c r="BJ486" s="141">
        <v>416186722.13</v>
      </c>
      <c r="BK486" s="141">
        <v>416905456.38</v>
      </c>
      <c r="BL486" s="141">
        <v>417024241.49000001</v>
      </c>
      <c r="BM486" s="141">
        <v>417246504.16000003</v>
      </c>
      <c r="BN486" s="141">
        <v>417466920.16000003</v>
      </c>
      <c r="BO486" s="141">
        <v>417478748.92000002</v>
      </c>
      <c r="BP486" s="141">
        <v>417481912.69999999</v>
      </c>
      <c r="BQ486" s="141">
        <v>417484654.56</v>
      </c>
      <c r="BR486" s="141">
        <v>416881765.13</v>
      </c>
      <c r="BS486" s="141">
        <v>416882925.52999997</v>
      </c>
      <c r="BT486" s="141">
        <v>416883180.52999997</v>
      </c>
      <c r="BU486" s="141">
        <v>416883180.52999997</v>
      </c>
    </row>
    <row r="487" spans="1:73" ht="14.4" x14ac:dyDescent="0.3">
      <c r="A487" s="160" t="s">
        <v>252</v>
      </c>
      <c r="B487" s="161">
        <v>1996</v>
      </c>
      <c r="C487" s="172">
        <v>1066023.1200000001</v>
      </c>
      <c r="D487" s="172">
        <v>3155648.9</v>
      </c>
      <c r="E487" s="172">
        <v>9628720.0800000019</v>
      </c>
      <c r="F487" s="172">
        <v>11306244.619999999</v>
      </c>
      <c r="G487" s="172">
        <v>14813766.710000001</v>
      </c>
      <c r="H487" s="172">
        <v>15743481.800000001</v>
      </c>
      <c r="I487" s="172">
        <v>16013982.659999998</v>
      </c>
      <c r="J487" s="172">
        <v>15932911.210000001</v>
      </c>
      <c r="K487" s="172">
        <v>14207897.209999999</v>
      </c>
      <c r="L487" s="172">
        <v>16075085.759999998</v>
      </c>
      <c r="M487" s="172">
        <v>16267525.120000001</v>
      </c>
      <c r="N487" s="172">
        <v>15976590.029999997</v>
      </c>
      <c r="O487" s="172">
        <v>17854353.909999996</v>
      </c>
      <c r="P487" s="172">
        <v>17953528.159999996</v>
      </c>
      <c r="Q487" s="172">
        <v>17953528.159999996</v>
      </c>
      <c r="R487" s="172">
        <v>17953528.159999996</v>
      </c>
      <c r="S487" s="172">
        <v>17953528.159999996</v>
      </c>
      <c r="T487" s="172">
        <v>17953528.159999996</v>
      </c>
      <c r="U487" s="172">
        <v>17953528.159999996</v>
      </c>
      <c r="V487" s="172">
        <v>17953528.159999996</v>
      </c>
      <c r="W487" s="173"/>
      <c r="X487" s="161">
        <v>17953528.159999996</v>
      </c>
      <c r="Y487" s="145"/>
      <c r="Z487" s="145"/>
      <c r="AX487" s="141" t="s">
        <v>246</v>
      </c>
      <c r="AY487" s="141">
        <v>1993</v>
      </c>
      <c r="AZ487" s="141">
        <v>1550917.23</v>
      </c>
      <c r="BA487" s="141">
        <v>13062557.77</v>
      </c>
      <c r="BB487" s="141">
        <v>31934922.670000002</v>
      </c>
      <c r="BC487" s="141">
        <v>49377558.439999998</v>
      </c>
      <c r="BD487" s="141">
        <v>58529956.219999999</v>
      </c>
      <c r="BE487" s="141">
        <v>64019300.859999999</v>
      </c>
      <c r="BF487" s="141">
        <v>66491451.770000003</v>
      </c>
      <c r="BG487" s="141">
        <v>67659856.700000003</v>
      </c>
      <c r="BH487" s="141">
        <v>68186233.549999997</v>
      </c>
      <c r="BI487" s="141">
        <v>68938870.409999996</v>
      </c>
      <c r="BJ487" s="141">
        <v>69276208.079999998</v>
      </c>
      <c r="BK487" s="141">
        <v>69365408.620000005</v>
      </c>
      <c r="BL487" s="141">
        <v>69638731.079999998</v>
      </c>
      <c r="BM487" s="141">
        <v>69560628.920000002</v>
      </c>
      <c r="BN487" s="141">
        <v>69626025.640000001</v>
      </c>
      <c r="BO487" s="141">
        <v>69656237.950000003</v>
      </c>
      <c r="BP487" s="141">
        <v>69658996.040000007</v>
      </c>
      <c r="BQ487" s="141">
        <v>69650141</v>
      </c>
      <c r="BR487" s="141">
        <v>69650141</v>
      </c>
      <c r="BS487" s="141">
        <v>69650141</v>
      </c>
      <c r="BU487" s="141">
        <v>69650141</v>
      </c>
    </row>
    <row r="488" spans="1:73" ht="14.4" x14ac:dyDescent="0.3">
      <c r="A488" s="160" t="s">
        <v>252</v>
      </c>
      <c r="B488" s="161">
        <v>1997</v>
      </c>
      <c r="C488" s="172">
        <v>328646.16000000003</v>
      </c>
      <c r="D488" s="172">
        <v>1904644.76</v>
      </c>
      <c r="E488" s="172">
        <v>13742032.27</v>
      </c>
      <c r="F488" s="172">
        <v>14640058.369999997</v>
      </c>
      <c r="G488" s="172">
        <v>17386155.200000003</v>
      </c>
      <c r="H488" s="172">
        <v>18898253.900000006</v>
      </c>
      <c r="I488" s="172">
        <v>18683203.88000001</v>
      </c>
      <c r="J488" s="172">
        <v>12479542.579999998</v>
      </c>
      <c r="K488" s="172">
        <v>7589843.4700000137</v>
      </c>
      <c r="L488" s="172">
        <v>7590840.2100000083</v>
      </c>
      <c r="M488" s="172">
        <v>7590956.0900000185</v>
      </c>
      <c r="N488" s="172">
        <v>7580645.0800000131</v>
      </c>
      <c r="O488" s="172">
        <v>7580645.0800000131</v>
      </c>
      <c r="P488" s="172">
        <v>7581005.3200000226</v>
      </c>
      <c r="Q488" s="172">
        <v>7581005.3200000226</v>
      </c>
      <c r="R488" s="172">
        <v>7581005.3200000226</v>
      </c>
      <c r="S488" s="172">
        <v>7581005.2800000161</v>
      </c>
      <c r="T488" s="172">
        <v>7581005.2800000161</v>
      </c>
      <c r="U488" s="172">
        <v>7579068.0600000173</v>
      </c>
      <c r="V488" s="173"/>
      <c r="W488" s="173"/>
      <c r="X488" s="161">
        <v>7579068.0600000173</v>
      </c>
      <c r="Y488" s="145"/>
      <c r="Z488" s="145"/>
      <c r="AX488" s="141" t="s">
        <v>246</v>
      </c>
      <c r="AY488" s="141">
        <v>1994</v>
      </c>
      <c r="AZ488" s="141">
        <v>2836534.32</v>
      </c>
      <c r="BA488" s="141">
        <v>25510971.899999999</v>
      </c>
      <c r="BB488" s="141">
        <v>57632510.579999998</v>
      </c>
      <c r="BC488" s="141">
        <v>77710849.180000007</v>
      </c>
      <c r="BD488" s="141">
        <v>90472166.379999995</v>
      </c>
      <c r="BE488" s="141">
        <v>98216061.540000007</v>
      </c>
      <c r="BF488" s="141">
        <v>100388212.90000001</v>
      </c>
      <c r="BG488" s="141">
        <v>101066762.98</v>
      </c>
      <c r="BH488" s="141">
        <v>101761713.7</v>
      </c>
      <c r="BI488" s="141">
        <v>102064250.65000001</v>
      </c>
      <c r="BJ488" s="141">
        <v>102502776.42</v>
      </c>
      <c r="BK488" s="141">
        <v>102558710.5</v>
      </c>
      <c r="BL488" s="141">
        <v>102849281.55</v>
      </c>
      <c r="BM488" s="141">
        <v>103476554.3</v>
      </c>
      <c r="BN488" s="141">
        <v>103519799.17</v>
      </c>
      <c r="BO488" s="141">
        <v>103644842.23999999</v>
      </c>
      <c r="BP488" s="141">
        <v>103708356.19</v>
      </c>
      <c r="BQ488" s="141">
        <v>103736487.48</v>
      </c>
      <c r="BR488" s="141">
        <v>103738931.48</v>
      </c>
      <c r="BU488" s="141">
        <v>103738931.48</v>
      </c>
    </row>
    <row r="489" spans="1:73" ht="14.4" x14ac:dyDescent="0.3">
      <c r="A489" s="160" t="s">
        <v>252</v>
      </c>
      <c r="B489" s="161">
        <v>1998</v>
      </c>
      <c r="C489" s="172">
        <v>640098.43000000005</v>
      </c>
      <c r="D489" s="172">
        <v>3119372.6</v>
      </c>
      <c r="E489" s="172">
        <v>3385069.8100000005</v>
      </c>
      <c r="F489" s="172">
        <v>4094627.9600000009</v>
      </c>
      <c r="G489" s="172">
        <v>9346858.4800000004</v>
      </c>
      <c r="H489" s="172">
        <v>9267935.3399999961</v>
      </c>
      <c r="I489" s="172">
        <v>1746114.7700000107</v>
      </c>
      <c r="J489" s="172">
        <v>1144345.5199999958</v>
      </c>
      <c r="K489" s="172">
        <v>1543771.4299999923</v>
      </c>
      <c r="L489" s="172">
        <v>7048897.5300000012</v>
      </c>
      <c r="M489" s="172">
        <v>6313546.1099999845</v>
      </c>
      <c r="N489" s="172">
        <v>5336915.1600000113</v>
      </c>
      <c r="O489" s="172">
        <v>2590737.5899999887</v>
      </c>
      <c r="P489" s="172">
        <v>2598760.2399999946</v>
      </c>
      <c r="Q489" s="172">
        <v>2617615.1899999976</v>
      </c>
      <c r="R489" s="172">
        <v>2671595.6800000072</v>
      </c>
      <c r="S489" s="172">
        <v>6449025</v>
      </c>
      <c r="T489" s="172">
        <v>6448035.6899999976</v>
      </c>
      <c r="U489" s="173"/>
      <c r="V489" s="173"/>
      <c r="W489" s="173"/>
      <c r="X489" s="161">
        <v>6448035.6899999976</v>
      </c>
      <c r="Y489" s="145"/>
      <c r="Z489" s="145"/>
      <c r="AX489" s="141" t="s">
        <v>246</v>
      </c>
      <c r="AY489" s="141">
        <v>1995</v>
      </c>
      <c r="AZ489" s="141">
        <v>4655882.0199999996</v>
      </c>
      <c r="BA489" s="141">
        <v>36139291.469999999</v>
      </c>
      <c r="BB489" s="141">
        <v>65387686.009999998</v>
      </c>
      <c r="BC489" s="141">
        <v>88682482</v>
      </c>
      <c r="BD489" s="141">
        <v>102213823.5</v>
      </c>
      <c r="BE489" s="141">
        <v>111837710.89</v>
      </c>
      <c r="BF489" s="141">
        <v>116216221.81</v>
      </c>
      <c r="BG489" s="141">
        <v>117400440.20999999</v>
      </c>
      <c r="BH489" s="141">
        <v>118036501.27</v>
      </c>
      <c r="BI489" s="141">
        <v>118551480.89</v>
      </c>
      <c r="BJ489" s="141">
        <v>119707657.45999999</v>
      </c>
      <c r="BK489" s="141">
        <v>119952909.89</v>
      </c>
      <c r="BL489" s="141">
        <v>120098640.90000001</v>
      </c>
      <c r="BM489" s="141">
        <v>120602642.48999999</v>
      </c>
      <c r="BN489" s="141">
        <v>120623236.97</v>
      </c>
      <c r="BO489" s="141">
        <v>121185644.47</v>
      </c>
      <c r="BP489" s="141">
        <v>121189441.83</v>
      </c>
      <c r="BQ489" s="141">
        <v>121196686.63</v>
      </c>
      <c r="BU489" s="141">
        <v>121196686.63</v>
      </c>
    </row>
    <row r="490" spans="1:73" ht="14.4" x14ac:dyDescent="0.3">
      <c r="A490" s="177" t="s">
        <v>252</v>
      </c>
      <c r="B490" s="178">
        <v>1999</v>
      </c>
      <c r="C490" s="179">
        <v>17413955.48</v>
      </c>
      <c r="D490" s="179">
        <v>18549143.66</v>
      </c>
      <c r="E490" s="179">
        <v>52985602.340000004</v>
      </c>
      <c r="F490" s="179">
        <v>58335062.340000004</v>
      </c>
      <c r="G490" s="179">
        <v>86554956.799999997</v>
      </c>
      <c r="H490" s="179">
        <v>96751993.599999994</v>
      </c>
      <c r="I490" s="179">
        <v>100474997.5</v>
      </c>
      <c r="J490" s="179">
        <v>134861005.83000001</v>
      </c>
      <c r="K490" s="179">
        <v>147859160.28</v>
      </c>
      <c r="L490" s="179">
        <v>147873660.24000001</v>
      </c>
      <c r="M490" s="179">
        <v>153123660.24000001</v>
      </c>
      <c r="N490" s="179">
        <v>153123660.24000001</v>
      </c>
      <c r="O490" s="179">
        <v>153123660.24000001</v>
      </c>
      <c r="P490" s="179">
        <v>159422335.94999999</v>
      </c>
      <c r="Q490" s="179">
        <v>159422335.94999999</v>
      </c>
      <c r="R490" s="179">
        <v>159422335.94999999</v>
      </c>
      <c r="S490" s="179">
        <v>159422335.94999999</v>
      </c>
      <c r="T490" s="173"/>
      <c r="U490" s="173"/>
      <c r="V490" s="173"/>
      <c r="W490" s="173"/>
      <c r="X490" s="161">
        <v>-21535689.75</v>
      </c>
      <c r="Y490" s="145"/>
      <c r="Z490" s="145"/>
      <c r="AX490" s="141" t="s">
        <v>246</v>
      </c>
      <c r="AY490" s="141">
        <v>1996</v>
      </c>
      <c r="AZ490" s="141">
        <v>5705921.8600000003</v>
      </c>
      <c r="BA490" s="141">
        <v>34777688.700000003</v>
      </c>
      <c r="BB490" s="141">
        <v>61840497.859999999</v>
      </c>
      <c r="BC490" s="141">
        <v>80238150.790000007</v>
      </c>
      <c r="BD490" s="141">
        <v>93185886.780000001</v>
      </c>
      <c r="BE490" s="141">
        <v>102387880.47</v>
      </c>
      <c r="BF490" s="141">
        <v>108436328.36</v>
      </c>
      <c r="BG490" s="141">
        <v>108765460.62</v>
      </c>
      <c r="BH490" s="141">
        <v>110769758.98</v>
      </c>
      <c r="BI490" s="141">
        <v>111004738.36</v>
      </c>
      <c r="BJ490" s="141">
        <v>111346023.66</v>
      </c>
      <c r="BK490" s="141">
        <v>111456248.47</v>
      </c>
      <c r="BL490" s="141">
        <v>111502718.8</v>
      </c>
      <c r="BM490" s="141">
        <v>111534807.2</v>
      </c>
      <c r="BN490" s="141">
        <v>111638578.37</v>
      </c>
      <c r="BO490" s="141">
        <v>111635840.37</v>
      </c>
      <c r="BP490" s="141">
        <v>111635840.37</v>
      </c>
      <c r="BU490" s="141">
        <v>111635840.37</v>
      </c>
    </row>
    <row r="491" spans="1:73" ht="14.4" x14ac:dyDescent="0.3">
      <c r="A491" s="160" t="s">
        <v>252</v>
      </c>
      <c r="B491" s="161">
        <v>2000</v>
      </c>
      <c r="C491" s="172">
        <v>687484.64999999967</v>
      </c>
      <c r="D491" s="172">
        <v>2546192.2699999996</v>
      </c>
      <c r="E491" s="172">
        <v>10843948.920000002</v>
      </c>
      <c r="F491" s="172">
        <v>27961118.159999996</v>
      </c>
      <c r="G491" s="172">
        <v>24719767.5</v>
      </c>
      <c r="H491" s="172">
        <v>24423342.569999993</v>
      </c>
      <c r="I491" s="172">
        <v>35492278.129999995</v>
      </c>
      <c r="J491" s="172">
        <v>33590213.189999998</v>
      </c>
      <c r="K491" s="172">
        <v>30796608.390000015</v>
      </c>
      <c r="L491" s="172">
        <v>30438069.419999987</v>
      </c>
      <c r="M491" s="172">
        <v>38295089.069999993</v>
      </c>
      <c r="N491" s="172">
        <v>38605673.75999999</v>
      </c>
      <c r="O491" s="172">
        <v>38882546.190000027</v>
      </c>
      <c r="P491" s="172">
        <v>38882546.160000026</v>
      </c>
      <c r="Q491" s="172">
        <v>38882546.160000026</v>
      </c>
      <c r="R491" s="172">
        <v>38882546.160000026</v>
      </c>
      <c r="S491" s="173"/>
      <c r="T491" s="173"/>
      <c r="U491" s="173"/>
      <c r="V491" s="173"/>
      <c r="W491" s="173"/>
      <c r="X491" s="161">
        <v>38882546.160000026</v>
      </c>
      <c r="Y491" s="145"/>
      <c r="Z491" s="145"/>
      <c r="AX491" s="141" t="s">
        <v>246</v>
      </c>
      <c r="AY491" s="141">
        <v>1997</v>
      </c>
      <c r="AZ491" s="141">
        <v>6861526.4500000002</v>
      </c>
      <c r="BA491" s="141">
        <v>32559752.329999998</v>
      </c>
      <c r="BB491" s="141">
        <v>57373260.789999999</v>
      </c>
      <c r="BC491" s="141">
        <v>74564753.290000007</v>
      </c>
      <c r="BD491" s="141">
        <v>85419087.879999995</v>
      </c>
      <c r="BE491" s="141">
        <v>92304994.859999999</v>
      </c>
      <c r="BF491" s="141">
        <v>94510053.909999996</v>
      </c>
      <c r="BG491" s="141">
        <v>95291525.069999993</v>
      </c>
      <c r="BH491" s="141">
        <v>95953492.120000005</v>
      </c>
      <c r="BI491" s="141">
        <v>96319358.5</v>
      </c>
      <c r="BJ491" s="141">
        <v>96389583.260000005</v>
      </c>
      <c r="BK491" s="141">
        <v>96372110.590000004</v>
      </c>
      <c r="BL491" s="141">
        <v>96549164.890000001</v>
      </c>
      <c r="BM491" s="141">
        <v>96578682.760000005</v>
      </c>
      <c r="BN491" s="141">
        <v>96735907.760000005</v>
      </c>
      <c r="BO491" s="141">
        <v>96829392.760000005</v>
      </c>
      <c r="BU491" s="141">
        <v>96829392.760000005</v>
      </c>
    </row>
    <row r="492" spans="1:73" ht="14.4" x14ac:dyDescent="0.3">
      <c r="A492" s="160" t="s">
        <v>252</v>
      </c>
      <c r="B492" s="161">
        <v>2001</v>
      </c>
      <c r="C492" s="172">
        <v>376826.88</v>
      </c>
      <c r="D492" s="172">
        <v>8683266.9099999983</v>
      </c>
      <c r="E492" s="172">
        <v>5535738.4999999925</v>
      </c>
      <c r="F492" s="172">
        <v>9743761.400000006</v>
      </c>
      <c r="G492" s="172">
        <v>24930063.230000004</v>
      </c>
      <c r="H492" s="172">
        <v>54500615.609999999</v>
      </c>
      <c r="I492" s="172">
        <v>71127375.349999994</v>
      </c>
      <c r="J492" s="172">
        <v>75636452.189999998</v>
      </c>
      <c r="K492" s="172">
        <v>78254605.019999981</v>
      </c>
      <c r="L492" s="172">
        <v>76572313.519999981</v>
      </c>
      <c r="M492" s="172">
        <v>76890785.659999996</v>
      </c>
      <c r="N492" s="172">
        <v>84216396.059999973</v>
      </c>
      <c r="O492" s="172">
        <v>89716933.069999993</v>
      </c>
      <c r="P492" s="172">
        <v>89748092.370000005</v>
      </c>
      <c r="Q492" s="172">
        <v>89750317.409999996</v>
      </c>
      <c r="R492" s="173"/>
      <c r="S492" s="173"/>
      <c r="T492" s="173"/>
      <c r="U492" s="173"/>
      <c r="V492" s="173"/>
      <c r="W492" s="173"/>
      <c r="X492" s="161">
        <v>89750317.409999996</v>
      </c>
      <c r="Y492" s="145"/>
      <c r="Z492" s="145"/>
      <c r="AX492" s="141" t="s">
        <v>246</v>
      </c>
      <c r="AY492" s="141">
        <v>1998</v>
      </c>
      <c r="AZ492" s="141">
        <v>6592629.7199999997</v>
      </c>
      <c r="BA492" s="141">
        <v>30587074.02</v>
      </c>
      <c r="BB492" s="141">
        <v>52742486.460000001</v>
      </c>
      <c r="BC492" s="141">
        <v>67979754.299999997</v>
      </c>
      <c r="BD492" s="141">
        <v>74563599.780000001</v>
      </c>
      <c r="BE492" s="141">
        <v>78323836.150000006</v>
      </c>
      <c r="BF492" s="141">
        <v>81341131.859999999</v>
      </c>
      <c r="BG492" s="141">
        <v>82551700.069999993</v>
      </c>
      <c r="BH492" s="141">
        <v>85834503.290000007</v>
      </c>
      <c r="BI492" s="141">
        <v>86962330.359999999</v>
      </c>
      <c r="BJ492" s="141">
        <v>87154589.140000001</v>
      </c>
      <c r="BK492" s="141">
        <v>87440477.590000004</v>
      </c>
      <c r="BL492" s="141">
        <v>88273015.560000002</v>
      </c>
      <c r="BM492" s="141">
        <v>88282985.359999999</v>
      </c>
      <c r="BN492" s="141">
        <v>88286236.540000007</v>
      </c>
      <c r="BU492" s="141">
        <v>88286236.540000007</v>
      </c>
    </row>
    <row r="493" spans="1:73" ht="14.4" x14ac:dyDescent="0.3">
      <c r="A493" s="160" t="s">
        <v>252</v>
      </c>
      <c r="B493" s="161">
        <v>2002</v>
      </c>
      <c r="C493" s="172">
        <v>7843376.4799999995</v>
      </c>
      <c r="D493" s="172">
        <v>14801874.249999993</v>
      </c>
      <c r="E493" s="172">
        <v>33464573.879999995</v>
      </c>
      <c r="F493" s="172">
        <v>64796678.099999994</v>
      </c>
      <c r="G493" s="172">
        <v>86302942.99000001</v>
      </c>
      <c r="H493" s="172">
        <v>101339416.42</v>
      </c>
      <c r="I493" s="172">
        <v>110641493.93999998</v>
      </c>
      <c r="J493" s="172">
        <v>105562334.23999998</v>
      </c>
      <c r="K493" s="172">
        <v>117506647.42000002</v>
      </c>
      <c r="L493" s="172">
        <v>117954514.57999998</v>
      </c>
      <c r="M493" s="172">
        <v>118481011.56999996</v>
      </c>
      <c r="N493" s="172">
        <v>117970913.59</v>
      </c>
      <c r="O493" s="172">
        <v>121255990.56</v>
      </c>
      <c r="P493" s="172">
        <v>123175832.91999999</v>
      </c>
      <c r="Q493" s="173"/>
      <c r="R493" s="173"/>
      <c r="S493" s="173"/>
      <c r="T493" s="173"/>
      <c r="U493" s="173"/>
      <c r="V493" s="173"/>
      <c r="W493" s="173"/>
      <c r="X493" s="161">
        <v>123175832.91999999</v>
      </c>
      <c r="Y493" s="145"/>
      <c r="Z493" s="145"/>
      <c r="AX493" s="141" t="s">
        <v>246</v>
      </c>
      <c r="AY493" s="141">
        <v>1999</v>
      </c>
      <c r="AZ493" s="141">
        <v>6192737.6900000004</v>
      </c>
      <c r="BA493" s="141">
        <v>25469464.5</v>
      </c>
      <c r="BB493" s="141">
        <v>47439008.060000002</v>
      </c>
      <c r="BC493" s="141">
        <v>59944223.240000002</v>
      </c>
      <c r="BD493" s="141">
        <v>66748321.439999998</v>
      </c>
      <c r="BE493" s="141">
        <v>72429082.840000004</v>
      </c>
      <c r="BF493" s="141">
        <v>74419803.359999999</v>
      </c>
      <c r="BG493" s="141">
        <v>74874617.599999994</v>
      </c>
      <c r="BH493" s="141">
        <v>75336795.060000002</v>
      </c>
      <c r="BI493" s="141">
        <v>75547148.129999995</v>
      </c>
      <c r="BJ493" s="141">
        <v>75720007.629999995</v>
      </c>
      <c r="BK493" s="141">
        <v>75810621.75</v>
      </c>
      <c r="BL493" s="141">
        <v>75928131.280000001</v>
      </c>
      <c r="BM493" s="141">
        <v>75977068.780000001</v>
      </c>
      <c r="BU493" s="141">
        <v>75977068.780000001</v>
      </c>
    </row>
    <row r="494" spans="1:73" ht="14.4" x14ac:dyDescent="0.3">
      <c r="A494" s="160" t="s">
        <v>252</v>
      </c>
      <c r="B494" s="161">
        <v>2003</v>
      </c>
      <c r="C494" s="172">
        <v>-3000653.01</v>
      </c>
      <c r="D494" s="172">
        <v>2899448.19</v>
      </c>
      <c r="E494" s="172">
        <v>10474563.530000001</v>
      </c>
      <c r="F494" s="172">
        <v>26013811.75</v>
      </c>
      <c r="G494" s="172">
        <v>8496229.1700000018</v>
      </c>
      <c r="H494" s="172">
        <v>16592631.699999988</v>
      </c>
      <c r="I494" s="172">
        <v>16571029.950000003</v>
      </c>
      <c r="J494" s="172">
        <v>16919814.20000001</v>
      </c>
      <c r="K494" s="172">
        <v>19395756.980000004</v>
      </c>
      <c r="L494" s="172">
        <v>31218257.640000001</v>
      </c>
      <c r="M494" s="172">
        <v>38746670.689999998</v>
      </c>
      <c r="N494" s="172">
        <v>38735091.76000002</v>
      </c>
      <c r="O494" s="172">
        <v>38732778.070000023</v>
      </c>
      <c r="P494" s="173"/>
      <c r="Q494" s="173"/>
      <c r="R494" s="173"/>
      <c r="S494" s="173"/>
      <c r="T494" s="173"/>
      <c r="U494" s="173"/>
      <c r="V494" s="173"/>
      <c r="W494" s="173"/>
      <c r="X494" s="161">
        <v>38732778.070000023</v>
      </c>
      <c r="Y494" s="145"/>
      <c r="Z494" s="145"/>
      <c r="AX494" s="141" t="s">
        <v>246</v>
      </c>
      <c r="AY494" s="141">
        <v>2000</v>
      </c>
      <c r="AZ494" s="141">
        <v>3174061.02</v>
      </c>
      <c r="BA494" s="141">
        <v>18688710.539999999</v>
      </c>
      <c r="BB494" s="141">
        <v>29899446.600000001</v>
      </c>
      <c r="BC494" s="141">
        <v>38618751.299999997</v>
      </c>
      <c r="BD494" s="141">
        <v>43467020.840000004</v>
      </c>
      <c r="BE494" s="141">
        <v>47085347.170000002</v>
      </c>
      <c r="BF494" s="141">
        <v>48081478.380000003</v>
      </c>
      <c r="BG494" s="141">
        <v>48587407.789999999</v>
      </c>
      <c r="BH494" s="141">
        <v>49771793.579999998</v>
      </c>
      <c r="BI494" s="141">
        <v>49846726.100000001</v>
      </c>
      <c r="BJ494" s="141">
        <v>49874303.840000004</v>
      </c>
      <c r="BK494" s="141">
        <v>50244878.030000001</v>
      </c>
      <c r="BL494" s="141">
        <v>51072327.43</v>
      </c>
      <c r="BU494" s="141">
        <v>51072327.43</v>
      </c>
    </row>
    <row r="495" spans="1:73" ht="14.4" x14ac:dyDescent="0.3">
      <c r="A495" s="160" t="s">
        <v>252</v>
      </c>
      <c r="B495" s="161">
        <v>2004</v>
      </c>
      <c r="C495" s="172">
        <v>266985.08</v>
      </c>
      <c r="D495" s="172">
        <v>5465419.0899999999</v>
      </c>
      <c r="E495" s="172">
        <v>16874736.990000002</v>
      </c>
      <c r="F495" s="172">
        <v>38474597.36999999</v>
      </c>
      <c r="G495" s="172">
        <v>39303974.529999994</v>
      </c>
      <c r="H495" s="172">
        <v>44240838.330000006</v>
      </c>
      <c r="I495" s="172">
        <v>49553224.229999997</v>
      </c>
      <c r="J495" s="172">
        <v>52176254.57</v>
      </c>
      <c r="K495" s="172">
        <v>52203814.310000002</v>
      </c>
      <c r="L495" s="172">
        <v>52190479.969999991</v>
      </c>
      <c r="M495" s="172">
        <v>56869622.919999994</v>
      </c>
      <c r="N495" s="172">
        <v>56869622.919999994</v>
      </c>
      <c r="O495" s="173"/>
      <c r="P495" s="173"/>
      <c r="Q495" s="173"/>
      <c r="R495" s="173"/>
      <c r="S495" s="173"/>
      <c r="T495" s="173"/>
      <c r="U495" s="173"/>
      <c r="V495" s="173"/>
      <c r="W495" s="173"/>
      <c r="X495" s="161">
        <v>56869622.919999994</v>
      </c>
      <c r="Y495" s="145"/>
      <c r="Z495" s="145"/>
      <c r="AX495" s="141" t="s">
        <v>246</v>
      </c>
      <c r="AY495" s="141">
        <v>2001</v>
      </c>
      <c r="AZ495" s="141">
        <v>3331657.38</v>
      </c>
      <c r="BA495" s="141">
        <v>15667916.310000001</v>
      </c>
      <c r="BB495" s="141">
        <v>23696577.41</v>
      </c>
      <c r="BC495" s="141">
        <v>28455214.27</v>
      </c>
      <c r="BD495" s="141">
        <v>32080990.789999999</v>
      </c>
      <c r="BE495" s="141">
        <v>34566548.539999999</v>
      </c>
      <c r="BF495" s="141">
        <v>35443659.759999998</v>
      </c>
      <c r="BG495" s="141">
        <v>35862218.909999996</v>
      </c>
      <c r="BH495" s="141">
        <v>36167116.909999996</v>
      </c>
      <c r="BI495" s="141">
        <v>36268921.140000001</v>
      </c>
      <c r="BJ495" s="141">
        <v>37510547.140000001</v>
      </c>
      <c r="BK495" s="141">
        <v>37586655.259999998</v>
      </c>
      <c r="BU495" s="141">
        <v>37586655.259999998</v>
      </c>
    </row>
    <row r="496" spans="1:73" ht="14.4" x14ac:dyDescent="0.3">
      <c r="A496" s="160" t="s">
        <v>252</v>
      </c>
      <c r="B496" s="161">
        <v>2005</v>
      </c>
      <c r="C496" s="172">
        <v>1672.66</v>
      </c>
      <c r="D496" s="172">
        <v>1241084.1700000002</v>
      </c>
      <c r="E496" s="172">
        <v>6775105.2399999993</v>
      </c>
      <c r="F496" s="172">
        <v>9771635.540000001</v>
      </c>
      <c r="G496" s="172">
        <v>13928565.780000001</v>
      </c>
      <c r="H496" s="172">
        <v>16842743.689999998</v>
      </c>
      <c r="I496" s="172">
        <v>21733414.329999998</v>
      </c>
      <c r="J496" s="172">
        <v>22359113.710000001</v>
      </c>
      <c r="K496" s="172">
        <v>23600850.840000004</v>
      </c>
      <c r="L496" s="172">
        <v>23600850.840000004</v>
      </c>
      <c r="M496" s="172">
        <v>23690406.879999999</v>
      </c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61">
        <v>23690406.879999999</v>
      </c>
      <c r="Y496" s="145"/>
      <c r="Z496" s="145"/>
      <c r="AX496" s="141" t="s">
        <v>246</v>
      </c>
      <c r="AY496" s="141">
        <v>2002</v>
      </c>
      <c r="AZ496" s="141">
        <v>6791623.3099999996</v>
      </c>
      <c r="BA496" s="141">
        <v>23579072.829999998</v>
      </c>
      <c r="BB496" s="141">
        <v>42641730.32</v>
      </c>
      <c r="BC496" s="141">
        <v>58005341.670000002</v>
      </c>
      <c r="BD496" s="141">
        <v>67247585.159999996</v>
      </c>
      <c r="BE496" s="141">
        <v>72556512.980000004</v>
      </c>
      <c r="BF496" s="141">
        <v>74897449.609999999</v>
      </c>
      <c r="BG496" s="141">
        <v>76323343.859999999</v>
      </c>
      <c r="BH496" s="141">
        <v>83116510.769999996</v>
      </c>
      <c r="BI496" s="141">
        <v>84049593.469999999</v>
      </c>
      <c r="BJ496" s="141">
        <v>84815333.319999993</v>
      </c>
      <c r="BU496" s="141">
        <v>84815333.319999993</v>
      </c>
    </row>
    <row r="497" spans="1:73" ht="14.4" x14ac:dyDescent="0.3">
      <c r="A497" s="160" t="s">
        <v>252</v>
      </c>
      <c r="B497" s="161">
        <v>2006</v>
      </c>
      <c r="C497" s="172">
        <v>-2084.3000000000002</v>
      </c>
      <c r="D497" s="172">
        <v>7936440.7400000002</v>
      </c>
      <c r="E497" s="172">
        <v>38068219.07</v>
      </c>
      <c r="F497" s="172">
        <v>46604370.939999998</v>
      </c>
      <c r="G497" s="172">
        <v>48320947.030000001</v>
      </c>
      <c r="H497" s="172">
        <v>45309504.079999998</v>
      </c>
      <c r="I497" s="172">
        <v>48906434.060000002</v>
      </c>
      <c r="J497" s="172">
        <v>50380060.219999999</v>
      </c>
      <c r="K497" s="172">
        <v>50465772.479999997</v>
      </c>
      <c r="L497" s="172">
        <v>60261856.439999998</v>
      </c>
      <c r="M497" s="173"/>
      <c r="N497" s="173"/>
      <c r="O497" s="173"/>
      <c r="P497" s="173"/>
      <c r="Q497" s="173"/>
      <c r="R497" s="173"/>
      <c r="S497" s="173"/>
      <c r="T497" s="173"/>
      <c r="U497" s="173"/>
      <c r="V497" s="173"/>
      <c r="W497" s="173"/>
      <c r="X497" s="161">
        <v>60261856.439999998</v>
      </c>
      <c r="Y497" s="145"/>
      <c r="Z497" s="145"/>
      <c r="AX497" s="141" t="s">
        <v>246</v>
      </c>
      <c r="AY497" s="141">
        <v>2003</v>
      </c>
      <c r="AZ497" s="141">
        <v>10283263.300000001</v>
      </c>
      <c r="BA497" s="141">
        <v>34102409.149999999</v>
      </c>
      <c r="BB497" s="141">
        <v>52650715.619999997</v>
      </c>
      <c r="BC497" s="141">
        <v>73627054.719999999</v>
      </c>
      <c r="BD497" s="141">
        <v>81926844.040000007</v>
      </c>
      <c r="BE497" s="141">
        <v>85996618.319999993</v>
      </c>
      <c r="BF497" s="141">
        <v>90782863.299999997</v>
      </c>
      <c r="BG497" s="141">
        <v>95756012.599999994</v>
      </c>
      <c r="BH497" s="141">
        <v>98184133.939999998</v>
      </c>
      <c r="BI497" s="141">
        <v>98422304.189999998</v>
      </c>
      <c r="BU497" s="141">
        <v>98422304.189999998</v>
      </c>
    </row>
    <row r="498" spans="1:73" ht="14.4" x14ac:dyDescent="0.3">
      <c r="A498" s="160" t="s">
        <v>252</v>
      </c>
      <c r="B498" s="161">
        <v>2007</v>
      </c>
      <c r="C498" s="172">
        <v>370824.27999999997</v>
      </c>
      <c r="D498" s="172">
        <v>4380765.12</v>
      </c>
      <c r="E498" s="172">
        <v>17739981.350000001</v>
      </c>
      <c r="F498" s="172">
        <v>24860528.57</v>
      </c>
      <c r="G498" s="172">
        <v>30891995.590000004</v>
      </c>
      <c r="H498" s="172">
        <v>33293022.809999999</v>
      </c>
      <c r="I498" s="172">
        <v>37279423.090000004</v>
      </c>
      <c r="J498" s="172">
        <v>41597984.340000004</v>
      </c>
      <c r="K498" s="172">
        <v>44118776.160000004</v>
      </c>
      <c r="L498" s="173"/>
      <c r="M498" s="173"/>
      <c r="N498" s="173"/>
      <c r="O498" s="173"/>
      <c r="P498" s="173"/>
      <c r="Q498" s="173"/>
      <c r="R498" s="173"/>
      <c r="S498" s="173"/>
      <c r="T498" s="173"/>
      <c r="U498" s="173"/>
      <c r="V498" s="173"/>
      <c r="W498" s="173"/>
      <c r="X498" s="161">
        <v>44118776.160000004</v>
      </c>
      <c r="Y498" s="145"/>
      <c r="Z498" s="145"/>
      <c r="AX498" s="141" t="s">
        <v>246</v>
      </c>
      <c r="AY498" s="141">
        <v>2004</v>
      </c>
      <c r="AZ498" s="141">
        <v>5467504.8700000001</v>
      </c>
      <c r="BA498" s="141">
        <v>32160021.719999999</v>
      </c>
      <c r="BB498" s="141">
        <v>57775739.329999998</v>
      </c>
      <c r="BC498" s="141">
        <v>74642922.370000005</v>
      </c>
      <c r="BD498" s="141">
        <v>83862371.170000002</v>
      </c>
      <c r="BE498" s="141">
        <v>90332646.200000003</v>
      </c>
      <c r="BF498" s="141">
        <v>96861347.730000004</v>
      </c>
      <c r="BG498" s="141">
        <v>99609735.989999995</v>
      </c>
      <c r="BH498" s="141">
        <v>102203003.41</v>
      </c>
      <c r="BU498" s="141">
        <v>102203003.41</v>
      </c>
    </row>
    <row r="499" spans="1:73" ht="14.4" x14ac:dyDescent="0.3">
      <c r="A499" s="160" t="s">
        <v>252</v>
      </c>
      <c r="B499" s="161">
        <v>2008</v>
      </c>
      <c r="C499" s="172">
        <v>301775.81</v>
      </c>
      <c r="D499" s="172">
        <v>6811400.9500000002</v>
      </c>
      <c r="E499" s="172">
        <v>63930933.549999997</v>
      </c>
      <c r="F499" s="172">
        <v>89487919.170000002</v>
      </c>
      <c r="G499" s="172">
        <v>111152965.36</v>
      </c>
      <c r="H499" s="172">
        <v>111643488.82000001</v>
      </c>
      <c r="I499" s="172">
        <v>123950251.22000001</v>
      </c>
      <c r="J499" s="172">
        <v>141090392.09</v>
      </c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61">
        <v>141090392.09</v>
      </c>
      <c r="Y499" s="145"/>
      <c r="Z499" s="145"/>
      <c r="AX499" s="141" t="s">
        <v>246</v>
      </c>
      <c r="AY499" s="141">
        <v>2005</v>
      </c>
      <c r="AZ499" s="141">
        <v>5464965.3799999999</v>
      </c>
      <c r="BA499" s="141">
        <v>27445693.699999999</v>
      </c>
      <c r="BB499" s="141">
        <v>52082341.18</v>
      </c>
      <c r="BC499" s="141">
        <v>74366265.629999995</v>
      </c>
      <c r="BD499" s="141">
        <v>87302830.319999993</v>
      </c>
      <c r="BE499" s="141">
        <v>99167974.459999993</v>
      </c>
      <c r="BF499" s="141">
        <v>107188089.11</v>
      </c>
      <c r="BG499" s="141">
        <v>111663681.66</v>
      </c>
      <c r="BU499" s="141">
        <v>111663681.66</v>
      </c>
    </row>
    <row r="500" spans="1:73" ht="14.4" x14ac:dyDescent="0.3">
      <c r="A500" s="160" t="s">
        <v>252</v>
      </c>
      <c r="B500" s="161">
        <v>2009</v>
      </c>
      <c r="C500" s="172">
        <v>763277.46</v>
      </c>
      <c r="D500" s="172">
        <v>14038498.710000001</v>
      </c>
      <c r="E500" s="172">
        <v>29773261.940000001</v>
      </c>
      <c r="F500" s="172">
        <v>59642547.560000002</v>
      </c>
      <c r="G500" s="172">
        <v>70142021.950000003</v>
      </c>
      <c r="H500" s="172">
        <v>75291768.030000001</v>
      </c>
      <c r="I500" s="172">
        <v>81864163.530000001</v>
      </c>
      <c r="J500" s="173"/>
      <c r="K500" s="173"/>
      <c r="L500" s="173"/>
      <c r="M500" s="173"/>
      <c r="N500" s="173"/>
      <c r="O500" s="173"/>
      <c r="P500" s="173"/>
      <c r="Q500" s="173"/>
      <c r="R500" s="173"/>
      <c r="S500" s="173"/>
      <c r="T500" s="173"/>
      <c r="U500" s="173"/>
      <c r="V500" s="173"/>
      <c r="W500" s="173"/>
      <c r="X500" s="161">
        <v>81864163.530000001</v>
      </c>
      <c r="Y500" s="145"/>
      <c r="Z500" s="145"/>
      <c r="AX500" s="141" t="s">
        <v>246</v>
      </c>
      <c r="AY500" s="141">
        <v>2006</v>
      </c>
      <c r="AZ500" s="141">
        <v>8319521.4000000004</v>
      </c>
      <c r="BA500" s="141">
        <v>32558221.079999998</v>
      </c>
      <c r="BB500" s="141">
        <v>57679793.280000001</v>
      </c>
      <c r="BC500" s="141">
        <v>81510821.400000006</v>
      </c>
      <c r="BD500" s="141">
        <v>96691481.239999995</v>
      </c>
      <c r="BE500" s="141">
        <v>102868759.61</v>
      </c>
      <c r="BF500" s="141">
        <v>106176994.06999999</v>
      </c>
      <c r="BU500" s="141">
        <v>106176994.06999999</v>
      </c>
    </row>
    <row r="501" spans="1:73" ht="14.4" x14ac:dyDescent="0.3">
      <c r="A501" s="160" t="s">
        <v>252</v>
      </c>
      <c r="B501" s="161">
        <v>2010</v>
      </c>
      <c r="C501" s="172">
        <v>262584.08</v>
      </c>
      <c r="D501" s="172">
        <v>7763835.0700000003</v>
      </c>
      <c r="E501" s="172">
        <v>52744144.580000006</v>
      </c>
      <c r="F501" s="172">
        <v>66952586.969999999</v>
      </c>
      <c r="G501" s="172">
        <v>85145553.090000004</v>
      </c>
      <c r="H501" s="172">
        <v>86894798.900000006</v>
      </c>
      <c r="I501" s="173"/>
      <c r="J501" s="173"/>
      <c r="K501" s="173"/>
      <c r="L501" s="173"/>
      <c r="M501" s="173"/>
      <c r="N501" s="173"/>
      <c r="O501" s="173"/>
      <c r="P501" s="173"/>
      <c r="Q501" s="173"/>
      <c r="R501" s="173"/>
      <c r="S501" s="173"/>
      <c r="T501" s="173"/>
      <c r="U501" s="173"/>
      <c r="V501" s="173"/>
      <c r="W501" s="173"/>
      <c r="X501" s="161">
        <v>86894798.900000006</v>
      </c>
      <c r="Y501" s="145"/>
      <c r="Z501" s="145"/>
      <c r="AX501" s="141" t="s">
        <v>246</v>
      </c>
      <c r="AY501" s="141">
        <v>2007</v>
      </c>
      <c r="AZ501" s="141">
        <v>10027464.050000001</v>
      </c>
      <c r="BA501" s="141">
        <v>39305269.43</v>
      </c>
      <c r="BB501" s="141">
        <v>64406533.240000002</v>
      </c>
      <c r="BC501" s="141">
        <v>86302769.409999996</v>
      </c>
      <c r="BD501" s="141">
        <v>96848142.510000005</v>
      </c>
      <c r="BE501" s="141">
        <v>104236786.59999999</v>
      </c>
      <c r="BU501" s="141">
        <v>104236786.59999999</v>
      </c>
    </row>
    <row r="502" spans="1:73" ht="14.4" x14ac:dyDescent="0.3">
      <c r="A502" s="160" t="s">
        <v>252</v>
      </c>
      <c r="B502" s="161">
        <v>2011</v>
      </c>
      <c r="C502" s="172">
        <v>5670048.3099999996</v>
      </c>
      <c r="D502" s="172">
        <v>54923606.350000001</v>
      </c>
      <c r="E502" s="172">
        <v>92393204.770000011</v>
      </c>
      <c r="F502" s="172">
        <v>103243671.90000001</v>
      </c>
      <c r="G502" s="172">
        <v>110593685.14</v>
      </c>
      <c r="H502" s="173"/>
      <c r="I502" s="173"/>
      <c r="J502" s="173"/>
      <c r="K502" s="173"/>
      <c r="L502" s="173"/>
      <c r="M502" s="173"/>
      <c r="N502" s="173"/>
      <c r="O502" s="173"/>
      <c r="P502" s="173"/>
      <c r="Q502" s="173"/>
      <c r="R502" s="173"/>
      <c r="S502" s="173"/>
      <c r="T502" s="173"/>
      <c r="U502" s="173"/>
      <c r="V502" s="173"/>
      <c r="W502" s="173"/>
      <c r="X502" s="161">
        <v>110593685.14</v>
      </c>
      <c r="Y502" s="145"/>
      <c r="Z502" s="145"/>
      <c r="AX502" s="141" t="s">
        <v>246</v>
      </c>
      <c r="AY502" s="141">
        <v>2008</v>
      </c>
      <c r="AZ502" s="141">
        <v>9650047.8300000001</v>
      </c>
      <c r="BA502" s="141">
        <v>44102377.719999999</v>
      </c>
      <c r="BB502" s="141">
        <v>76264519.290000007</v>
      </c>
      <c r="BC502" s="141">
        <v>99750026.090000004</v>
      </c>
      <c r="BD502" s="141">
        <v>110613173.3</v>
      </c>
      <c r="BU502" s="141">
        <v>110613173.3</v>
      </c>
    </row>
    <row r="503" spans="1:73" ht="14.4" x14ac:dyDescent="0.3">
      <c r="A503" s="160" t="s">
        <v>252</v>
      </c>
      <c r="B503" s="161">
        <v>2012</v>
      </c>
      <c r="C503" s="172">
        <v>10072223.74</v>
      </c>
      <c r="D503" s="172">
        <v>26296990.740000002</v>
      </c>
      <c r="E503" s="172">
        <v>38753347.399999999</v>
      </c>
      <c r="F503" s="172">
        <v>79266045.450000003</v>
      </c>
      <c r="G503" s="173"/>
      <c r="H503" s="173"/>
      <c r="I503" s="173"/>
      <c r="J503" s="173"/>
      <c r="K503" s="173"/>
      <c r="L503" s="173"/>
      <c r="M503" s="173"/>
      <c r="N503" s="173"/>
      <c r="O503" s="173"/>
      <c r="P503" s="173"/>
      <c r="Q503" s="173"/>
      <c r="R503" s="173"/>
      <c r="S503" s="173"/>
      <c r="T503" s="173"/>
      <c r="U503" s="173"/>
      <c r="V503" s="173"/>
      <c r="W503" s="173"/>
      <c r="X503" s="161">
        <v>79266045.450000003</v>
      </c>
      <c r="Y503" s="145"/>
      <c r="Z503" s="145"/>
      <c r="AX503" s="141" t="s">
        <v>246</v>
      </c>
      <c r="AY503" s="141">
        <v>2009</v>
      </c>
      <c r="AZ503" s="141">
        <v>12610810.390000001</v>
      </c>
      <c r="BA503" s="141">
        <v>54114208.240000002</v>
      </c>
      <c r="BB503" s="141">
        <v>89661697.620000005</v>
      </c>
      <c r="BC503" s="141">
        <v>125721842.42</v>
      </c>
      <c r="BU503" s="141">
        <v>125721842.42</v>
      </c>
    </row>
    <row r="504" spans="1:73" ht="14.4" x14ac:dyDescent="0.3">
      <c r="A504" s="160" t="s">
        <v>252</v>
      </c>
      <c r="B504" s="161">
        <v>2013</v>
      </c>
      <c r="C504" s="172">
        <v>8044009.6900000004</v>
      </c>
      <c r="D504" s="172">
        <v>51050910.079999998</v>
      </c>
      <c r="E504" s="172">
        <v>106544563.19000001</v>
      </c>
      <c r="F504" s="173"/>
      <c r="G504" s="173"/>
      <c r="H504" s="173"/>
      <c r="I504" s="173"/>
      <c r="J504" s="173"/>
      <c r="K504" s="173"/>
      <c r="L504" s="173"/>
      <c r="M504" s="173"/>
      <c r="N504" s="173"/>
      <c r="O504" s="173"/>
      <c r="P504" s="173"/>
      <c r="Q504" s="173"/>
      <c r="R504" s="173"/>
      <c r="S504" s="173"/>
      <c r="T504" s="173"/>
      <c r="U504" s="173"/>
      <c r="V504" s="173"/>
      <c r="W504" s="173"/>
      <c r="X504" s="161">
        <v>106544563.19000001</v>
      </c>
      <c r="Y504" s="145"/>
      <c r="Z504" s="145"/>
      <c r="AX504" s="141" t="s">
        <v>246</v>
      </c>
      <c r="AY504" s="141">
        <v>2010</v>
      </c>
      <c r="AZ504" s="141">
        <v>10471475.880000001</v>
      </c>
      <c r="BA504" s="141">
        <v>54148293.18</v>
      </c>
      <c r="BB504" s="141">
        <v>97922491.819999993</v>
      </c>
      <c r="BU504" s="141">
        <v>97922491.819999993</v>
      </c>
    </row>
    <row r="505" spans="1:73" ht="14.4" x14ac:dyDescent="0.3">
      <c r="A505" s="160" t="s">
        <v>252</v>
      </c>
      <c r="B505" s="161">
        <v>2014</v>
      </c>
      <c r="C505" s="172">
        <v>4194626.55</v>
      </c>
      <c r="D505" s="172">
        <v>20650871.219999999</v>
      </c>
      <c r="E505" s="173"/>
      <c r="F505" s="173"/>
      <c r="G505" s="173"/>
      <c r="H505" s="173"/>
      <c r="I505" s="173"/>
      <c r="J505" s="173"/>
      <c r="K505" s="173"/>
      <c r="L505" s="173"/>
      <c r="M505" s="173"/>
      <c r="N505" s="173"/>
      <c r="O505" s="173"/>
      <c r="P505" s="173"/>
      <c r="Q505" s="173"/>
      <c r="R505" s="173"/>
      <c r="S505" s="173"/>
      <c r="T505" s="173"/>
      <c r="U505" s="173"/>
      <c r="V505" s="173"/>
      <c r="W505" s="173"/>
      <c r="X505" s="161">
        <v>20650871.219999999</v>
      </c>
      <c r="Y505" s="145"/>
      <c r="Z505" s="145"/>
      <c r="AX505" s="141" t="s">
        <v>246</v>
      </c>
      <c r="AY505" s="141">
        <v>2011</v>
      </c>
      <c r="AZ505" s="141">
        <v>14713587.800000001</v>
      </c>
      <c r="BA505" s="141">
        <v>59724937.380000003</v>
      </c>
      <c r="BU505" s="141">
        <v>59724937.380000003</v>
      </c>
    </row>
    <row r="506" spans="1:73" ht="14.4" x14ac:dyDescent="0.3">
      <c r="A506" s="160" t="s">
        <v>252</v>
      </c>
      <c r="B506" s="161">
        <v>2015</v>
      </c>
      <c r="C506" s="172">
        <v>2412653.6</v>
      </c>
      <c r="D506" s="173"/>
      <c r="E506" s="173"/>
      <c r="F506" s="173"/>
      <c r="G506" s="173"/>
      <c r="H506" s="173"/>
      <c r="I506" s="173"/>
      <c r="J506" s="173"/>
      <c r="K506" s="173"/>
      <c r="L506" s="173"/>
      <c r="M506" s="173"/>
      <c r="N506" s="173"/>
      <c r="O506" s="173"/>
      <c r="P506" s="173"/>
      <c r="Q506" s="173"/>
      <c r="R506" s="173"/>
      <c r="S506" s="173"/>
      <c r="T506" s="173"/>
      <c r="U506" s="173"/>
      <c r="V506" s="173"/>
      <c r="W506" s="173"/>
      <c r="X506" s="161">
        <v>2412653.6</v>
      </c>
      <c r="Y506" s="145"/>
      <c r="Z506" s="145"/>
      <c r="AX506" s="141" t="s">
        <v>246</v>
      </c>
      <c r="AY506" s="141">
        <v>2012</v>
      </c>
      <c r="AZ506" s="141">
        <v>14059695.32</v>
      </c>
      <c r="BU506" s="141">
        <v>14059695.32</v>
      </c>
    </row>
    <row r="507" spans="1:73" ht="14.4" x14ac:dyDescent="0.3">
      <c r="A507" s="160" t="s">
        <v>44</v>
      </c>
      <c r="B507" s="161">
        <v>1995</v>
      </c>
      <c r="C507" s="161">
        <v>107661.55</v>
      </c>
      <c r="D507" s="161">
        <v>3872074.15</v>
      </c>
      <c r="E507" s="161">
        <v>6300999.9800000004</v>
      </c>
      <c r="F507" s="161">
        <v>6331183.0900000008</v>
      </c>
      <c r="G507" s="161">
        <v>7621726.6100000003</v>
      </c>
      <c r="H507" s="161">
        <v>7810849.3100000005</v>
      </c>
      <c r="I507" s="161">
        <v>7831317.8000000007</v>
      </c>
      <c r="J507" s="161">
        <v>7840046.6400000006</v>
      </c>
      <c r="K507" s="161">
        <v>7839380.0199999996</v>
      </c>
      <c r="L507" s="161">
        <v>7839380.0199999996</v>
      </c>
      <c r="M507" s="161">
        <v>7839620.9000000004</v>
      </c>
      <c r="N507" s="161">
        <v>7945510.2299999995</v>
      </c>
      <c r="O507" s="161">
        <v>7945510.2299999995</v>
      </c>
      <c r="P507" s="161">
        <v>7945613.3300000001</v>
      </c>
      <c r="Q507" s="161">
        <v>7945445.7599999998</v>
      </c>
      <c r="R507" s="161">
        <v>7945445.7599999998</v>
      </c>
      <c r="S507" s="161">
        <v>7945445.7599999998</v>
      </c>
      <c r="T507" s="161">
        <v>7945445.7599999998</v>
      </c>
      <c r="U507" s="161">
        <v>7945445.7599999998</v>
      </c>
      <c r="V507" s="161">
        <v>7945445.7599999998</v>
      </c>
      <c r="W507" s="161">
        <v>7945445.7599999998</v>
      </c>
      <c r="X507" s="161">
        <v>7945445.7599999998</v>
      </c>
      <c r="Y507" s="145"/>
      <c r="Z507" s="145"/>
      <c r="AX507" s="141" t="s">
        <v>247</v>
      </c>
      <c r="AY507" s="141">
        <v>1992</v>
      </c>
      <c r="AZ507" s="141">
        <v>0</v>
      </c>
      <c r="BA507" s="141">
        <v>0</v>
      </c>
      <c r="BB507" s="141">
        <v>-246781.3</v>
      </c>
      <c r="BC507" s="141">
        <v>-246781.3</v>
      </c>
      <c r="BD507" s="141">
        <v>-246781.3</v>
      </c>
      <c r="BE507" s="141">
        <v>-226552.13</v>
      </c>
      <c r="BF507" s="141">
        <v>-226552.13</v>
      </c>
      <c r="BG507" s="141">
        <v>-226552.13</v>
      </c>
      <c r="BH507" s="141">
        <v>-226552.13</v>
      </c>
      <c r="BI507" s="141">
        <v>-226552.13</v>
      </c>
      <c r="BJ507" s="141">
        <v>-226552.13</v>
      </c>
      <c r="BK507" s="141">
        <v>-226552.13</v>
      </c>
      <c r="BL507" s="141">
        <v>-226552.13</v>
      </c>
      <c r="BM507" s="141">
        <v>-226552.13</v>
      </c>
      <c r="BN507" s="141">
        <v>-226552.13</v>
      </c>
      <c r="BO507" s="141">
        <v>-226552.13</v>
      </c>
      <c r="BP507" s="141">
        <v>-226552.13</v>
      </c>
      <c r="BQ507" s="141">
        <v>-226552.13</v>
      </c>
      <c r="BR507" s="141">
        <v>-226552.13</v>
      </c>
      <c r="BS507" s="141">
        <v>-226552.13</v>
      </c>
      <c r="BT507" s="141">
        <v>-226552.13</v>
      </c>
      <c r="BU507" s="141">
        <v>-226552.13</v>
      </c>
    </row>
    <row r="508" spans="1:73" ht="14.4" x14ac:dyDescent="0.3">
      <c r="A508" s="160" t="s">
        <v>44</v>
      </c>
      <c r="B508" s="161">
        <v>1996</v>
      </c>
      <c r="C508" s="161">
        <v>719136.95</v>
      </c>
      <c r="D508" s="161">
        <v>3794505.64</v>
      </c>
      <c r="E508" s="161">
        <v>7247691.4899999993</v>
      </c>
      <c r="F508" s="161">
        <v>7719492.8200000003</v>
      </c>
      <c r="G508" s="161">
        <v>8154204.0599999987</v>
      </c>
      <c r="H508" s="161">
        <v>8297042.8100000005</v>
      </c>
      <c r="I508" s="161">
        <v>8338931.3099999987</v>
      </c>
      <c r="J508" s="161">
        <v>8346083.040000001</v>
      </c>
      <c r="K508" s="161">
        <v>8380884.9600000009</v>
      </c>
      <c r="L508" s="161">
        <v>8381082.6200000001</v>
      </c>
      <c r="M508" s="161">
        <v>8389062.4299999997</v>
      </c>
      <c r="N508" s="161">
        <v>8389623.3900000006</v>
      </c>
      <c r="O508" s="161">
        <v>8421157.6899999995</v>
      </c>
      <c r="P508" s="161">
        <v>8420150.6900000013</v>
      </c>
      <c r="Q508" s="161">
        <v>8419917.6899999995</v>
      </c>
      <c r="R508" s="161">
        <v>8419720.9199999999</v>
      </c>
      <c r="S508" s="161">
        <v>8419522.4299999997</v>
      </c>
      <c r="T508" s="161">
        <v>8419237.6600000001</v>
      </c>
      <c r="U508" s="161">
        <v>8419090.9400000013</v>
      </c>
      <c r="V508" s="161">
        <v>8418978.7599999998</v>
      </c>
      <c r="W508" s="149"/>
      <c r="X508" s="161">
        <v>8418978.7599999998</v>
      </c>
      <c r="Y508" s="145"/>
      <c r="Z508" s="145"/>
      <c r="AX508" s="141" t="s">
        <v>247</v>
      </c>
      <c r="AY508" s="141">
        <v>1993</v>
      </c>
      <c r="AZ508" s="141">
        <v>0</v>
      </c>
      <c r="BA508" s="141">
        <v>0</v>
      </c>
      <c r="BB508" s="141">
        <v>0</v>
      </c>
      <c r="BC508" s="141">
        <v>0</v>
      </c>
      <c r="BD508" s="141">
        <v>0</v>
      </c>
      <c r="BE508" s="141">
        <v>0</v>
      </c>
      <c r="BF508" s="141">
        <v>0</v>
      </c>
      <c r="BG508" s="141">
        <v>0</v>
      </c>
      <c r="BH508" s="141">
        <v>0</v>
      </c>
      <c r="BI508" s="141">
        <v>0</v>
      </c>
      <c r="BJ508" s="141">
        <v>0</v>
      </c>
      <c r="BK508" s="141">
        <v>0</v>
      </c>
      <c r="BL508" s="141">
        <v>0</v>
      </c>
      <c r="BM508" s="141">
        <v>0</v>
      </c>
      <c r="BN508" s="141">
        <v>0</v>
      </c>
      <c r="BO508" s="141">
        <v>0</v>
      </c>
      <c r="BP508" s="141">
        <v>0</v>
      </c>
      <c r="BQ508" s="141">
        <v>0</v>
      </c>
      <c r="BR508" s="141">
        <v>0</v>
      </c>
      <c r="BS508" s="141">
        <v>0</v>
      </c>
      <c r="BU508" s="141">
        <v>0</v>
      </c>
    </row>
    <row r="509" spans="1:73" ht="14.4" x14ac:dyDescent="0.3">
      <c r="A509" s="160" t="s">
        <v>44</v>
      </c>
      <c r="B509" s="161">
        <v>1997</v>
      </c>
      <c r="C509" s="161">
        <v>720772.55</v>
      </c>
      <c r="D509" s="161">
        <v>3877173.3600000003</v>
      </c>
      <c r="E509" s="161">
        <v>7120139.4600000009</v>
      </c>
      <c r="F509" s="161">
        <v>10316668.41</v>
      </c>
      <c r="G509" s="161">
        <v>10462267.4</v>
      </c>
      <c r="H509" s="161">
        <v>10859082.510000002</v>
      </c>
      <c r="I509" s="161">
        <v>10864769.66</v>
      </c>
      <c r="J509" s="161">
        <v>10764494.549999999</v>
      </c>
      <c r="K509" s="161">
        <v>10717450.109999999</v>
      </c>
      <c r="L509" s="161">
        <v>10717351.07</v>
      </c>
      <c r="M509" s="161">
        <v>10701439.859999999</v>
      </c>
      <c r="N509" s="161">
        <v>10698702.260000002</v>
      </c>
      <c r="O509" s="161">
        <v>10698702.260000002</v>
      </c>
      <c r="P509" s="161">
        <v>10698702.260000002</v>
      </c>
      <c r="Q509" s="161">
        <v>10698702.260000002</v>
      </c>
      <c r="R509" s="161">
        <v>10698702.260000002</v>
      </c>
      <c r="S509" s="161">
        <v>10698702.24</v>
      </c>
      <c r="T509" s="161">
        <v>10698702.24</v>
      </c>
      <c r="U509" s="161">
        <v>10698702.24</v>
      </c>
      <c r="V509" s="149"/>
      <c r="W509" s="149"/>
      <c r="X509" s="161">
        <v>10698702.24</v>
      </c>
      <c r="Y509" s="145"/>
      <c r="Z509" s="145"/>
      <c r="AX509" s="141" t="s">
        <v>247</v>
      </c>
      <c r="AY509" s="141">
        <v>1994</v>
      </c>
      <c r="AZ509" s="141">
        <v>0</v>
      </c>
      <c r="BA509" s="141">
        <v>0</v>
      </c>
      <c r="BB509" s="141">
        <v>0</v>
      </c>
      <c r="BC509" s="141">
        <v>0</v>
      </c>
      <c r="BD509" s="141">
        <v>0</v>
      </c>
      <c r="BE509" s="141">
        <v>0</v>
      </c>
      <c r="BF509" s="141">
        <v>0</v>
      </c>
      <c r="BG509" s="141">
        <v>0</v>
      </c>
      <c r="BH509" s="141">
        <v>0</v>
      </c>
      <c r="BI509" s="141">
        <v>0</v>
      </c>
      <c r="BJ509" s="141">
        <v>0</v>
      </c>
      <c r="BK509" s="141">
        <v>0</v>
      </c>
      <c r="BL509" s="141">
        <v>0</v>
      </c>
      <c r="BM509" s="141">
        <v>0</v>
      </c>
      <c r="BN509" s="141">
        <v>0</v>
      </c>
      <c r="BO509" s="141">
        <v>0</v>
      </c>
      <c r="BP509" s="141">
        <v>0</v>
      </c>
      <c r="BQ509" s="141">
        <v>0</v>
      </c>
      <c r="BR509" s="141">
        <v>0</v>
      </c>
      <c r="BU509" s="141">
        <v>0</v>
      </c>
    </row>
    <row r="510" spans="1:73" ht="14.4" x14ac:dyDescent="0.3">
      <c r="A510" s="160" t="s">
        <v>44</v>
      </c>
      <c r="B510" s="161">
        <v>1998</v>
      </c>
      <c r="C510" s="161">
        <v>1775341.2400000002</v>
      </c>
      <c r="D510" s="161">
        <v>8021455.9100000001</v>
      </c>
      <c r="E510" s="161">
        <v>15181785.640000001</v>
      </c>
      <c r="F510" s="161">
        <v>16581779.940000005</v>
      </c>
      <c r="G510" s="161">
        <v>17572799.779999997</v>
      </c>
      <c r="H510" s="161">
        <v>17453625.060000002</v>
      </c>
      <c r="I510" s="161">
        <v>18241180.029999997</v>
      </c>
      <c r="J510" s="161">
        <v>18173488.549999997</v>
      </c>
      <c r="K510" s="161">
        <v>18189995.240000002</v>
      </c>
      <c r="L510" s="161">
        <v>18188054.119999997</v>
      </c>
      <c r="M510" s="161">
        <v>18183696.710000001</v>
      </c>
      <c r="N510" s="161">
        <v>18177425.909999996</v>
      </c>
      <c r="O510" s="161">
        <v>18172451.729999997</v>
      </c>
      <c r="P510" s="161">
        <v>18162933.09</v>
      </c>
      <c r="Q510" s="161">
        <v>18154323.09</v>
      </c>
      <c r="R510" s="161">
        <v>18146893.07</v>
      </c>
      <c r="S510" s="161">
        <v>18138640.670000002</v>
      </c>
      <c r="T510" s="161">
        <v>18130630.670000002</v>
      </c>
      <c r="U510" s="149"/>
      <c r="V510" s="149"/>
      <c r="W510" s="149"/>
      <c r="X510" s="161">
        <v>18130630.670000002</v>
      </c>
      <c r="Y510" s="145"/>
      <c r="Z510" s="145"/>
      <c r="AX510" s="141" t="s">
        <v>247</v>
      </c>
      <c r="AY510" s="141">
        <v>1995</v>
      </c>
      <c r="AZ510" s="141">
        <v>0</v>
      </c>
      <c r="BA510" s="141">
        <v>0</v>
      </c>
      <c r="BB510" s="141">
        <v>0</v>
      </c>
      <c r="BC510" s="141">
        <v>0</v>
      </c>
      <c r="BD510" s="141">
        <v>0</v>
      </c>
      <c r="BE510" s="141">
        <v>1.44</v>
      </c>
      <c r="BF510" s="141">
        <v>1.44</v>
      </c>
      <c r="BG510" s="141">
        <v>1.44</v>
      </c>
      <c r="BH510" s="141">
        <v>1.44</v>
      </c>
      <c r="BI510" s="141">
        <v>1.44</v>
      </c>
      <c r="BJ510" s="141">
        <v>1.44</v>
      </c>
      <c r="BK510" s="141">
        <v>1.44</v>
      </c>
      <c r="BL510" s="141">
        <v>1.44</v>
      </c>
      <c r="BM510" s="141">
        <v>1.44</v>
      </c>
      <c r="BN510" s="141">
        <v>1.44</v>
      </c>
      <c r="BO510" s="141">
        <v>1.44</v>
      </c>
      <c r="BP510" s="141">
        <v>1.44</v>
      </c>
      <c r="BQ510" s="141">
        <v>1.44</v>
      </c>
      <c r="BU510" s="141">
        <v>1.44</v>
      </c>
    </row>
    <row r="511" spans="1:73" ht="14.4" x14ac:dyDescent="0.3">
      <c r="A511" s="160" t="s">
        <v>44</v>
      </c>
      <c r="B511" s="161">
        <v>1999</v>
      </c>
      <c r="C511" s="161">
        <v>1835056.69</v>
      </c>
      <c r="D511" s="161">
        <v>6302676.4699999997</v>
      </c>
      <c r="E511" s="161">
        <v>9716270.75</v>
      </c>
      <c r="F511" s="161">
        <v>10210840.120000001</v>
      </c>
      <c r="G511" s="161">
        <v>10674552.200000003</v>
      </c>
      <c r="H511" s="161">
        <v>10520686.219999999</v>
      </c>
      <c r="I511" s="161">
        <v>10611511.859999998</v>
      </c>
      <c r="J511" s="161">
        <v>10673876.42</v>
      </c>
      <c r="K511" s="161">
        <v>10721005.960000001</v>
      </c>
      <c r="L511" s="161">
        <v>10725843.66</v>
      </c>
      <c r="M511" s="161">
        <v>10986762.550000001</v>
      </c>
      <c r="N511" s="161">
        <v>10975613.940000001</v>
      </c>
      <c r="O511" s="161">
        <v>10969073.74</v>
      </c>
      <c r="P511" s="161">
        <v>10967711.800000003</v>
      </c>
      <c r="Q511" s="161">
        <v>10966531.450000001</v>
      </c>
      <c r="R511" s="161">
        <v>10965142.780000003</v>
      </c>
      <c r="S511" s="161">
        <v>10963962.410000002</v>
      </c>
      <c r="T511" s="149"/>
      <c r="U511" s="149"/>
      <c r="V511" s="149"/>
      <c r="W511" s="149"/>
      <c r="X511" s="161">
        <v>10963962.410000002</v>
      </c>
      <c r="Y511" s="145"/>
      <c r="Z511" s="145"/>
      <c r="AX511" s="141" t="s">
        <v>247</v>
      </c>
      <c r="AY511" s="141">
        <v>1996</v>
      </c>
      <c r="AZ511" s="141">
        <v>99766.32</v>
      </c>
      <c r="BA511" s="141">
        <v>493866.98</v>
      </c>
      <c r="BB511" s="141">
        <v>1132452.69</v>
      </c>
      <c r="BC511" s="141">
        <v>1620246.91</v>
      </c>
      <c r="BD511" s="141">
        <v>1918025.74</v>
      </c>
      <c r="BE511" s="141">
        <v>2029118.79</v>
      </c>
      <c r="BF511" s="141">
        <v>2044243.39</v>
      </c>
      <c r="BG511" s="141">
        <v>2044243.39</v>
      </c>
      <c r="BH511" s="141">
        <v>2044243.39</v>
      </c>
      <c r="BI511" s="141">
        <v>2044243.39</v>
      </c>
      <c r="BJ511" s="141">
        <v>2044243.39</v>
      </c>
      <c r="BK511" s="141">
        <v>2044243.39</v>
      </c>
      <c r="BL511" s="141">
        <v>2044243.39</v>
      </c>
      <c r="BM511" s="141">
        <v>2044243.39</v>
      </c>
      <c r="BN511" s="141">
        <v>2044243.39</v>
      </c>
      <c r="BO511" s="141">
        <v>2044243.39</v>
      </c>
      <c r="BP511" s="141">
        <v>2044243.39</v>
      </c>
      <c r="BU511" s="141">
        <v>2044243.39</v>
      </c>
    </row>
    <row r="512" spans="1:73" ht="14.4" x14ac:dyDescent="0.3">
      <c r="A512" s="160" t="s">
        <v>44</v>
      </c>
      <c r="B512" s="161">
        <v>2000</v>
      </c>
      <c r="C512" s="161">
        <v>2163558.1799999997</v>
      </c>
      <c r="D512" s="161">
        <v>6915028.4699999997</v>
      </c>
      <c r="E512" s="161">
        <v>9780357.3000000007</v>
      </c>
      <c r="F512" s="161">
        <v>10888539.33</v>
      </c>
      <c r="G512" s="161">
        <v>11137522.93</v>
      </c>
      <c r="H512" s="161">
        <v>10999911.280000001</v>
      </c>
      <c r="I512" s="161">
        <v>11053275.890000001</v>
      </c>
      <c r="J512" s="161">
        <v>11041335.609999999</v>
      </c>
      <c r="K512" s="161">
        <v>11029734.420000002</v>
      </c>
      <c r="L512" s="161">
        <v>11017818.620000001</v>
      </c>
      <c r="M512" s="161">
        <v>11012558.52</v>
      </c>
      <c r="N512" s="161">
        <v>11003060.960000001</v>
      </c>
      <c r="O512" s="161">
        <v>10997366.559999999</v>
      </c>
      <c r="P512" s="161">
        <v>10992112.35</v>
      </c>
      <c r="Q512" s="161">
        <v>10986874.25</v>
      </c>
      <c r="R512" s="161">
        <v>10979957.85</v>
      </c>
      <c r="S512" s="149"/>
      <c r="T512" s="149"/>
      <c r="U512" s="149"/>
      <c r="V512" s="149"/>
      <c r="W512" s="149"/>
      <c r="X512" s="161">
        <v>10979957.85</v>
      </c>
      <c r="Y512" s="145"/>
      <c r="Z512" s="145"/>
      <c r="AX512" s="141" t="s">
        <v>247</v>
      </c>
      <c r="AY512" s="141">
        <v>1997</v>
      </c>
      <c r="AZ512" s="141">
        <v>86577.07</v>
      </c>
      <c r="BA512" s="141">
        <v>992262.89</v>
      </c>
      <c r="BB512" s="141">
        <v>6752683.1200000001</v>
      </c>
      <c r="BC512" s="141">
        <v>12218102.289999999</v>
      </c>
      <c r="BD512" s="141">
        <v>13603128.210000001</v>
      </c>
      <c r="BE512" s="141">
        <v>15450422.85</v>
      </c>
      <c r="BF512" s="141">
        <v>16081350.300000001</v>
      </c>
      <c r="BG512" s="141">
        <v>16131920.810000001</v>
      </c>
      <c r="BH512" s="141">
        <v>16148974.560000001</v>
      </c>
      <c r="BI512" s="141">
        <v>16162364.48</v>
      </c>
      <c r="BJ512" s="141">
        <v>16160898.48</v>
      </c>
      <c r="BK512" s="141">
        <v>16173721.220000001</v>
      </c>
      <c r="BL512" s="141">
        <v>16179367.050000001</v>
      </c>
      <c r="BM512" s="141">
        <v>16179367.050000001</v>
      </c>
      <c r="BN512" s="141">
        <v>16179367.050000001</v>
      </c>
      <c r="BO512" s="141">
        <v>16179367.050000001</v>
      </c>
      <c r="BU512" s="141">
        <v>16179367.050000001</v>
      </c>
    </row>
    <row r="513" spans="1:73" ht="14.4" x14ac:dyDescent="0.3">
      <c r="A513" s="160" t="s">
        <v>44</v>
      </c>
      <c r="B513" s="161">
        <v>2001</v>
      </c>
      <c r="C513" s="161">
        <v>2195057.14</v>
      </c>
      <c r="D513" s="161">
        <v>9675768.6699999999</v>
      </c>
      <c r="E513" s="161">
        <v>17387166.380000003</v>
      </c>
      <c r="F513" s="161">
        <v>18773664.850000001</v>
      </c>
      <c r="G513" s="161">
        <v>18656177.550000001</v>
      </c>
      <c r="H513" s="161">
        <v>18900282.950000003</v>
      </c>
      <c r="I513" s="161">
        <v>19001235.969999999</v>
      </c>
      <c r="J513" s="161">
        <v>18893331.550000001</v>
      </c>
      <c r="K513" s="161">
        <v>18585079.98</v>
      </c>
      <c r="L513" s="161">
        <v>18575755.73</v>
      </c>
      <c r="M513" s="161">
        <v>18569932.939999998</v>
      </c>
      <c r="N513" s="161">
        <v>18562040.359999999</v>
      </c>
      <c r="O513" s="161">
        <v>18544741.509999998</v>
      </c>
      <c r="P513" s="161">
        <v>18537520.199999999</v>
      </c>
      <c r="Q513" s="161">
        <v>18528341.689999998</v>
      </c>
      <c r="R513" s="149"/>
      <c r="S513" s="149"/>
      <c r="T513" s="149"/>
      <c r="U513" s="149"/>
      <c r="V513" s="149"/>
      <c r="W513" s="149"/>
      <c r="X513" s="161">
        <v>18528341.689999998</v>
      </c>
      <c r="Y513" s="145"/>
      <c r="Z513" s="145"/>
      <c r="AX513" s="141" t="s">
        <v>247</v>
      </c>
      <c r="AY513" s="141">
        <v>1998</v>
      </c>
      <c r="AZ513" s="141">
        <v>997088.14</v>
      </c>
      <c r="BA513" s="141">
        <v>10774148.35</v>
      </c>
      <c r="BB513" s="141">
        <v>12611608.699999999</v>
      </c>
      <c r="BC513" s="141">
        <v>17549831.82</v>
      </c>
      <c r="BD513" s="141">
        <v>20824047.280000001</v>
      </c>
      <c r="BE513" s="141">
        <v>21889529.890000001</v>
      </c>
      <c r="BF513" s="141">
        <v>22219328.609999999</v>
      </c>
      <c r="BG513" s="141">
        <v>23927937.559999999</v>
      </c>
      <c r="BH513" s="141">
        <v>24435190.719999999</v>
      </c>
      <c r="BI513" s="141">
        <v>25426581.079999998</v>
      </c>
      <c r="BJ513" s="141">
        <v>25448164.82</v>
      </c>
      <c r="BK513" s="141">
        <v>29598582.300000001</v>
      </c>
      <c r="BL513" s="141">
        <v>29598582.300000001</v>
      </c>
      <c r="BM513" s="141">
        <v>29598582.300000001</v>
      </c>
      <c r="BN513" s="141">
        <v>29598582.300000001</v>
      </c>
      <c r="BU513" s="141">
        <v>29598582.300000001</v>
      </c>
    </row>
    <row r="514" spans="1:73" ht="14.4" x14ac:dyDescent="0.3">
      <c r="A514" s="160" t="s">
        <v>44</v>
      </c>
      <c r="B514" s="161">
        <v>2002</v>
      </c>
      <c r="C514" s="161">
        <v>3518658.59</v>
      </c>
      <c r="D514" s="161">
        <v>9795515.1000000015</v>
      </c>
      <c r="E514" s="161">
        <v>16183585.52</v>
      </c>
      <c r="F514" s="161">
        <v>20175368.259999998</v>
      </c>
      <c r="G514" s="161">
        <v>21137264.199999999</v>
      </c>
      <c r="H514" s="161">
        <v>22039468.52</v>
      </c>
      <c r="I514" s="161">
        <v>22415061.77</v>
      </c>
      <c r="J514" s="161">
        <v>22630433.109999999</v>
      </c>
      <c r="K514" s="161">
        <v>22822981.77</v>
      </c>
      <c r="L514" s="161">
        <v>23045776.670000002</v>
      </c>
      <c r="M514" s="161">
        <v>23040213.050000001</v>
      </c>
      <c r="N514" s="161">
        <v>23046845.539999999</v>
      </c>
      <c r="O514" s="161">
        <v>23148991.82</v>
      </c>
      <c r="P514" s="161">
        <v>23151043.219999999</v>
      </c>
      <c r="Q514" s="149"/>
      <c r="R514" s="149"/>
      <c r="S514" s="149"/>
      <c r="T514" s="149"/>
      <c r="U514" s="149"/>
      <c r="V514" s="149"/>
      <c r="W514" s="149"/>
      <c r="X514" s="161">
        <v>23151043.219999999</v>
      </c>
      <c r="Y514" s="145"/>
      <c r="Z514" s="145"/>
      <c r="AX514" s="141" t="s">
        <v>247</v>
      </c>
      <c r="AY514" s="141">
        <v>1999</v>
      </c>
      <c r="AZ514" s="141">
        <v>850285.35</v>
      </c>
      <c r="BA514" s="141">
        <v>10155928.73</v>
      </c>
      <c r="BB514" s="141">
        <v>13900013.529999999</v>
      </c>
      <c r="BC514" s="141">
        <v>16763816.189999999</v>
      </c>
      <c r="BD514" s="141">
        <v>22770889.550000001</v>
      </c>
      <c r="BE514" s="141">
        <v>24398209.600000001</v>
      </c>
      <c r="BF514" s="141">
        <v>25414591.829999998</v>
      </c>
      <c r="BG514" s="141">
        <v>25563492.710000001</v>
      </c>
      <c r="BH514" s="141">
        <v>25733731.640000001</v>
      </c>
      <c r="BI514" s="141">
        <v>27022451.690000001</v>
      </c>
      <c r="BJ514" s="141">
        <v>27026463.109999999</v>
      </c>
      <c r="BK514" s="141">
        <v>27051248.300000001</v>
      </c>
      <c r="BL514" s="141">
        <v>27051248.300000001</v>
      </c>
      <c r="BM514" s="141">
        <v>27051248.300000001</v>
      </c>
      <c r="BU514" s="141">
        <v>27051248.300000001</v>
      </c>
    </row>
    <row r="515" spans="1:73" ht="14.4" x14ac:dyDescent="0.3">
      <c r="A515" s="160" t="s">
        <v>44</v>
      </c>
      <c r="B515" s="161">
        <v>2003</v>
      </c>
      <c r="C515" s="161">
        <v>1900114.6700000002</v>
      </c>
      <c r="D515" s="161">
        <v>16978145.240000002</v>
      </c>
      <c r="E515" s="161">
        <v>24624320.010000002</v>
      </c>
      <c r="F515" s="161">
        <v>27010113.829999998</v>
      </c>
      <c r="G515" s="161">
        <v>28106943.380000003</v>
      </c>
      <c r="H515" s="161">
        <v>29613990.490000002</v>
      </c>
      <c r="I515" s="161">
        <v>30039839.789999999</v>
      </c>
      <c r="J515" s="161">
        <v>30157205.210000001</v>
      </c>
      <c r="K515" s="161">
        <v>30187761.399999999</v>
      </c>
      <c r="L515" s="161">
        <v>30398221.640000001</v>
      </c>
      <c r="M515" s="161">
        <v>30472868.75</v>
      </c>
      <c r="N515" s="161">
        <v>30708666.07</v>
      </c>
      <c r="O515" s="161">
        <v>30743947.830000002</v>
      </c>
      <c r="P515" s="149"/>
      <c r="Q515" s="149"/>
      <c r="R515" s="149"/>
      <c r="S515" s="149"/>
      <c r="T515" s="149"/>
      <c r="U515" s="149"/>
      <c r="V515" s="149"/>
      <c r="W515" s="149"/>
      <c r="X515" s="161">
        <v>30743947.830000002</v>
      </c>
      <c r="Y515" s="145"/>
      <c r="Z515" s="145"/>
      <c r="AX515" s="141" t="s">
        <v>247</v>
      </c>
      <c r="AY515" s="141">
        <v>2000</v>
      </c>
      <c r="AZ515" s="141">
        <v>1441404.35</v>
      </c>
      <c r="BA515" s="141">
        <v>4183870.61</v>
      </c>
      <c r="BB515" s="141">
        <v>9393765.4900000002</v>
      </c>
      <c r="BC515" s="141">
        <v>14376804.210000001</v>
      </c>
      <c r="BD515" s="141">
        <v>24140496</v>
      </c>
      <c r="BE515" s="141">
        <v>25442620.77</v>
      </c>
      <c r="BF515" s="141">
        <v>37717869.770000003</v>
      </c>
      <c r="BG515" s="141">
        <v>38989328.600000001</v>
      </c>
      <c r="BH515" s="141">
        <v>44453124.75</v>
      </c>
      <c r="BI515" s="141">
        <v>45075401.140000001</v>
      </c>
      <c r="BJ515" s="141">
        <v>47994450.359999999</v>
      </c>
      <c r="BK515" s="141">
        <v>48219628.210000001</v>
      </c>
      <c r="BL515" s="141">
        <v>48234841.609999999</v>
      </c>
      <c r="BU515" s="141">
        <v>48234841.609999999</v>
      </c>
    </row>
    <row r="516" spans="1:73" ht="14.4" x14ac:dyDescent="0.3">
      <c r="A516" s="160" t="s">
        <v>44</v>
      </c>
      <c r="B516" s="161">
        <v>2004</v>
      </c>
      <c r="C516" s="161">
        <v>2096593.18</v>
      </c>
      <c r="D516" s="161">
        <v>12362488.879999999</v>
      </c>
      <c r="E516" s="161">
        <v>21197226.34</v>
      </c>
      <c r="F516" s="161">
        <v>27031070.939999998</v>
      </c>
      <c r="G516" s="161">
        <v>30659894.659999996</v>
      </c>
      <c r="H516" s="161">
        <v>34369955</v>
      </c>
      <c r="I516" s="161">
        <v>37362432.620000005</v>
      </c>
      <c r="J516" s="161">
        <v>38443374.170000002</v>
      </c>
      <c r="K516" s="161">
        <v>40199562.879999995</v>
      </c>
      <c r="L516" s="161">
        <v>39828912.060000002</v>
      </c>
      <c r="M516" s="161">
        <v>39894437.32</v>
      </c>
      <c r="N516" s="161">
        <v>40179902.489999995</v>
      </c>
      <c r="O516" s="149"/>
      <c r="P516" s="149"/>
      <c r="Q516" s="149"/>
      <c r="R516" s="149"/>
      <c r="S516" s="149"/>
      <c r="T516" s="149"/>
      <c r="U516" s="149"/>
      <c r="V516" s="149"/>
      <c r="W516" s="149"/>
      <c r="X516" s="161">
        <v>40179902.489999995</v>
      </c>
      <c r="Y516" s="145"/>
      <c r="Z516" s="145"/>
      <c r="AX516" s="141" t="s">
        <v>247</v>
      </c>
      <c r="AY516" s="141">
        <v>2001</v>
      </c>
      <c r="AZ516" s="141">
        <v>276135.71000000002</v>
      </c>
      <c r="BA516" s="141">
        <v>3201680.57</v>
      </c>
      <c r="BB516" s="141">
        <v>8615465.7200000007</v>
      </c>
      <c r="BC516" s="141">
        <v>13753901.6</v>
      </c>
      <c r="BD516" s="141">
        <v>26927202.420000002</v>
      </c>
      <c r="BE516" s="141">
        <v>41018552.990000002</v>
      </c>
      <c r="BF516" s="141">
        <v>42686895.659999996</v>
      </c>
      <c r="BG516" s="141">
        <v>45055863.630000003</v>
      </c>
      <c r="BH516" s="141">
        <v>47879354.600000001</v>
      </c>
      <c r="BI516" s="141">
        <v>46541640.530000001</v>
      </c>
      <c r="BJ516" s="141">
        <v>56287277.939999998</v>
      </c>
      <c r="BK516" s="141">
        <v>57245445.890000001</v>
      </c>
      <c r="BU516" s="141">
        <v>57245445.890000001</v>
      </c>
    </row>
    <row r="517" spans="1:73" ht="14.4" x14ac:dyDescent="0.3">
      <c r="A517" s="160" t="s">
        <v>44</v>
      </c>
      <c r="B517" s="161">
        <v>2005</v>
      </c>
      <c r="C517" s="161">
        <v>1561974.4100000001</v>
      </c>
      <c r="D517" s="161">
        <v>15453698.77</v>
      </c>
      <c r="E517" s="161">
        <v>22878486.940000001</v>
      </c>
      <c r="F517" s="161">
        <v>28458978.460000001</v>
      </c>
      <c r="G517" s="161">
        <v>31470606.350000001</v>
      </c>
      <c r="H517" s="161">
        <v>33035118.559999999</v>
      </c>
      <c r="I517" s="161">
        <v>33887800.409999996</v>
      </c>
      <c r="J517" s="161">
        <v>34013263.950000003</v>
      </c>
      <c r="K517" s="161">
        <v>33962906.370000005</v>
      </c>
      <c r="L517" s="161">
        <v>34075683.210000001</v>
      </c>
      <c r="M517" s="161">
        <v>34129263.210000001</v>
      </c>
      <c r="N517" s="149"/>
      <c r="O517" s="149"/>
      <c r="P517" s="149"/>
      <c r="Q517" s="149"/>
      <c r="R517" s="149"/>
      <c r="S517" s="149"/>
      <c r="T517" s="149"/>
      <c r="U517" s="149"/>
      <c r="V517" s="149"/>
      <c r="W517" s="149"/>
      <c r="X517" s="161">
        <v>34129263.210000001</v>
      </c>
      <c r="Y517" s="145"/>
      <c r="Z517" s="145"/>
      <c r="AX517" s="141" t="s">
        <v>247</v>
      </c>
      <c r="AY517" s="141">
        <v>2002</v>
      </c>
      <c r="AZ517" s="141">
        <v>869117.47</v>
      </c>
      <c r="BA517" s="141">
        <v>5720989.0300000003</v>
      </c>
      <c r="BB517" s="141">
        <v>10173377.01</v>
      </c>
      <c r="BC517" s="141">
        <v>19466230.989999998</v>
      </c>
      <c r="BD517" s="141">
        <v>31403607.73</v>
      </c>
      <c r="BE517" s="141">
        <v>52457929.310000002</v>
      </c>
      <c r="BF517" s="141">
        <v>54037654.869999997</v>
      </c>
      <c r="BG517" s="141">
        <v>56846414.350000001</v>
      </c>
      <c r="BH517" s="141">
        <v>52689439.990000002</v>
      </c>
      <c r="BI517" s="141">
        <v>54855529.07</v>
      </c>
      <c r="BJ517" s="141">
        <v>59422842.82</v>
      </c>
      <c r="BU517" s="141">
        <v>59422842.82</v>
      </c>
    </row>
    <row r="518" spans="1:73" ht="14.4" x14ac:dyDescent="0.3">
      <c r="A518" s="160" t="s">
        <v>44</v>
      </c>
      <c r="B518" s="161">
        <v>2006</v>
      </c>
      <c r="C518" s="161">
        <v>5359851.0500000007</v>
      </c>
      <c r="D518" s="161">
        <v>20356684.100000001</v>
      </c>
      <c r="E518" s="161">
        <v>37213473.43</v>
      </c>
      <c r="F518" s="161">
        <v>51862684.030000001</v>
      </c>
      <c r="G518" s="161">
        <v>55477731.030000001</v>
      </c>
      <c r="H518" s="161">
        <v>58797608.420000002</v>
      </c>
      <c r="I518" s="161">
        <v>59366679.219999999</v>
      </c>
      <c r="J518" s="161">
        <v>59536934.390000001</v>
      </c>
      <c r="K518" s="161">
        <v>59629561.409999996</v>
      </c>
      <c r="L518" s="161">
        <v>59678734.859999999</v>
      </c>
      <c r="M518" s="149"/>
      <c r="N518" s="149"/>
      <c r="O518" s="149"/>
      <c r="P518" s="149"/>
      <c r="Q518" s="149"/>
      <c r="R518" s="149"/>
      <c r="S518" s="149"/>
      <c r="T518" s="149"/>
      <c r="U518" s="149"/>
      <c r="V518" s="149"/>
      <c r="W518" s="149"/>
      <c r="X518" s="161">
        <v>59678734.859999999</v>
      </c>
      <c r="Y518" s="145"/>
      <c r="Z518" s="145"/>
      <c r="AX518" s="141" t="s">
        <v>247</v>
      </c>
      <c r="AY518" s="141">
        <v>2003</v>
      </c>
      <c r="AZ518" s="141">
        <v>490392.19</v>
      </c>
      <c r="BA518" s="141">
        <v>3402965</v>
      </c>
      <c r="BB518" s="141">
        <v>10709026.310000001</v>
      </c>
      <c r="BC518" s="141">
        <v>21843908.149999999</v>
      </c>
      <c r="BD518" s="141">
        <v>24743469.059999999</v>
      </c>
      <c r="BE518" s="141">
        <v>36405341.740000002</v>
      </c>
      <c r="BF518" s="141">
        <v>45931962.039999999</v>
      </c>
      <c r="BG518" s="141">
        <v>49032689.399999999</v>
      </c>
      <c r="BH518" s="141">
        <v>51344360.340000004</v>
      </c>
      <c r="BI518" s="141">
        <v>54206957.030000001</v>
      </c>
      <c r="BU518" s="141">
        <v>54206957.030000001</v>
      </c>
    </row>
    <row r="519" spans="1:73" ht="14.4" x14ac:dyDescent="0.3">
      <c r="A519" s="160" t="s">
        <v>44</v>
      </c>
      <c r="B519" s="161">
        <v>2007</v>
      </c>
      <c r="C519" s="161">
        <v>3978544.7</v>
      </c>
      <c r="D519" s="161">
        <v>21261615.829999998</v>
      </c>
      <c r="E519" s="161">
        <v>42896838.230000004</v>
      </c>
      <c r="F519" s="161">
        <v>54873254.75</v>
      </c>
      <c r="G519" s="161">
        <v>59427021.509999998</v>
      </c>
      <c r="H519" s="161">
        <v>62208111.700000003</v>
      </c>
      <c r="I519" s="161">
        <v>64016280.25</v>
      </c>
      <c r="J519" s="161">
        <v>64452414.219999999</v>
      </c>
      <c r="K519" s="161">
        <v>64567032.290000007</v>
      </c>
      <c r="L519" s="149"/>
      <c r="M519" s="149"/>
      <c r="N519" s="149"/>
      <c r="O519" s="149"/>
      <c r="P519" s="149"/>
      <c r="Q519" s="149"/>
      <c r="R519" s="149"/>
      <c r="S519" s="149"/>
      <c r="T519" s="149"/>
      <c r="U519" s="149"/>
      <c r="V519" s="149"/>
      <c r="W519" s="149"/>
      <c r="X519" s="161">
        <v>64567032.290000007</v>
      </c>
      <c r="Y519" s="145"/>
      <c r="Z519" s="145"/>
      <c r="AX519" s="141" t="s">
        <v>247</v>
      </c>
      <c r="AY519" s="141">
        <v>2004</v>
      </c>
      <c r="AZ519" s="141">
        <v>2973.22</v>
      </c>
      <c r="BA519" s="141">
        <v>1492502.55</v>
      </c>
      <c r="BB519" s="141">
        <v>3706521.81</v>
      </c>
      <c r="BC519" s="141">
        <v>11564900.32</v>
      </c>
      <c r="BD519" s="141">
        <v>14163445.800000001</v>
      </c>
      <c r="BE519" s="141">
        <v>14263532.560000001</v>
      </c>
      <c r="BF519" s="141">
        <v>22492743.609999999</v>
      </c>
      <c r="BG519" s="141">
        <v>33584364.439999998</v>
      </c>
      <c r="BH519" s="141">
        <v>37891106.490000002</v>
      </c>
      <c r="BU519" s="141">
        <v>37891106.490000002</v>
      </c>
    </row>
    <row r="520" spans="1:73" ht="14.4" x14ac:dyDescent="0.3">
      <c r="A520" s="160" t="s">
        <v>44</v>
      </c>
      <c r="B520" s="161">
        <v>2008</v>
      </c>
      <c r="C520" s="161">
        <v>5570067.2599999998</v>
      </c>
      <c r="D520" s="161">
        <v>39047630.769999996</v>
      </c>
      <c r="E520" s="161">
        <v>61852962.899999999</v>
      </c>
      <c r="F520" s="161">
        <v>75233667.969999999</v>
      </c>
      <c r="G520" s="161">
        <v>82665071.789999992</v>
      </c>
      <c r="H520" s="161">
        <v>87716623.950000003</v>
      </c>
      <c r="I520" s="161">
        <v>88549094.230000004</v>
      </c>
      <c r="J520" s="161">
        <v>90079352.780000001</v>
      </c>
      <c r="K520" s="149"/>
      <c r="L520" s="149"/>
      <c r="M520" s="149"/>
      <c r="N520" s="149"/>
      <c r="O520" s="149"/>
      <c r="P520" s="149"/>
      <c r="Q520" s="149"/>
      <c r="R520" s="149"/>
      <c r="S520" s="149"/>
      <c r="T520" s="149"/>
      <c r="U520" s="149"/>
      <c r="V520" s="149"/>
      <c r="W520" s="149"/>
      <c r="X520" s="161">
        <v>90079352.780000001</v>
      </c>
      <c r="Y520" s="145"/>
      <c r="Z520" s="145"/>
      <c r="AX520" s="141" t="s">
        <v>247</v>
      </c>
      <c r="AY520" s="141">
        <v>2005</v>
      </c>
      <c r="AZ520" s="141">
        <v>1509524.21</v>
      </c>
      <c r="BA520" s="141">
        <v>4722182.51</v>
      </c>
      <c r="BB520" s="141">
        <v>30243601.579999998</v>
      </c>
      <c r="BC520" s="141">
        <v>35094127.899999999</v>
      </c>
      <c r="BD520" s="141">
        <v>47809740.75</v>
      </c>
      <c r="BE520" s="141">
        <v>51619114.909999996</v>
      </c>
      <c r="BF520" s="141">
        <v>53137879.43</v>
      </c>
      <c r="BG520" s="141">
        <v>53575614.990000002</v>
      </c>
      <c r="BU520" s="141">
        <v>53575614.990000002</v>
      </c>
    </row>
    <row r="521" spans="1:73" ht="14.4" x14ac:dyDescent="0.3">
      <c r="A521" s="160" t="s">
        <v>44</v>
      </c>
      <c r="B521" s="161">
        <v>2009</v>
      </c>
      <c r="C521" s="161">
        <v>7429806.959999999</v>
      </c>
      <c r="D521" s="161">
        <v>41027877.169999994</v>
      </c>
      <c r="E521" s="161">
        <v>77760195.409999996</v>
      </c>
      <c r="F521" s="161">
        <v>104034692.94</v>
      </c>
      <c r="G521" s="161">
        <v>111442564.72</v>
      </c>
      <c r="H521" s="161">
        <v>115028654.34</v>
      </c>
      <c r="I521" s="161">
        <v>116661968.75999999</v>
      </c>
      <c r="J521" s="149"/>
      <c r="K521" s="149"/>
      <c r="L521" s="149"/>
      <c r="M521" s="149"/>
      <c r="N521" s="149"/>
      <c r="O521" s="149"/>
      <c r="P521" s="149"/>
      <c r="Q521" s="149"/>
      <c r="R521" s="149"/>
      <c r="S521" s="149"/>
      <c r="T521" s="149"/>
      <c r="U521" s="149"/>
      <c r="V521" s="149"/>
      <c r="W521" s="149"/>
      <c r="X521" s="161">
        <v>116661968.75999999</v>
      </c>
      <c r="Y521" s="145"/>
      <c r="Z521" s="145"/>
      <c r="AX521" s="141" t="s">
        <v>247</v>
      </c>
      <c r="AY521" s="141">
        <v>2006</v>
      </c>
      <c r="AZ521" s="141">
        <v>288761.46000000002</v>
      </c>
      <c r="BA521" s="141">
        <v>2688342.62</v>
      </c>
      <c r="BB521" s="141">
        <v>11286490.48</v>
      </c>
      <c r="BC521" s="141">
        <v>14611283.84</v>
      </c>
      <c r="BD521" s="141">
        <v>24575097.25</v>
      </c>
      <c r="BE521" s="141">
        <v>35914629.789999999</v>
      </c>
      <c r="BF521" s="141">
        <v>46321594.07</v>
      </c>
      <c r="BU521" s="141">
        <v>46321594.07</v>
      </c>
    </row>
    <row r="522" spans="1:73" ht="14.4" x14ac:dyDescent="0.3">
      <c r="A522" s="160" t="s">
        <v>44</v>
      </c>
      <c r="B522" s="161">
        <v>2010</v>
      </c>
      <c r="C522" s="161">
        <v>10146481.390000001</v>
      </c>
      <c r="D522" s="161">
        <v>57367915.979999997</v>
      </c>
      <c r="E522" s="161">
        <v>85857226.739999995</v>
      </c>
      <c r="F522" s="161">
        <v>101864255.45</v>
      </c>
      <c r="G522" s="161">
        <v>112195573.99999999</v>
      </c>
      <c r="H522" s="161">
        <v>118330853.46999998</v>
      </c>
      <c r="I522" s="149"/>
      <c r="J522" s="149"/>
      <c r="K522" s="149"/>
      <c r="L522" s="149"/>
      <c r="M522" s="149"/>
      <c r="N522" s="149"/>
      <c r="O522" s="149"/>
      <c r="P522" s="149"/>
      <c r="Q522" s="149"/>
      <c r="R522" s="149"/>
      <c r="S522" s="149"/>
      <c r="T522" s="149"/>
      <c r="U522" s="149"/>
      <c r="V522" s="149"/>
      <c r="W522" s="149"/>
      <c r="X522" s="161">
        <v>118330853.46999998</v>
      </c>
      <c r="Y522" s="145"/>
      <c r="Z522" s="145"/>
      <c r="AX522" s="141" t="s">
        <v>247</v>
      </c>
      <c r="AY522" s="141">
        <v>2007</v>
      </c>
      <c r="AZ522" s="141">
        <v>487008.39</v>
      </c>
      <c r="BA522" s="141">
        <v>1834597.93</v>
      </c>
      <c r="BB522" s="141">
        <v>8937609.7100000009</v>
      </c>
      <c r="BC522" s="141">
        <v>11799872.359999999</v>
      </c>
      <c r="BD522" s="141">
        <v>29478104.469999999</v>
      </c>
      <c r="BE522" s="141">
        <v>35350330.770000003</v>
      </c>
      <c r="BU522" s="141">
        <v>35350330.770000003</v>
      </c>
    </row>
    <row r="523" spans="1:73" ht="14.4" x14ac:dyDescent="0.3">
      <c r="A523" s="160" t="s">
        <v>44</v>
      </c>
      <c r="B523" s="161">
        <v>2011</v>
      </c>
      <c r="C523" s="161">
        <v>14010684.33</v>
      </c>
      <c r="D523" s="161">
        <v>62862027.870000005</v>
      </c>
      <c r="E523" s="161">
        <v>91033665.289999992</v>
      </c>
      <c r="F523" s="161">
        <v>107393902.03</v>
      </c>
      <c r="G523" s="161">
        <v>116406378.27</v>
      </c>
      <c r="H523" s="149"/>
      <c r="I523" s="149"/>
      <c r="J523" s="149"/>
      <c r="K523" s="149"/>
      <c r="L523" s="149"/>
      <c r="M523" s="149"/>
      <c r="N523" s="149"/>
      <c r="O523" s="149"/>
      <c r="P523" s="149"/>
      <c r="Q523" s="149"/>
      <c r="R523" s="149"/>
      <c r="S523" s="149"/>
      <c r="T523" s="149"/>
      <c r="U523" s="149"/>
      <c r="V523" s="149"/>
      <c r="W523" s="149"/>
      <c r="X523" s="161">
        <v>116406378.27</v>
      </c>
      <c r="Y523" s="145"/>
      <c r="Z523" s="145"/>
      <c r="AX523" s="141" t="s">
        <v>247</v>
      </c>
      <c r="AY523" s="141">
        <v>2008</v>
      </c>
      <c r="AZ523" s="141">
        <v>-6952.78</v>
      </c>
      <c r="BA523" s="141">
        <v>974784.19</v>
      </c>
      <c r="BB523" s="141">
        <v>15366303.91</v>
      </c>
      <c r="BC523" s="141">
        <v>35461120.350000001</v>
      </c>
      <c r="BD523" s="141">
        <v>51081137.460000001</v>
      </c>
      <c r="BU523" s="141">
        <v>51081137.460000001</v>
      </c>
    </row>
    <row r="524" spans="1:73" ht="14.4" x14ac:dyDescent="0.3">
      <c r="A524" s="160" t="s">
        <v>44</v>
      </c>
      <c r="B524" s="161">
        <v>2012</v>
      </c>
      <c r="C524" s="161">
        <v>15646548.529999999</v>
      </c>
      <c r="D524" s="161">
        <v>55173658.340000004</v>
      </c>
      <c r="E524" s="161">
        <v>84568918.5</v>
      </c>
      <c r="F524" s="161">
        <v>103614946.87</v>
      </c>
      <c r="G524" s="149"/>
      <c r="H524" s="149"/>
      <c r="I524" s="149"/>
      <c r="J524" s="149"/>
      <c r="K524" s="149"/>
      <c r="L524" s="149"/>
      <c r="M524" s="149"/>
      <c r="N524" s="149"/>
      <c r="O524" s="149"/>
      <c r="P524" s="149"/>
      <c r="Q524" s="149"/>
      <c r="R524" s="149"/>
      <c r="S524" s="149"/>
      <c r="T524" s="149"/>
      <c r="U524" s="149"/>
      <c r="V524" s="149"/>
      <c r="W524" s="149"/>
      <c r="X524" s="161">
        <v>103614946.87</v>
      </c>
      <c r="Y524" s="145"/>
      <c r="Z524" s="145"/>
      <c r="AX524" s="141" t="s">
        <v>247</v>
      </c>
      <c r="AY524" s="141">
        <v>2009</v>
      </c>
      <c r="AZ524" s="141">
        <v>52441.94</v>
      </c>
      <c r="BA524" s="141">
        <v>3807372.98</v>
      </c>
      <c r="BB524" s="141">
        <v>16080811.609999999</v>
      </c>
      <c r="BC524" s="141">
        <v>37148130.590000004</v>
      </c>
      <c r="BU524" s="141">
        <v>37148130.590000004</v>
      </c>
    </row>
    <row r="525" spans="1:73" ht="14.4" x14ac:dyDescent="0.3">
      <c r="A525" s="160" t="s">
        <v>44</v>
      </c>
      <c r="B525" s="161">
        <v>2013</v>
      </c>
      <c r="C525" s="161">
        <v>14294113.33</v>
      </c>
      <c r="D525" s="161">
        <v>51722111.75</v>
      </c>
      <c r="E525" s="161">
        <v>74786330.690000013</v>
      </c>
      <c r="F525" s="149"/>
      <c r="G525" s="149"/>
      <c r="H525" s="149"/>
      <c r="I525" s="149"/>
      <c r="J525" s="149"/>
      <c r="K525" s="149"/>
      <c r="L525" s="149"/>
      <c r="M525" s="149"/>
      <c r="N525" s="149"/>
      <c r="O525" s="149"/>
      <c r="P525" s="149"/>
      <c r="Q525" s="149"/>
      <c r="R525" s="149"/>
      <c r="S525" s="149"/>
      <c r="T525" s="149"/>
      <c r="U525" s="149"/>
      <c r="V525" s="149"/>
      <c r="W525" s="149"/>
      <c r="X525" s="161">
        <v>74786330.690000013</v>
      </c>
      <c r="Y525" s="145"/>
      <c r="Z525" s="145"/>
      <c r="AX525" s="141" t="s">
        <v>247</v>
      </c>
      <c r="AY525" s="141">
        <v>2010</v>
      </c>
      <c r="AZ525" s="141">
        <v>81435.14</v>
      </c>
      <c r="BA525" s="141">
        <v>1904505.53</v>
      </c>
      <c r="BB525" s="141">
        <v>13138679.369999999</v>
      </c>
      <c r="BU525" s="141">
        <v>13138679.369999999</v>
      </c>
    </row>
    <row r="526" spans="1:73" ht="14.4" x14ac:dyDescent="0.3">
      <c r="A526" s="160" t="s">
        <v>44</v>
      </c>
      <c r="B526" s="161">
        <v>2014</v>
      </c>
      <c r="C526" s="161">
        <v>13125303.799999999</v>
      </c>
      <c r="D526" s="161">
        <v>45480936.009999998</v>
      </c>
      <c r="E526" s="149"/>
      <c r="F526" s="149"/>
      <c r="G526" s="149"/>
      <c r="H526" s="149"/>
      <c r="I526" s="149"/>
      <c r="J526" s="149"/>
      <c r="K526" s="149"/>
      <c r="L526" s="149"/>
      <c r="M526" s="149"/>
      <c r="N526" s="149"/>
      <c r="O526" s="149"/>
      <c r="P526" s="149"/>
      <c r="Q526" s="149"/>
      <c r="R526" s="149"/>
      <c r="S526" s="149"/>
      <c r="T526" s="149"/>
      <c r="U526" s="149"/>
      <c r="V526" s="149"/>
      <c r="W526" s="149"/>
      <c r="X526" s="161">
        <v>45480936.009999998</v>
      </c>
      <c r="Y526" s="145"/>
      <c r="Z526" s="145"/>
      <c r="AX526" s="141" t="s">
        <v>247</v>
      </c>
      <c r="AY526" s="141">
        <v>2011</v>
      </c>
      <c r="AZ526" s="141">
        <v>1139030.26</v>
      </c>
      <c r="BA526" s="141">
        <v>9544340.1999999993</v>
      </c>
      <c r="BU526" s="141">
        <v>9544340.1999999993</v>
      </c>
    </row>
    <row r="527" spans="1:73" ht="14.4" x14ac:dyDescent="0.3">
      <c r="A527" s="160" t="s">
        <v>44</v>
      </c>
      <c r="B527" s="161">
        <v>2015</v>
      </c>
      <c r="C527" s="161">
        <v>10389468.77</v>
      </c>
      <c r="D527" s="149"/>
      <c r="E527" s="149"/>
      <c r="F527" s="149"/>
      <c r="G527" s="149"/>
      <c r="H527" s="149"/>
      <c r="I527" s="149"/>
      <c r="J527" s="149"/>
      <c r="K527" s="149"/>
      <c r="L527" s="149"/>
      <c r="M527" s="149"/>
      <c r="N527" s="149"/>
      <c r="O527" s="149"/>
      <c r="P527" s="149"/>
      <c r="Q527" s="149"/>
      <c r="R527" s="149"/>
      <c r="S527" s="149"/>
      <c r="T527" s="149"/>
      <c r="U527" s="149"/>
      <c r="V527" s="149"/>
      <c r="W527" s="149"/>
      <c r="X527" s="161">
        <v>10389468.77</v>
      </c>
      <c r="Y527" s="145"/>
      <c r="Z527" s="145"/>
      <c r="AX527" s="141" t="s">
        <v>247</v>
      </c>
      <c r="AY527" s="141">
        <v>2012</v>
      </c>
      <c r="AZ527" s="141">
        <v>203801.61</v>
      </c>
      <c r="BU527" s="141">
        <v>203801.61</v>
      </c>
    </row>
    <row r="528" spans="1:73" ht="14.4" x14ac:dyDescent="0.3">
      <c r="A528" s="160" t="s">
        <v>45</v>
      </c>
      <c r="B528" s="161">
        <v>1995</v>
      </c>
      <c r="C528" s="161">
        <v>3610167.3200000003</v>
      </c>
      <c r="D528" s="161">
        <v>14807454.339999998</v>
      </c>
      <c r="E528" s="161">
        <v>11685285.120000005</v>
      </c>
      <c r="F528" s="161">
        <v>13105843.559999999</v>
      </c>
      <c r="G528" s="161">
        <v>13638422.899999999</v>
      </c>
      <c r="H528" s="161">
        <v>13840848.649999999</v>
      </c>
      <c r="I528" s="161">
        <v>13968536.309999999</v>
      </c>
      <c r="J528" s="161">
        <v>13891469.259999998</v>
      </c>
      <c r="K528" s="161">
        <v>13865837.010000002</v>
      </c>
      <c r="L528" s="161">
        <v>13367183.409999996</v>
      </c>
      <c r="M528" s="161">
        <v>16548948.879999999</v>
      </c>
      <c r="N528" s="161">
        <v>16548903.110000003</v>
      </c>
      <c r="O528" s="161">
        <v>16252651.020000003</v>
      </c>
      <c r="P528" s="161">
        <v>16246076.449999996</v>
      </c>
      <c r="Q528" s="161">
        <v>16241298.319999997</v>
      </c>
      <c r="R528" s="161">
        <v>16239391.360000003</v>
      </c>
      <c r="S528" s="161">
        <v>16240087.179999996</v>
      </c>
      <c r="T528" s="161">
        <v>16241129.419999998</v>
      </c>
      <c r="U528" s="161">
        <v>16238786.490000002</v>
      </c>
      <c r="V528" s="161">
        <v>16212907.710000001</v>
      </c>
      <c r="W528" s="161">
        <v>16199489.799999997</v>
      </c>
      <c r="X528" s="161">
        <v>16199489.799999997</v>
      </c>
      <c r="Y528" s="145"/>
      <c r="Z528" s="145"/>
      <c r="AX528" s="141" t="s">
        <v>248</v>
      </c>
      <c r="AY528" s="141">
        <v>1992</v>
      </c>
      <c r="AZ528" s="141">
        <v>5120644.53</v>
      </c>
      <c r="BA528" s="141">
        <v>10149056.390000001</v>
      </c>
      <c r="BB528" s="141">
        <v>15670966.210000001</v>
      </c>
      <c r="BC528" s="141">
        <v>19891915.289999999</v>
      </c>
      <c r="BD528" s="141">
        <v>21510172.620000001</v>
      </c>
      <c r="BE528" s="141">
        <v>22113100.800000001</v>
      </c>
      <c r="BF528" s="141">
        <v>23136443.399999999</v>
      </c>
      <c r="BG528" s="141">
        <v>23950473.289999999</v>
      </c>
      <c r="BH528" s="141">
        <v>24126519.859999999</v>
      </c>
      <c r="BI528" s="141">
        <v>24582687.899999999</v>
      </c>
      <c r="BJ528" s="141">
        <v>24581144.719999999</v>
      </c>
      <c r="BK528" s="141">
        <v>24581144.719999999</v>
      </c>
      <c r="BL528" s="141">
        <v>24581144.719999999</v>
      </c>
      <c r="BM528" s="141">
        <v>24582788.710000001</v>
      </c>
      <c r="BN528" s="141">
        <v>24582788.710000001</v>
      </c>
      <c r="BO528" s="141">
        <v>24582788.710000001</v>
      </c>
      <c r="BP528" s="141">
        <v>24582788.710000001</v>
      </c>
      <c r="BQ528" s="141">
        <v>24582788.710000001</v>
      </c>
      <c r="BR528" s="141">
        <v>24582788.710000001</v>
      </c>
      <c r="BS528" s="141">
        <v>24582788.710000001</v>
      </c>
      <c r="BT528" s="141">
        <v>24582788.710000001</v>
      </c>
      <c r="BU528" s="141">
        <v>24582788.710000001</v>
      </c>
    </row>
    <row r="529" spans="1:73" ht="14.4" x14ac:dyDescent="0.3">
      <c r="A529" s="160" t="s">
        <v>45</v>
      </c>
      <c r="B529" s="161">
        <v>1996</v>
      </c>
      <c r="C529" s="161">
        <v>2626426.54</v>
      </c>
      <c r="D529" s="161">
        <v>3510748.3400000017</v>
      </c>
      <c r="E529" s="161">
        <v>4118447.7100000028</v>
      </c>
      <c r="F529" s="161">
        <v>5736122.6800000016</v>
      </c>
      <c r="G529" s="161">
        <v>5898108.5999999978</v>
      </c>
      <c r="H529" s="161">
        <v>5601960.5599999987</v>
      </c>
      <c r="I529" s="161">
        <v>5795058.1399999987</v>
      </c>
      <c r="J529" s="161">
        <v>5741790.5900000017</v>
      </c>
      <c r="K529" s="161">
        <v>5607002.2100000009</v>
      </c>
      <c r="L529" s="161">
        <v>5459333.5700000003</v>
      </c>
      <c r="M529" s="161">
        <v>5707265.6400000006</v>
      </c>
      <c r="N529" s="161">
        <v>5683051.5</v>
      </c>
      <c r="O529" s="161">
        <v>5673654.6900000013</v>
      </c>
      <c r="P529" s="161">
        <v>5661676.1399999987</v>
      </c>
      <c r="Q529" s="161">
        <v>5648801.1699999981</v>
      </c>
      <c r="R529" s="161">
        <v>5636439.4299999997</v>
      </c>
      <c r="S529" s="161">
        <v>5628710.0799999982</v>
      </c>
      <c r="T529" s="161">
        <v>5618765.3899999987</v>
      </c>
      <c r="U529" s="161">
        <v>5611356.8399999999</v>
      </c>
      <c r="V529" s="161">
        <v>5606875.1599999983</v>
      </c>
      <c r="W529" s="149"/>
      <c r="X529" s="161">
        <v>5606875.1599999983</v>
      </c>
      <c r="Y529" s="145"/>
      <c r="Z529" s="145"/>
      <c r="AX529" s="141" t="s">
        <v>248</v>
      </c>
      <c r="AY529" s="141">
        <v>1993</v>
      </c>
      <c r="AZ529" s="141">
        <v>212335.31</v>
      </c>
      <c r="BA529" s="141">
        <v>3855427.77</v>
      </c>
      <c r="BB529" s="141">
        <v>9604136</v>
      </c>
      <c r="BC529" s="141">
        <v>13176140.859999999</v>
      </c>
      <c r="BD529" s="141">
        <v>15485164.51</v>
      </c>
      <c r="BE529" s="141">
        <v>19539792.539999999</v>
      </c>
      <c r="BF529" s="141">
        <v>20439819.550000001</v>
      </c>
      <c r="BG529" s="141">
        <v>20543736.359999999</v>
      </c>
      <c r="BH529" s="141">
        <v>20581755.68</v>
      </c>
      <c r="BI529" s="141">
        <v>20589121.239999998</v>
      </c>
      <c r="BJ529" s="141">
        <v>20592262.09</v>
      </c>
      <c r="BK529" s="141">
        <v>20621947.079999998</v>
      </c>
      <c r="BL529" s="141">
        <v>20702290.760000002</v>
      </c>
      <c r="BM529" s="141">
        <v>20778713.449999999</v>
      </c>
      <c r="BN529" s="141">
        <v>20873686.949999999</v>
      </c>
      <c r="BO529" s="141">
        <v>20873686.949999999</v>
      </c>
      <c r="BP529" s="141">
        <v>20873686.949999999</v>
      </c>
      <c r="BQ529" s="141">
        <v>20873686.949999999</v>
      </c>
      <c r="BR529" s="141">
        <v>20873686.949999999</v>
      </c>
      <c r="BS529" s="141">
        <v>20873686.949999999</v>
      </c>
      <c r="BU529" s="141">
        <v>20873686.949999999</v>
      </c>
    </row>
    <row r="530" spans="1:73" ht="14.4" x14ac:dyDescent="0.3">
      <c r="A530" s="160" t="s">
        <v>45</v>
      </c>
      <c r="B530" s="161">
        <v>1997</v>
      </c>
      <c r="C530" s="161">
        <v>383866.37999999989</v>
      </c>
      <c r="D530" s="161">
        <v>774160.69999999972</v>
      </c>
      <c r="E530" s="161">
        <v>1737531.56</v>
      </c>
      <c r="F530" s="161">
        <v>3905082.75</v>
      </c>
      <c r="G530" s="161">
        <v>5755059.7900000028</v>
      </c>
      <c r="H530" s="161">
        <v>5765685.4700000007</v>
      </c>
      <c r="I530" s="161">
        <v>5750473.4500000011</v>
      </c>
      <c r="J530" s="161">
        <v>5594399.3300000019</v>
      </c>
      <c r="K530" s="161">
        <v>5433507.7599999998</v>
      </c>
      <c r="L530" s="161">
        <v>5432519.1400000025</v>
      </c>
      <c r="M530" s="161">
        <v>5435504.4500000011</v>
      </c>
      <c r="N530" s="161">
        <v>5433457.8100000024</v>
      </c>
      <c r="O530" s="161">
        <v>5432828.1099999994</v>
      </c>
      <c r="P530" s="161">
        <v>5443966.8600000013</v>
      </c>
      <c r="Q530" s="161">
        <v>5439934.620000001</v>
      </c>
      <c r="R530" s="161">
        <v>5436543.3500000015</v>
      </c>
      <c r="S530" s="161">
        <v>5589068.5899999999</v>
      </c>
      <c r="T530" s="161">
        <v>5583305.0099999998</v>
      </c>
      <c r="U530" s="161">
        <v>5581455.4499999993</v>
      </c>
      <c r="V530" s="149"/>
      <c r="W530" s="149"/>
      <c r="X530" s="161">
        <v>5581455.4499999993</v>
      </c>
      <c r="Y530" s="145"/>
      <c r="Z530" s="145"/>
      <c r="AX530" s="141" t="s">
        <v>248</v>
      </c>
      <c r="AY530" s="141">
        <v>1994</v>
      </c>
      <c r="AZ530" s="141">
        <v>1892504.7</v>
      </c>
      <c r="BA530" s="141">
        <v>34217461.409999996</v>
      </c>
      <c r="BB530" s="141">
        <v>61328666.719999999</v>
      </c>
      <c r="BC530" s="141">
        <v>69176528.530000001</v>
      </c>
      <c r="BD530" s="141">
        <v>69577520.930000007</v>
      </c>
      <c r="BE530" s="141">
        <v>73589396.150000006</v>
      </c>
      <c r="BF530" s="141">
        <v>75371669.420000002</v>
      </c>
      <c r="BG530" s="141">
        <v>76632184.200000003</v>
      </c>
      <c r="BH530" s="141">
        <v>76826929.969999999</v>
      </c>
      <c r="BI530" s="141">
        <v>76828192.489999995</v>
      </c>
      <c r="BJ530" s="141">
        <v>76851937.950000003</v>
      </c>
      <c r="BK530" s="141">
        <v>76914855.810000002</v>
      </c>
      <c r="BL530" s="141">
        <v>76914855.810000002</v>
      </c>
      <c r="BM530" s="141">
        <v>76913839.159999996</v>
      </c>
      <c r="BN530" s="141">
        <v>76913839.159999996</v>
      </c>
      <c r="BO530" s="141">
        <v>76913864.159999996</v>
      </c>
      <c r="BP530" s="141">
        <v>76913839.159999996</v>
      </c>
      <c r="BQ530" s="141">
        <v>76913839.159999996</v>
      </c>
      <c r="BR530" s="141">
        <v>76913839.159999996</v>
      </c>
      <c r="BU530" s="141">
        <v>76913839.159999996</v>
      </c>
    </row>
    <row r="531" spans="1:73" ht="14.4" x14ac:dyDescent="0.3">
      <c r="A531" s="160" t="s">
        <v>45</v>
      </c>
      <c r="B531" s="161">
        <v>1998</v>
      </c>
      <c r="C531" s="161">
        <v>321688.28999999998</v>
      </c>
      <c r="D531" s="161">
        <v>5501393.0200000005</v>
      </c>
      <c r="E531" s="161">
        <v>7220330.6100000003</v>
      </c>
      <c r="F531" s="161">
        <v>8230297.6900000004</v>
      </c>
      <c r="G531" s="161">
        <v>8249152.4399999995</v>
      </c>
      <c r="H531" s="161">
        <v>8116776.8700000001</v>
      </c>
      <c r="I531" s="161">
        <v>7478906.5899999989</v>
      </c>
      <c r="J531" s="161">
        <v>6816501.3600000003</v>
      </c>
      <c r="K531" s="161">
        <v>6771677.9000000004</v>
      </c>
      <c r="L531" s="161">
        <v>8238425.3500000006</v>
      </c>
      <c r="M531" s="161">
        <v>8228533.7800000003</v>
      </c>
      <c r="N531" s="161">
        <v>8223195.2999999989</v>
      </c>
      <c r="O531" s="161">
        <v>8365400.0899999999</v>
      </c>
      <c r="P531" s="161">
        <v>8188894.1700000009</v>
      </c>
      <c r="Q531" s="161">
        <v>8179160.8600000003</v>
      </c>
      <c r="R531" s="161">
        <v>8177508.080000001</v>
      </c>
      <c r="S531" s="161">
        <v>8165723.6800000016</v>
      </c>
      <c r="T531" s="161">
        <v>8164515.4200000009</v>
      </c>
      <c r="U531" s="149"/>
      <c r="V531" s="149"/>
      <c r="W531" s="149"/>
      <c r="X531" s="161">
        <v>8164515.4200000009</v>
      </c>
      <c r="Y531" s="145"/>
      <c r="Z531" s="145"/>
      <c r="AX531" s="141" t="s">
        <v>248</v>
      </c>
      <c r="AY531" s="141">
        <v>1995</v>
      </c>
      <c r="AZ531" s="141">
        <v>2016553.35</v>
      </c>
      <c r="BA531" s="141">
        <v>16977764.640000001</v>
      </c>
      <c r="BB531" s="141">
        <v>35376056.670000002</v>
      </c>
      <c r="BC531" s="141">
        <v>45907760.859999999</v>
      </c>
      <c r="BD531" s="141">
        <v>53237404.920000002</v>
      </c>
      <c r="BE531" s="141">
        <v>58434927.189999998</v>
      </c>
      <c r="BF531" s="141">
        <v>63636091.520000003</v>
      </c>
      <c r="BG531" s="141">
        <v>63808081.57</v>
      </c>
      <c r="BH531" s="141">
        <v>64404641.609999999</v>
      </c>
      <c r="BI531" s="141">
        <v>64860756.170000002</v>
      </c>
      <c r="BJ531" s="141">
        <v>63893946.299999997</v>
      </c>
      <c r="BK531" s="141">
        <v>63480157.740000002</v>
      </c>
      <c r="BL531" s="141">
        <v>63504411.719999999</v>
      </c>
      <c r="BM531" s="141">
        <v>63831865.600000001</v>
      </c>
      <c r="BN531" s="141">
        <v>63807468.799999997</v>
      </c>
      <c r="BO531" s="141">
        <v>63807468.799999997</v>
      </c>
      <c r="BP531" s="141">
        <v>63807468.799999997</v>
      </c>
      <c r="BQ531" s="141">
        <v>63809420.799999997</v>
      </c>
      <c r="BU531" s="141">
        <v>63809420.799999997</v>
      </c>
    </row>
    <row r="532" spans="1:73" ht="14.4" x14ac:dyDescent="0.3">
      <c r="A532" s="160" t="s">
        <v>45</v>
      </c>
      <c r="B532" s="161">
        <v>1999</v>
      </c>
      <c r="C532" s="161">
        <v>2835015.73</v>
      </c>
      <c r="D532" s="161">
        <v>3932563.65</v>
      </c>
      <c r="E532" s="161">
        <v>9542193.290000001</v>
      </c>
      <c r="F532" s="161">
        <v>9889516.8599999994</v>
      </c>
      <c r="G532" s="161">
        <v>9698600.7700000014</v>
      </c>
      <c r="H532" s="161">
        <v>7364411.6500000004</v>
      </c>
      <c r="I532" s="161">
        <v>8878548.2300000004</v>
      </c>
      <c r="J532" s="161">
        <v>9007442.1500000004</v>
      </c>
      <c r="K532" s="161">
        <v>9943363.4700000007</v>
      </c>
      <c r="L532" s="161">
        <v>9939482.6199999973</v>
      </c>
      <c r="M532" s="161">
        <v>9936450.8200000003</v>
      </c>
      <c r="N532" s="161">
        <v>9949066.7799999993</v>
      </c>
      <c r="O532" s="161">
        <v>9993028.8199999984</v>
      </c>
      <c r="P532" s="161">
        <v>9992709.3099999987</v>
      </c>
      <c r="Q532" s="161">
        <v>10168464.52</v>
      </c>
      <c r="R532" s="161">
        <v>10168244.52</v>
      </c>
      <c r="S532" s="161">
        <v>10168474.52</v>
      </c>
      <c r="T532" s="149"/>
      <c r="U532" s="149"/>
      <c r="V532" s="149"/>
      <c r="W532" s="149"/>
      <c r="X532" s="161">
        <v>10168474.52</v>
      </c>
      <c r="Y532" s="145"/>
      <c r="Z532" s="145"/>
      <c r="AX532" s="141" t="s">
        <v>248</v>
      </c>
      <c r="AY532" s="141">
        <v>1996</v>
      </c>
      <c r="AZ532" s="141">
        <v>3467527.66</v>
      </c>
      <c r="BA532" s="141">
        <v>22953685.609999999</v>
      </c>
      <c r="BB532" s="141">
        <v>43260541.649999999</v>
      </c>
      <c r="BC532" s="141">
        <v>56639376.600000001</v>
      </c>
      <c r="BD532" s="141">
        <v>66572382.039999999</v>
      </c>
      <c r="BE532" s="141">
        <v>68295277.310000002</v>
      </c>
      <c r="BF532" s="141">
        <v>69306384.870000005</v>
      </c>
      <c r="BG532" s="141">
        <v>69644616.019999996</v>
      </c>
      <c r="BH532" s="141">
        <v>69608641.099999994</v>
      </c>
      <c r="BI532" s="141">
        <v>70584718.700000003</v>
      </c>
      <c r="BJ532" s="141">
        <v>70620995.950000003</v>
      </c>
      <c r="BK532" s="141">
        <v>70746517.349999994</v>
      </c>
      <c r="BL532" s="141">
        <v>71181556.840000004</v>
      </c>
      <c r="BM532" s="141">
        <v>71199578.75</v>
      </c>
      <c r="BN532" s="141">
        <v>71259730.939999998</v>
      </c>
      <c r="BO532" s="141">
        <v>71135641.629999995</v>
      </c>
      <c r="BP532" s="141">
        <v>71138356.939999998</v>
      </c>
      <c r="BU532" s="141">
        <v>71138356.939999998</v>
      </c>
    </row>
    <row r="533" spans="1:73" ht="14.4" x14ac:dyDescent="0.3">
      <c r="A533" s="174" t="s">
        <v>45</v>
      </c>
      <c r="B533" s="175">
        <v>2000</v>
      </c>
      <c r="C533" s="176">
        <v>1276058.7</v>
      </c>
      <c r="D533" s="176">
        <v>4558361.21</v>
      </c>
      <c r="E533" s="176">
        <v>5682354.2200000007</v>
      </c>
      <c r="F533" s="176">
        <v>7186621.879999999</v>
      </c>
      <c r="G533" s="176">
        <v>7525099.6400000006</v>
      </c>
      <c r="H533" s="176">
        <v>6792392.3300000001</v>
      </c>
      <c r="I533" s="176">
        <v>6795763.3599999994</v>
      </c>
      <c r="J533" s="176">
        <v>18201569.57</v>
      </c>
      <c r="K533" s="176">
        <v>18190426.490000002</v>
      </c>
      <c r="L533" s="176">
        <v>18187862.350000001</v>
      </c>
      <c r="M533" s="176">
        <v>18181104.190000001</v>
      </c>
      <c r="N533" s="176">
        <v>18176981.629999999</v>
      </c>
      <c r="O533" s="176">
        <v>18177659.219999999</v>
      </c>
      <c r="P533" s="176">
        <v>18182341.900000002</v>
      </c>
      <c r="Q533" s="176">
        <v>18181055.969999999</v>
      </c>
      <c r="R533" s="176">
        <v>18179762.5</v>
      </c>
      <c r="S533" s="149"/>
      <c r="T533" s="149"/>
      <c r="U533" s="149"/>
      <c r="V533" s="149"/>
      <c r="W533" s="149"/>
      <c r="X533" s="161">
        <v>18179762.5</v>
      </c>
      <c r="Y533" s="145"/>
      <c r="Z533" s="145"/>
      <c r="AX533" s="141" t="s">
        <v>248</v>
      </c>
      <c r="AY533" s="141">
        <v>1997</v>
      </c>
      <c r="AZ533" s="141">
        <v>3922945.72</v>
      </c>
      <c r="BA533" s="141">
        <v>23104129.079999998</v>
      </c>
      <c r="BB533" s="141">
        <v>43532356.270000003</v>
      </c>
      <c r="BC533" s="141">
        <v>56716217.789999999</v>
      </c>
      <c r="BD533" s="141">
        <v>65335737.729999997</v>
      </c>
      <c r="BE533" s="141">
        <v>67581655.219999999</v>
      </c>
      <c r="BF533" s="141">
        <v>68791682.060000002</v>
      </c>
      <c r="BG533" s="141">
        <v>69902858.510000005</v>
      </c>
      <c r="BH533" s="141">
        <v>69946786.640000001</v>
      </c>
      <c r="BI533" s="141">
        <v>70230376.829999998</v>
      </c>
      <c r="BJ533" s="141">
        <v>71919448.700000003</v>
      </c>
      <c r="BK533" s="141">
        <v>71934910.909999996</v>
      </c>
      <c r="BL533" s="141">
        <v>71929994.099999994</v>
      </c>
      <c r="BM533" s="141">
        <v>71929994.099999994</v>
      </c>
      <c r="BN533" s="141">
        <v>71929994.099999994</v>
      </c>
      <c r="BO533" s="141">
        <v>71929994.189999998</v>
      </c>
      <c r="BU533" s="141">
        <v>71929994.189999998</v>
      </c>
    </row>
    <row r="534" spans="1:73" ht="14.4" x14ac:dyDescent="0.3">
      <c r="A534" s="160" t="s">
        <v>45</v>
      </c>
      <c r="B534" s="161">
        <v>2001</v>
      </c>
      <c r="C534" s="161">
        <v>928573.12</v>
      </c>
      <c r="D534" s="161">
        <v>3103124.54</v>
      </c>
      <c r="E534" s="161">
        <v>5990759.1300000008</v>
      </c>
      <c r="F534" s="161">
        <v>8844096.9400000013</v>
      </c>
      <c r="G534" s="161">
        <v>8702858.3499999996</v>
      </c>
      <c r="H534" s="161">
        <v>8646915.290000001</v>
      </c>
      <c r="I534" s="161">
        <v>23888684.02</v>
      </c>
      <c r="J534" s="161">
        <v>23908373.340000004</v>
      </c>
      <c r="K534" s="161">
        <v>23901815.52</v>
      </c>
      <c r="L534" s="161">
        <v>23908014.090000004</v>
      </c>
      <c r="M534" s="161">
        <v>23881809.140000001</v>
      </c>
      <c r="N534" s="161">
        <v>23858610.759999998</v>
      </c>
      <c r="O534" s="161">
        <v>23842592.140000001</v>
      </c>
      <c r="P534" s="161">
        <v>23758403.170000002</v>
      </c>
      <c r="Q534" s="161">
        <v>23733846.539999999</v>
      </c>
      <c r="R534" s="149"/>
      <c r="S534" s="149"/>
      <c r="T534" s="149"/>
      <c r="U534" s="149"/>
      <c r="V534" s="149"/>
      <c r="W534" s="149"/>
      <c r="X534" s="161">
        <v>23733846.539999999</v>
      </c>
      <c r="Y534" s="145"/>
      <c r="Z534" s="145"/>
      <c r="AX534" s="141" t="s">
        <v>248</v>
      </c>
      <c r="AY534" s="141">
        <v>1998</v>
      </c>
      <c r="AZ534" s="141">
        <v>3286122.02</v>
      </c>
      <c r="BA534" s="141">
        <v>19861603.879999999</v>
      </c>
      <c r="BB534" s="141">
        <v>38646888.329999998</v>
      </c>
      <c r="BC534" s="141">
        <v>54355265.939999998</v>
      </c>
      <c r="BD534" s="141">
        <v>58252727.18</v>
      </c>
      <c r="BE534" s="141">
        <v>60450318.960000001</v>
      </c>
      <c r="BF534" s="141">
        <v>65942110.990000002</v>
      </c>
      <c r="BG534" s="141">
        <v>70400851.340000004</v>
      </c>
      <c r="BH534" s="141">
        <v>71206110.980000004</v>
      </c>
      <c r="BI534" s="141">
        <v>70925736.430000007</v>
      </c>
      <c r="BJ534" s="141">
        <v>70632578.890000001</v>
      </c>
      <c r="BK534" s="141">
        <v>70543593.780000001</v>
      </c>
      <c r="BL534" s="141">
        <v>70520519.829999998</v>
      </c>
      <c r="BM534" s="141">
        <v>70385071.25</v>
      </c>
      <c r="BN534" s="141">
        <v>70365829.689999998</v>
      </c>
      <c r="BU534" s="141">
        <v>70365829.689999998</v>
      </c>
    </row>
    <row r="535" spans="1:73" ht="14.4" x14ac:dyDescent="0.3">
      <c r="A535" s="160" t="s">
        <v>45</v>
      </c>
      <c r="B535" s="161">
        <v>2002</v>
      </c>
      <c r="C535" s="161">
        <v>1110657.49</v>
      </c>
      <c r="D535" s="161">
        <v>6197929.4500000002</v>
      </c>
      <c r="E535" s="161">
        <v>8834713.8499999996</v>
      </c>
      <c r="F535" s="161">
        <v>12515685.42</v>
      </c>
      <c r="G535" s="161">
        <v>19836427.520000003</v>
      </c>
      <c r="H535" s="161">
        <v>38117946.549999997</v>
      </c>
      <c r="I535" s="161">
        <v>38587082.150000006</v>
      </c>
      <c r="J535" s="161">
        <v>38575494.299999997</v>
      </c>
      <c r="K535" s="161">
        <v>38870169.820000008</v>
      </c>
      <c r="L535" s="161">
        <v>38862526.370000005</v>
      </c>
      <c r="M535" s="161">
        <v>38806968.120000005</v>
      </c>
      <c r="N535" s="161">
        <v>38761694.050000004</v>
      </c>
      <c r="O535" s="161">
        <v>38728033.979999997</v>
      </c>
      <c r="P535" s="161">
        <v>38710013.800000004</v>
      </c>
      <c r="Q535" s="149"/>
      <c r="R535" s="149"/>
      <c r="S535" s="149"/>
      <c r="T535" s="149"/>
      <c r="U535" s="149"/>
      <c r="V535" s="149"/>
      <c r="W535" s="149"/>
      <c r="X535" s="161">
        <v>38710013.800000004</v>
      </c>
      <c r="Y535" s="145"/>
      <c r="Z535" s="145"/>
      <c r="AX535" s="141" t="s">
        <v>248</v>
      </c>
      <c r="AY535" s="141">
        <v>1999</v>
      </c>
      <c r="AZ535" s="141">
        <v>4130412.21</v>
      </c>
      <c r="BA535" s="141">
        <v>19733943.370000001</v>
      </c>
      <c r="BB535" s="141">
        <v>34733505.25</v>
      </c>
      <c r="BC535" s="141">
        <v>48371538.25</v>
      </c>
      <c r="BD535" s="141">
        <v>54844256.689999998</v>
      </c>
      <c r="BE535" s="141">
        <v>58647274.590000004</v>
      </c>
      <c r="BF535" s="141">
        <v>59584000.659999996</v>
      </c>
      <c r="BG535" s="141">
        <v>60022248.799999997</v>
      </c>
      <c r="BH535" s="141">
        <v>60173745.18</v>
      </c>
      <c r="BI535" s="141">
        <v>60202223.659999996</v>
      </c>
      <c r="BJ535" s="141">
        <v>59900769.329999998</v>
      </c>
      <c r="BK535" s="141">
        <v>59893665.229999997</v>
      </c>
      <c r="BL535" s="141">
        <v>59957845.310000002</v>
      </c>
      <c r="BM535" s="141">
        <v>60011542.009999998</v>
      </c>
      <c r="BU535" s="141">
        <v>60011542.009999998</v>
      </c>
    </row>
    <row r="536" spans="1:73" ht="14.4" x14ac:dyDescent="0.3">
      <c r="A536" s="160" t="s">
        <v>45</v>
      </c>
      <c r="B536" s="161">
        <v>2003</v>
      </c>
      <c r="C536" s="161">
        <v>3088707.6</v>
      </c>
      <c r="D536" s="161">
        <v>7085392.0099999998</v>
      </c>
      <c r="E536" s="161">
        <v>8971722.6799999997</v>
      </c>
      <c r="F536" s="161">
        <v>8913357.5300000012</v>
      </c>
      <c r="G536" s="161">
        <v>8734343.1400000006</v>
      </c>
      <c r="H536" s="161">
        <v>8845576.3900000006</v>
      </c>
      <c r="I536" s="161">
        <v>8834352.7599999998</v>
      </c>
      <c r="J536" s="161">
        <v>8816659.1500000004</v>
      </c>
      <c r="K536" s="161">
        <v>8791249.6500000004</v>
      </c>
      <c r="L536" s="161">
        <v>8783401.0300000012</v>
      </c>
      <c r="M536" s="161">
        <v>8779508.790000001</v>
      </c>
      <c r="N536" s="161">
        <v>8772578.540000001</v>
      </c>
      <c r="O536" s="161">
        <v>8770303.540000001</v>
      </c>
      <c r="P536" s="149"/>
      <c r="Q536" s="149"/>
      <c r="R536" s="149"/>
      <c r="S536" s="149"/>
      <c r="T536" s="149"/>
      <c r="U536" s="149"/>
      <c r="V536" s="149"/>
      <c r="W536" s="149"/>
      <c r="X536" s="161">
        <v>8770303.540000001</v>
      </c>
      <c r="Y536" s="145"/>
      <c r="Z536" s="145"/>
      <c r="AX536" s="141" t="s">
        <v>248</v>
      </c>
      <c r="AY536" s="141">
        <v>2000</v>
      </c>
      <c r="AZ536" s="141">
        <v>5012550.3499999996</v>
      </c>
      <c r="BA536" s="141">
        <v>21564364.260000002</v>
      </c>
      <c r="BB536" s="141">
        <v>39413159.509999998</v>
      </c>
      <c r="BC536" s="141">
        <v>51691178.479999997</v>
      </c>
      <c r="BD536" s="141">
        <v>61185288.060000002</v>
      </c>
      <c r="BE536" s="141">
        <v>64842233.030000001</v>
      </c>
      <c r="BF536" s="141">
        <v>67458362.370000005</v>
      </c>
      <c r="BG536" s="141">
        <v>69300854.760000005</v>
      </c>
      <c r="BH536" s="141">
        <v>71613346.310000002</v>
      </c>
      <c r="BI536" s="141">
        <v>71890297.439999998</v>
      </c>
      <c r="BJ536" s="141">
        <v>73619315.829999998</v>
      </c>
      <c r="BK536" s="141">
        <v>73652601.069999993</v>
      </c>
      <c r="BL536" s="141">
        <v>73657540.069999993</v>
      </c>
      <c r="BU536" s="141">
        <v>73657540.069999993</v>
      </c>
    </row>
    <row r="537" spans="1:73" ht="14.4" x14ac:dyDescent="0.3">
      <c r="A537" s="160" t="s">
        <v>45</v>
      </c>
      <c r="B537" s="161">
        <v>2004</v>
      </c>
      <c r="C537" s="161">
        <v>790971.26</v>
      </c>
      <c r="D537" s="161">
        <v>3402978.1499999994</v>
      </c>
      <c r="E537" s="161">
        <v>7902664.6200000001</v>
      </c>
      <c r="F537" s="161">
        <v>10013429.540000001</v>
      </c>
      <c r="G537" s="161">
        <v>10543750.560000001</v>
      </c>
      <c r="H537" s="161">
        <v>10390348.82</v>
      </c>
      <c r="I537" s="161">
        <v>10246116.83</v>
      </c>
      <c r="J537" s="161">
        <v>10016216.77</v>
      </c>
      <c r="K537" s="161">
        <v>10013411.15</v>
      </c>
      <c r="L537" s="161">
        <v>10013002.390000001</v>
      </c>
      <c r="M537" s="161">
        <v>10012053.939999999</v>
      </c>
      <c r="N537" s="161">
        <v>10012209.119999999</v>
      </c>
      <c r="O537" s="149"/>
      <c r="P537" s="149"/>
      <c r="Q537" s="149"/>
      <c r="R537" s="149"/>
      <c r="S537" s="149"/>
      <c r="T537" s="149"/>
      <c r="U537" s="149"/>
      <c r="V537" s="149"/>
      <c r="W537" s="149"/>
      <c r="X537" s="161">
        <v>10012209.119999999</v>
      </c>
      <c r="Y537" s="145"/>
      <c r="Z537" s="145"/>
      <c r="AX537" s="141" t="s">
        <v>248</v>
      </c>
      <c r="AY537" s="141">
        <v>2001</v>
      </c>
      <c r="AZ537" s="141">
        <v>3957049.13</v>
      </c>
      <c r="BA537" s="141">
        <v>22365563.140000001</v>
      </c>
      <c r="BB537" s="141">
        <v>38529035.57</v>
      </c>
      <c r="BC537" s="141">
        <v>53365934.130000003</v>
      </c>
      <c r="BD537" s="141">
        <v>67852935.879999995</v>
      </c>
      <c r="BE537" s="141">
        <v>70787201.340000004</v>
      </c>
      <c r="BF537" s="141">
        <v>71159436.060000002</v>
      </c>
      <c r="BG537" s="141">
        <v>72429886.719999999</v>
      </c>
      <c r="BH537" s="141">
        <v>73011647.609999999</v>
      </c>
      <c r="BI537" s="141">
        <v>73385555.900000006</v>
      </c>
      <c r="BJ537" s="141">
        <v>73437808.590000004</v>
      </c>
      <c r="BK537" s="141">
        <v>73786394.260000005</v>
      </c>
      <c r="BU537" s="141">
        <v>73786394.260000005</v>
      </c>
    </row>
    <row r="538" spans="1:73" ht="14.4" x14ac:dyDescent="0.3">
      <c r="A538" s="160" t="s">
        <v>45</v>
      </c>
      <c r="B538" s="161">
        <v>2005</v>
      </c>
      <c r="C538" s="161">
        <v>11039.64</v>
      </c>
      <c r="D538" s="161">
        <v>2193733.87</v>
      </c>
      <c r="E538" s="161">
        <v>3564595.83</v>
      </c>
      <c r="F538" s="161">
        <v>3634278.34</v>
      </c>
      <c r="G538" s="161">
        <v>3639991.96</v>
      </c>
      <c r="H538" s="161">
        <v>3629424.6400000001</v>
      </c>
      <c r="I538" s="161">
        <v>3628066.6100000003</v>
      </c>
      <c r="J538" s="161">
        <v>3624544.87</v>
      </c>
      <c r="K538" s="161">
        <v>3622854.02</v>
      </c>
      <c r="L538" s="161">
        <v>3622451.3200000003</v>
      </c>
      <c r="M538" s="161">
        <v>3621446.23</v>
      </c>
      <c r="N538" s="149"/>
      <c r="O538" s="149"/>
      <c r="P538" s="149"/>
      <c r="Q538" s="149"/>
      <c r="R538" s="149"/>
      <c r="S538" s="149"/>
      <c r="T538" s="149"/>
      <c r="U538" s="149"/>
      <c r="V538" s="149"/>
      <c r="W538" s="149"/>
      <c r="X538" s="161">
        <v>3621446.23</v>
      </c>
      <c r="Y538" s="145"/>
      <c r="Z538" s="145"/>
      <c r="AX538" s="141" t="s">
        <v>248</v>
      </c>
      <c r="AY538" s="141">
        <v>2002</v>
      </c>
      <c r="AZ538" s="141">
        <v>6395439.75</v>
      </c>
      <c r="BA538" s="141">
        <v>37918700.079999998</v>
      </c>
      <c r="BB538" s="141">
        <v>59617910.450000003</v>
      </c>
      <c r="BC538" s="141">
        <v>82556873.689999998</v>
      </c>
      <c r="BD538" s="141">
        <v>92939004.790000007</v>
      </c>
      <c r="BE538" s="141">
        <v>95658700.140000001</v>
      </c>
      <c r="BF538" s="141">
        <v>98368635.879999995</v>
      </c>
      <c r="BG538" s="141">
        <v>97000102.939999998</v>
      </c>
      <c r="BH538" s="141">
        <v>97349933.090000004</v>
      </c>
      <c r="BI538" s="141">
        <v>97520610.430000007</v>
      </c>
      <c r="BJ538" s="141">
        <v>98216251.150000006</v>
      </c>
      <c r="BU538" s="141">
        <v>98216251.150000006</v>
      </c>
    </row>
    <row r="539" spans="1:73" ht="14.4" x14ac:dyDescent="0.3">
      <c r="A539" s="160" t="s">
        <v>45</v>
      </c>
      <c r="B539" s="161">
        <v>2006</v>
      </c>
      <c r="C539" s="161">
        <v>163644</v>
      </c>
      <c r="D539" s="161">
        <v>2244276.7699999996</v>
      </c>
      <c r="E539" s="161">
        <v>2244276.7699999996</v>
      </c>
      <c r="F539" s="161">
        <v>2244333.17</v>
      </c>
      <c r="G539" s="161">
        <v>2244333.17</v>
      </c>
      <c r="H539" s="161">
        <v>2244333.17</v>
      </c>
      <c r="I539" s="161">
        <v>2244333.17</v>
      </c>
      <c r="J539" s="161">
        <v>2244333.17</v>
      </c>
      <c r="K539" s="161">
        <v>2244333.17</v>
      </c>
      <c r="L539" s="161">
        <v>2244333.17</v>
      </c>
      <c r="M539" s="149"/>
      <c r="N539" s="149"/>
      <c r="O539" s="149"/>
      <c r="P539" s="149"/>
      <c r="Q539" s="149"/>
      <c r="R539" s="149"/>
      <c r="S539" s="149"/>
      <c r="T539" s="149"/>
      <c r="U539" s="149"/>
      <c r="V539" s="149"/>
      <c r="W539" s="149"/>
      <c r="X539" s="161">
        <v>2244333.17</v>
      </c>
      <c r="Y539" s="145"/>
      <c r="Z539" s="145"/>
      <c r="AX539" s="141" t="s">
        <v>248</v>
      </c>
      <c r="AY539" s="141">
        <v>2003</v>
      </c>
      <c r="AZ539" s="141">
        <v>7149995.4000000004</v>
      </c>
      <c r="BA539" s="141">
        <v>57219041.93</v>
      </c>
      <c r="BB539" s="141">
        <v>91201251.930000007</v>
      </c>
      <c r="BC539" s="141">
        <v>108308106.56</v>
      </c>
      <c r="BD539" s="141">
        <v>120030155.7</v>
      </c>
      <c r="BE539" s="141">
        <v>126322014.61</v>
      </c>
      <c r="BF539" s="141">
        <v>129175351.01000001</v>
      </c>
      <c r="BG539" s="141">
        <v>130894332.23</v>
      </c>
      <c r="BH539" s="141">
        <v>131445934.19</v>
      </c>
      <c r="BI539" s="141">
        <v>131689494.62</v>
      </c>
      <c r="BU539" s="141">
        <v>131689494.62</v>
      </c>
    </row>
    <row r="540" spans="1:73" ht="14.4" x14ac:dyDescent="0.3">
      <c r="A540" s="160" t="s">
        <v>45</v>
      </c>
      <c r="B540" s="161">
        <v>2007</v>
      </c>
      <c r="C540" s="161">
        <v>-2051.85</v>
      </c>
      <c r="D540" s="161">
        <v>215519.67000000004</v>
      </c>
      <c r="E540" s="161">
        <v>315831.71999999997</v>
      </c>
      <c r="F540" s="161">
        <v>898151.69</v>
      </c>
      <c r="G540" s="161">
        <v>831638.45</v>
      </c>
      <c r="H540" s="161">
        <v>808417.83999999985</v>
      </c>
      <c r="I540" s="161">
        <v>815433.74999999988</v>
      </c>
      <c r="J540" s="161">
        <v>850743.74</v>
      </c>
      <c r="K540" s="161">
        <v>884789.2</v>
      </c>
      <c r="L540" s="149"/>
      <c r="M540" s="149"/>
      <c r="N540" s="149"/>
      <c r="O540" s="149"/>
      <c r="P540" s="149"/>
      <c r="Q540" s="149"/>
      <c r="R540" s="149"/>
      <c r="S540" s="149"/>
      <c r="T540" s="149"/>
      <c r="U540" s="149"/>
      <c r="V540" s="149"/>
      <c r="W540" s="149"/>
      <c r="X540" s="161">
        <v>884789.2</v>
      </c>
      <c r="Y540" s="145"/>
      <c r="Z540" s="145"/>
      <c r="AX540" s="141" t="s">
        <v>248</v>
      </c>
      <c r="AY540" s="141">
        <v>2004</v>
      </c>
      <c r="AZ540" s="141">
        <v>6860159.0099999998</v>
      </c>
      <c r="BA540" s="141">
        <v>42529262.780000001</v>
      </c>
      <c r="BB540" s="141">
        <v>71411449.140000001</v>
      </c>
      <c r="BC540" s="141">
        <v>88117051.040000007</v>
      </c>
      <c r="BD540" s="141">
        <v>99838967.060000002</v>
      </c>
      <c r="BE540" s="141">
        <v>99747832.840000004</v>
      </c>
      <c r="BF540" s="141">
        <v>101304560.92</v>
      </c>
      <c r="BG540" s="141">
        <v>102640702.64</v>
      </c>
      <c r="BH540" s="141">
        <v>103459863.86</v>
      </c>
      <c r="BU540" s="141">
        <v>103459863.86</v>
      </c>
    </row>
    <row r="541" spans="1:73" ht="14.4" x14ac:dyDescent="0.3">
      <c r="A541" s="160" t="s">
        <v>45</v>
      </c>
      <c r="B541" s="161">
        <v>2008</v>
      </c>
      <c r="C541" s="161">
        <v>5038432.18</v>
      </c>
      <c r="D541" s="161">
        <v>5925746.6400000006</v>
      </c>
      <c r="E541" s="161">
        <v>6474961.3200000003</v>
      </c>
      <c r="F541" s="161">
        <v>8981873.0399999991</v>
      </c>
      <c r="G541" s="161">
        <v>8984072.0700000003</v>
      </c>
      <c r="H541" s="161">
        <v>8975338.629999999</v>
      </c>
      <c r="I541" s="161">
        <v>15104520.77</v>
      </c>
      <c r="J541" s="161">
        <v>15126348.26</v>
      </c>
      <c r="K541" s="149"/>
      <c r="L541" s="149"/>
      <c r="M541" s="149"/>
      <c r="N541" s="149"/>
      <c r="O541" s="149"/>
      <c r="P541" s="149"/>
      <c r="Q541" s="149"/>
      <c r="R541" s="149"/>
      <c r="S541" s="149"/>
      <c r="T541" s="149"/>
      <c r="U541" s="149"/>
      <c r="V541" s="149"/>
      <c r="W541" s="149"/>
      <c r="X541" s="161">
        <v>15126348.26</v>
      </c>
      <c r="Y541" s="145"/>
      <c r="Z541" s="145"/>
      <c r="AX541" s="141" t="s">
        <v>248</v>
      </c>
      <c r="AY541" s="141">
        <v>2005</v>
      </c>
      <c r="AZ541" s="141">
        <v>6235936.2699999996</v>
      </c>
      <c r="BA541" s="141">
        <v>34667906.460000001</v>
      </c>
      <c r="BB541" s="141">
        <v>56836042.549999997</v>
      </c>
      <c r="BC541" s="141">
        <v>78443051.340000004</v>
      </c>
      <c r="BD541" s="141">
        <v>86716849.549999997</v>
      </c>
      <c r="BE541" s="141">
        <v>94538525.439999998</v>
      </c>
      <c r="BF541" s="141">
        <v>98107571.400000006</v>
      </c>
      <c r="BG541" s="141">
        <v>99003554.939999998</v>
      </c>
      <c r="BU541" s="141">
        <v>99003554.939999998</v>
      </c>
    </row>
    <row r="542" spans="1:73" ht="14.4" x14ac:dyDescent="0.3">
      <c r="A542" s="160" t="s">
        <v>45</v>
      </c>
      <c r="B542" s="161">
        <v>2009</v>
      </c>
      <c r="C542" s="161">
        <v>513176.29000000004</v>
      </c>
      <c r="D542" s="161">
        <v>2952821.4000000004</v>
      </c>
      <c r="E542" s="161">
        <v>4100218.31</v>
      </c>
      <c r="F542" s="161">
        <v>11556763.25</v>
      </c>
      <c r="G542" s="161">
        <v>17094976</v>
      </c>
      <c r="H542" s="161">
        <v>17115393.170000002</v>
      </c>
      <c r="I542" s="161">
        <v>17489415.640000001</v>
      </c>
      <c r="J542" s="149"/>
      <c r="K542" s="149"/>
      <c r="L542" s="149"/>
      <c r="M542" s="149"/>
      <c r="N542" s="149"/>
      <c r="O542" s="149"/>
      <c r="P542" s="149"/>
      <c r="Q542" s="149"/>
      <c r="R542" s="149"/>
      <c r="S542" s="149"/>
      <c r="T542" s="149"/>
      <c r="U542" s="149"/>
      <c r="V542" s="149"/>
      <c r="W542" s="149"/>
      <c r="X542" s="161">
        <v>17489415.640000001</v>
      </c>
      <c r="Y542" s="145"/>
      <c r="Z542" s="145"/>
      <c r="AX542" s="141" t="s">
        <v>248</v>
      </c>
      <c r="AY542" s="141">
        <v>2006</v>
      </c>
      <c r="AZ542" s="141">
        <v>7571720.46</v>
      </c>
      <c r="BA542" s="141">
        <v>35294353.060000002</v>
      </c>
      <c r="BB542" s="141">
        <v>68580595.920000002</v>
      </c>
      <c r="BC542" s="141">
        <v>82613608.599999994</v>
      </c>
      <c r="BD542" s="141">
        <v>90710346.900000006</v>
      </c>
      <c r="BE542" s="141">
        <v>96869186.909999996</v>
      </c>
      <c r="BF542" s="141">
        <v>100103490.93000001</v>
      </c>
      <c r="BU542" s="141">
        <v>100103490.93000001</v>
      </c>
    </row>
    <row r="543" spans="1:73" ht="14.4" x14ac:dyDescent="0.3">
      <c r="A543" s="160" t="s">
        <v>45</v>
      </c>
      <c r="B543" s="161">
        <v>2010</v>
      </c>
      <c r="C543" s="161">
        <v>0</v>
      </c>
      <c r="D543" s="161">
        <v>637206.15999999992</v>
      </c>
      <c r="E543" s="161">
        <v>2429967.96</v>
      </c>
      <c r="F543" s="161">
        <v>5623010.1699999999</v>
      </c>
      <c r="G543" s="161">
        <v>5622180.2899999991</v>
      </c>
      <c r="H543" s="161">
        <v>5747194.7699999996</v>
      </c>
      <c r="I543" s="149"/>
      <c r="J543" s="149"/>
      <c r="K543" s="149"/>
      <c r="L543" s="149"/>
      <c r="M543" s="149"/>
      <c r="N543" s="149"/>
      <c r="O543" s="149"/>
      <c r="P543" s="149"/>
      <c r="Q543" s="149"/>
      <c r="R543" s="149"/>
      <c r="S543" s="149"/>
      <c r="T543" s="149"/>
      <c r="U543" s="149"/>
      <c r="V543" s="149"/>
      <c r="W543" s="149"/>
      <c r="X543" s="161">
        <v>5747194.7699999996</v>
      </c>
      <c r="Y543" s="145"/>
      <c r="Z543" s="145"/>
      <c r="AX543" s="141" t="s">
        <v>248</v>
      </c>
      <c r="AY543" s="141">
        <v>2007</v>
      </c>
      <c r="AZ543" s="141">
        <v>7607705.0099999998</v>
      </c>
      <c r="BA543" s="141">
        <v>37357905.469999999</v>
      </c>
      <c r="BB543" s="141">
        <v>56338580.030000001</v>
      </c>
      <c r="BC543" s="141">
        <v>69855874.900000006</v>
      </c>
      <c r="BD543" s="141">
        <v>85036818.939999998</v>
      </c>
      <c r="BE543" s="141">
        <v>91184484.439999998</v>
      </c>
      <c r="BU543" s="141">
        <v>91184484.439999998</v>
      </c>
    </row>
    <row r="544" spans="1:73" ht="14.4" x14ac:dyDescent="0.3">
      <c r="A544" s="160" t="s">
        <v>45</v>
      </c>
      <c r="B544" s="161">
        <v>2011</v>
      </c>
      <c r="C544" s="161">
        <v>0</v>
      </c>
      <c r="D544" s="161">
        <v>267395.77</v>
      </c>
      <c r="E544" s="161">
        <v>322884.20999999996</v>
      </c>
      <c r="F544" s="161">
        <v>322884.20999999996</v>
      </c>
      <c r="G544" s="161">
        <v>326129.61</v>
      </c>
      <c r="H544" s="149"/>
      <c r="I544" s="149"/>
      <c r="J544" s="149"/>
      <c r="K544" s="149"/>
      <c r="L544" s="149"/>
      <c r="M544" s="149"/>
      <c r="N544" s="149"/>
      <c r="O544" s="149"/>
      <c r="P544" s="149"/>
      <c r="Q544" s="149"/>
      <c r="R544" s="149"/>
      <c r="S544" s="149"/>
      <c r="T544" s="149"/>
      <c r="U544" s="149"/>
      <c r="V544" s="149"/>
      <c r="W544" s="149"/>
      <c r="X544" s="161">
        <v>326129.61</v>
      </c>
      <c r="Y544" s="145"/>
      <c r="Z544" s="145"/>
      <c r="AX544" s="141" t="s">
        <v>248</v>
      </c>
      <c r="AY544" s="141">
        <v>2008</v>
      </c>
      <c r="AZ544" s="141">
        <v>10220333.439999999</v>
      </c>
      <c r="BA544" s="141">
        <v>37991750.549999997</v>
      </c>
      <c r="BB544" s="141">
        <v>61142874.420000002</v>
      </c>
      <c r="BC544" s="141">
        <v>76683179.870000005</v>
      </c>
      <c r="BD544" s="141">
        <v>87616968.519999996</v>
      </c>
      <c r="BU544" s="141">
        <v>87616968.519999996</v>
      </c>
    </row>
    <row r="545" spans="1:73" ht="14.4" x14ac:dyDescent="0.3">
      <c r="A545" s="160" t="s">
        <v>45</v>
      </c>
      <c r="B545" s="161">
        <v>2012</v>
      </c>
      <c r="C545" s="161">
        <v>28580</v>
      </c>
      <c r="D545" s="161">
        <v>208174.92</v>
      </c>
      <c r="E545" s="161">
        <v>261698.51</v>
      </c>
      <c r="F545" s="161">
        <v>429630.71</v>
      </c>
      <c r="G545" s="149"/>
      <c r="H545" s="149"/>
      <c r="I545" s="149"/>
      <c r="J545" s="149"/>
      <c r="K545" s="149"/>
      <c r="L545" s="149"/>
      <c r="M545" s="149"/>
      <c r="N545" s="149"/>
      <c r="O545" s="149"/>
      <c r="P545" s="149"/>
      <c r="Q545" s="149"/>
      <c r="R545" s="149"/>
      <c r="S545" s="149"/>
      <c r="T545" s="149"/>
      <c r="U545" s="149"/>
      <c r="V545" s="149"/>
      <c r="W545" s="149"/>
      <c r="X545" s="161">
        <v>429630.71</v>
      </c>
      <c r="Y545" s="145"/>
      <c r="Z545" s="145"/>
      <c r="AX545" s="141" t="s">
        <v>248</v>
      </c>
      <c r="AY545" s="141">
        <v>2009</v>
      </c>
      <c r="AZ545" s="141">
        <v>9291723.3699999992</v>
      </c>
      <c r="BA545" s="141">
        <v>40061455.32</v>
      </c>
      <c r="BB545" s="141">
        <v>70198757.959999993</v>
      </c>
      <c r="BC545" s="141">
        <v>109247550.86</v>
      </c>
      <c r="BU545" s="141">
        <v>109247550.86</v>
      </c>
    </row>
    <row r="546" spans="1:73" ht="14.4" x14ac:dyDescent="0.3">
      <c r="A546" s="160" t="s">
        <v>45</v>
      </c>
      <c r="B546" s="161">
        <v>2013</v>
      </c>
      <c r="C546" s="161">
        <v>22800</v>
      </c>
      <c r="D546" s="161">
        <v>443030.47</v>
      </c>
      <c r="E546" s="161">
        <v>453729.23</v>
      </c>
      <c r="F546" s="149"/>
      <c r="G546" s="149"/>
      <c r="H546" s="149"/>
      <c r="I546" s="149"/>
      <c r="J546" s="149"/>
      <c r="K546" s="149"/>
      <c r="L546" s="149"/>
      <c r="M546" s="149"/>
      <c r="N546" s="149"/>
      <c r="O546" s="149"/>
      <c r="P546" s="149"/>
      <c r="Q546" s="149"/>
      <c r="R546" s="149"/>
      <c r="S546" s="149"/>
      <c r="T546" s="149"/>
      <c r="U546" s="149"/>
      <c r="V546" s="149"/>
      <c r="W546" s="149"/>
      <c r="X546" s="161">
        <v>453729.23</v>
      </c>
      <c r="Y546" s="145"/>
      <c r="Z546" s="145"/>
      <c r="AX546" s="141" t="s">
        <v>248</v>
      </c>
      <c r="AY546" s="141">
        <v>2010</v>
      </c>
      <c r="AZ546" s="141">
        <v>6956245.2599999998</v>
      </c>
      <c r="BA546" s="141">
        <v>39730315.289999999</v>
      </c>
      <c r="BB546" s="141">
        <v>69497589.760000005</v>
      </c>
      <c r="BU546" s="141">
        <v>69497589.760000005</v>
      </c>
    </row>
    <row r="547" spans="1:73" ht="14.4" x14ac:dyDescent="0.3">
      <c r="A547" s="160" t="s">
        <v>45</v>
      </c>
      <c r="B547" s="161">
        <v>2014</v>
      </c>
      <c r="C547" s="161">
        <v>90681.16</v>
      </c>
      <c r="D547" s="161">
        <v>1426957.36</v>
      </c>
      <c r="E547" s="149"/>
      <c r="F547" s="149"/>
      <c r="G547" s="149"/>
      <c r="H547" s="149"/>
      <c r="I547" s="149"/>
      <c r="J547" s="149"/>
      <c r="K547" s="149"/>
      <c r="L547" s="149"/>
      <c r="M547" s="149"/>
      <c r="N547" s="149"/>
      <c r="O547" s="149"/>
      <c r="P547" s="149"/>
      <c r="Q547" s="149"/>
      <c r="R547" s="149"/>
      <c r="S547" s="149"/>
      <c r="T547" s="149"/>
      <c r="U547" s="149"/>
      <c r="V547" s="149"/>
      <c r="W547" s="149"/>
      <c r="X547" s="161">
        <v>1426957.36</v>
      </c>
      <c r="Y547" s="145"/>
      <c r="Z547" s="145"/>
      <c r="AX547" s="141" t="s">
        <v>248</v>
      </c>
      <c r="AY547" s="141">
        <v>2011</v>
      </c>
      <c r="AZ547" s="141">
        <v>10569567.199999999</v>
      </c>
      <c r="BA547" s="141">
        <v>45203583.210000001</v>
      </c>
      <c r="BU547" s="141">
        <v>45203583.210000001</v>
      </c>
    </row>
    <row r="548" spans="1:73" ht="14.4" x14ac:dyDescent="0.3">
      <c r="A548" s="160" t="s">
        <v>45</v>
      </c>
      <c r="B548" s="161">
        <v>2015</v>
      </c>
      <c r="C548" s="161">
        <v>569171.19999999995</v>
      </c>
      <c r="D548" s="149"/>
      <c r="E548" s="149"/>
      <c r="F548" s="149"/>
      <c r="G548" s="149"/>
      <c r="H548" s="149"/>
      <c r="I548" s="149"/>
      <c r="J548" s="149"/>
      <c r="K548" s="149"/>
      <c r="L548" s="149"/>
      <c r="M548" s="149"/>
      <c r="N548" s="149"/>
      <c r="O548" s="149"/>
      <c r="P548" s="149"/>
      <c r="Q548" s="149"/>
      <c r="R548" s="149"/>
      <c r="S548" s="149"/>
      <c r="T548" s="149"/>
      <c r="U548" s="149"/>
      <c r="V548" s="149"/>
      <c r="W548" s="149"/>
      <c r="X548" s="161">
        <v>569171.19999999995</v>
      </c>
      <c r="Y548" s="145"/>
      <c r="Z548" s="145"/>
      <c r="AX548" s="141" t="s">
        <v>248</v>
      </c>
      <c r="AY548" s="141">
        <v>2012</v>
      </c>
      <c r="AZ548" s="141">
        <v>9689784.0999999996</v>
      </c>
      <c r="BU548" s="141">
        <v>9689784.0999999996</v>
      </c>
    </row>
    <row r="549" spans="1:73" ht="14.4" x14ac:dyDescent="0.3">
      <c r="A549" s="160" t="s">
        <v>2</v>
      </c>
      <c r="B549" s="161">
        <v>1995</v>
      </c>
      <c r="C549" s="161">
        <v>531136.24</v>
      </c>
      <c r="D549" s="161">
        <v>717142.7300000001</v>
      </c>
      <c r="E549" s="161">
        <v>2366238.81</v>
      </c>
      <c r="F549" s="161">
        <v>2813168.36</v>
      </c>
      <c r="G549" s="161">
        <v>2867731.9299999997</v>
      </c>
      <c r="H549" s="161">
        <v>2542956.75</v>
      </c>
      <c r="I549" s="161">
        <v>2790676.29</v>
      </c>
      <c r="J549" s="161">
        <v>2792666.1799999997</v>
      </c>
      <c r="K549" s="161">
        <v>2820364.6999999997</v>
      </c>
      <c r="L549" s="161">
        <v>2828912.83</v>
      </c>
      <c r="M549" s="161">
        <v>2830017.27</v>
      </c>
      <c r="N549" s="161">
        <v>2834117.89</v>
      </c>
      <c r="O549" s="161">
        <v>2838791.04</v>
      </c>
      <c r="P549" s="161">
        <v>2844236.21</v>
      </c>
      <c r="Q549" s="161">
        <v>2844332.48</v>
      </c>
      <c r="R549" s="161">
        <v>2846766.63</v>
      </c>
      <c r="S549" s="161">
        <v>2846328.4499999997</v>
      </c>
      <c r="T549" s="161">
        <v>2844139.11</v>
      </c>
      <c r="U549" s="161">
        <v>2846806.4699999997</v>
      </c>
      <c r="V549" s="161">
        <v>2843473.1799999997</v>
      </c>
      <c r="W549" s="161">
        <v>2843473.1799999997</v>
      </c>
      <c r="X549" s="161">
        <v>2843473.1799999997</v>
      </c>
      <c r="Y549" s="145"/>
      <c r="Z549" s="145"/>
      <c r="AX549" s="141" t="s">
        <v>2</v>
      </c>
      <c r="AY549" s="141">
        <v>1992</v>
      </c>
      <c r="AZ549" s="141">
        <v>1548193.57</v>
      </c>
      <c r="BA549" s="141">
        <v>1237949.79</v>
      </c>
      <c r="BB549" s="141">
        <v>1452535.21</v>
      </c>
      <c r="BC549" s="141">
        <v>599104.13</v>
      </c>
      <c r="BD549" s="141">
        <v>2437776.86</v>
      </c>
      <c r="BE549" s="141">
        <v>2857900.87</v>
      </c>
      <c r="BF549" s="141">
        <v>3487831.8</v>
      </c>
      <c r="BG549" s="141">
        <v>3798520.84</v>
      </c>
      <c r="BH549" s="141">
        <v>4055946.01</v>
      </c>
      <c r="BI549" s="141">
        <v>4030049.89</v>
      </c>
      <c r="BJ549" s="141">
        <v>4063050.45</v>
      </c>
      <c r="BK549" s="141">
        <v>4088734.35</v>
      </c>
      <c r="BL549" s="141">
        <v>4119461.09</v>
      </c>
      <c r="BM549" s="141">
        <v>5102353.9800000004</v>
      </c>
      <c r="BN549" s="141">
        <v>5116560.3099999996</v>
      </c>
      <c r="BO549" s="141">
        <v>5122369.41</v>
      </c>
      <c r="BP549" s="141">
        <v>5122979.09</v>
      </c>
      <c r="BQ549" s="141">
        <v>5123252.24</v>
      </c>
      <c r="BR549" s="141">
        <v>5123252.24</v>
      </c>
      <c r="BS549" s="141">
        <v>5123252.24</v>
      </c>
      <c r="BT549" s="141">
        <v>5123252.24</v>
      </c>
      <c r="BU549" s="141">
        <v>5123252.24</v>
      </c>
    </row>
    <row r="550" spans="1:73" ht="14.4" x14ac:dyDescent="0.3">
      <c r="A550" s="160" t="s">
        <v>2</v>
      </c>
      <c r="B550" s="161">
        <v>1996</v>
      </c>
      <c r="C550" s="161">
        <v>71493.72</v>
      </c>
      <c r="D550" s="161">
        <v>440963.24</v>
      </c>
      <c r="E550" s="161">
        <v>745673.84</v>
      </c>
      <c r="F550" s="161">
        <v>885495.16</v>
      </c>
      <c r="G550" s="161">
        <v>1145539.29</v>
      </c>
      <c r="H550" s="161">
        <v>1849504.68</v>
      </c>
      <c r="I550" s="161">
        <v>1849234.68</v>
      </c>
      <c r="J550" s="161">
        <v>1849234.68</v>
      </c>
      <c r="K550" s="161">
        <v>1849234.68</v>
      </c>
      <c r="L550" s="161">
        <v>1849234.68</v>
      </c>
      <c r="M550" s="161">
        <v>1849234.68</v>
      </c>
      <c r="N550" s="161">
        <v>1849234.68</v>
      </c>
      <c r="O550" s="161">
        <v>1849234.68</v>
      </c>
      <c r="P550" s="161">
        <v>1849234.68</v>
      </c>
      <c r="Q550" s="161">
        <v>1849234.68</v>
      </c>
      <c r="R550" s="161">
        <v>1849234.68</v>
      </c>
      <c r="S550" s="161">
        <v>1849234.68</v>
      </c>
      <c r="T550" s="161">
        <v>1849234.68</v>
      </c>
      <c r="U550" s="161">
        <v>1849234.68</v>
      </c>
      <c r="V550" s="161">
        <v>1849234.68</v>
      </c>
      <c r="W550" s="149"/>
      <c r="X550" s="161">
        <v>1849234.68</v>
      </c>
      <c r="Y550" s="145"/>
      <c r="Z550" s="145"/>
      <c r="AX550" s="141" t="s">
        <v>2</v>
      </c>
      <c r="AY550" s="141">
        <v>1993</v>
      </c>
      <c r="AZ550" s="141">
        <v>1245668.1499999999</v>
      </c>
      <c r="BA550" s="141">
        <v>2149390.5699999998</v>
      </c>
      <c r="BB550" s="141">
        <v>2751372.98</v>
      </c>
      <c r="BC550" s="141">
        <v>3599159.29</v>
      </c>
      <c r="BD550" s="141">
        <v>4441326.1500000004</v>
      </c>
      <c r="BE550" s="141">
        <v>5088688.87</v>
      </c>
      <c r="BF550" s="141">
        <v>5159775.4400000004</v>
      </c>
      <c r="BG550" s="141">
        <v>5329603.21</v>
      </c>
      <c r="BH550" s="141">
        <v>5114097.72</v>
      </c>
      <c r="BI550" s="141">
        <v>5118044.04</v>
      </c>
      <c r="BJ550" s="141">
        <v>5120891.1500000004</v>
      </c>
      <c r="BK550" s="141">
        <v>5121881.47</v>
      </c>
      <c r="BL550" s="141">
        <v>5171513.78</v>
      </c>
      <c r="BM550" s="141">
        <v>5172770.2</v>
      </c>
      <c r="BN550" s="141">
        <v>5172770.2</v>
      </c>
      <c r="BO550" s="141">
        <v>5172770.2</v>
      </c>
      <c r="BP550" s="141">
        <v>5172770.2</v>
      </c>
      <c r="BQ550" s="141">
        <v>5172770.2</v>
      </c>
      <c r="BR550" s="141">
        <v>5172770.2</v>
      </c>
      <c r="BS550" s="141">
        <v>5172750.2</v>
      </c>
      <c r="BU550" s="141">
        <v>5172750.2</v>
      </c>
    </row>
    <row r="551" spans="1:73" ht="14.4" x14ac:dyDescent="0.3">
      <c r="A551" s="160" t="s">
        <v>2</v>
      </c>
      <c r="B551" s="161">
        <v>1997</v>
      </c>
      <c r="C551" s="161">
        <v>166080.70000000001</v>
      </c>
      <c r="D551" s="161">
        <v>2489846</v>
      </c>
      <c r="E551" s="161">
        <v>2882634.3800000004</v>
      </c>
      <c r="F551" s="161">
        <v>3032958.42</v>
      </c>
      <c r="G551" s="161">
        <v>3206947.6100000003</v>
      </c>
      <c r="H551" s="161">
        <v>3212149.96</v>
      </c>
      <c r="I551" s="161">
        <v>3215700.46</v>
      </c>
      <c r="J551" s="161">
        <v>3218643.7700000005</v>
      </c>
      <c r="K551" s="161">
        <v>3223455.31</v>
      </c>
      <c r="L551" s="161">
        <v>3227161.73</v>
      </c>
      <c r="M551" s="161">
        <v>3246823.17</v>
      </c>
      <c r="N551" s="161">
        <v>3249884.0700000003</v>
      </c>
      <c r="O551" s="161">
        <v>3254238.1399999997</v>
      </c>
      <c r="P551" s="161">
        <v>3258741.44</v>
      </c>
      <c r="Q551" s="161">
        <v>3263390.6100000003</v>
      </c>
      <c r="R551" s="161">
        <v>3267713.67</v>
      </c>
      <c r="S551" s="161">
        <v>3270912.62</v>
      </c>
      <c r="T551" s="161">
        <v>3273028.13</v>
      </c>
      <c r="U551" s="161">
        <v>3276763.19</v>
      </c>
      <c r="V551" s="149"/>
      <c r="W551" s="149"/>
      <c r="X551" s="161">
        <v>3276763.19</v>
      </c>
      <c r="Y551" s="145"/>
      <c r="Z551" s="145"/>
      <c r="AX551" s="141" t="s">
        <v>2</v>
      </c>
      <c r="AY551" s="141">
        <v>1994</v>
      </c>
      <c r="AZ551" s="141">
        <v>1433798.93</v>
      </c>
      <c r="BA551" s="141">
        <v>2747374</v>
      </c>
      <c r="BB551" s="141">
        <v>3373631.28</v>
      </c>
      <c r="BC551" s="141">
        <v>4979747.04</v>
      </c>
      <c r="BD551" s="141">
        <v>6094256.21</v>
      </c>
      <c r="BE551" s="141">
        <v>6271955.8399999999</v>
      </c>
      <c r="BF551" s="141">
        <v>6448292.6200000001</v>
      </c>
      <c r="BG551" s="141">
        <v>6501253.8499999996</v>
      </c>
      <c r="BH551" s="141">
        <v>6547323.6399999997</v>
      </c>
      <c r="BI551" s="141">
        <v>6598430.2699999996</v>
      </c>
      <c r="BJ551" s="141">
        <v>6723747.9400000004</v>
      </c>
      <c r="BK551" s="141">
        <v>6741447.9900000002</v>
      </c>
      <c r="BL551" s="141">
        <v>6781840.7199999997</v>
      </c>
      <c r="BM551" s="141">
        <v>6817419.0700000003</v>
      </c>
      <c r="BN551" s="141">
        <v>6868403.21</v>
      </c>
      <c r="BO551" s="141">
        <v>7249715.0700000003</v>
      </c>
      <c r="BP551" s="141">
        <v>7257706.4900000002</v>
      </c>
      <c r="BQ551" s="141">
        <v>7257706.4900000002</v>
      </c>
      <c r="BR551" s="141">
        <v>7257706.4900000002</v>
      </c>
      <c r="BU551" s="141">
        <v>7257706.4900000002</v>
      </c>
    </row>
    <row r="552" spans="1:73" ht="14.4" x14ac:dyDescent="0.3">
      <c r="A552" s="160" t="s">
        <v>2</v>
      </c>
      <c r="B552" s="161">
        <v>1998</v>
      </c>
      <c r="C552" s="161">
        <v>147683.47</v>
      </c>
      <c r="D552" s="161">
        <v>21588642.740000002</v>
      </c>
      <c r="E552" s="161">
        <v>21752336.399999999</v>
      </c>
      <c r="F552" s="161">
        <v>21951933.91</v>
      </c>
      <c r="G552" s="161">
        <v>21965890.010000002</v>
      </c>
      <c r="H552" s="161">
        <v>22022614.049999997</v>
      </c>
      <c r="I552" s="161">
        <v>21976548.689999998</v>
      </c>
      <c r="J552" s="161">
        <v>21976548.689999998</v>
      </c>
      <c r="K552" s="161">
        <v>21976548.689999998</v>
      </c>
      <c r="L552" s="161">
        <v>21976548.689999998</v>
      </c>
      <c r="M552" s="161">
        <v>21976548.689999998</v>
      </c>
      <c r="N552" s="161">
        <v>21976548.689999998</v>
      </c>
      <c r="O552" s="161">
        <v>21976548.689999998</v>
      </c>
      <c r="P552" s="161">
        <v>21976548.689999998</v>
      </c>
      <c r="Q552" s="161">
        <v>21976548.689999998</v>
      </c>
      <c r="R552" s="161">
        <v>21976548.689999998</v>
      </c>
      <c r="S552" s="161">
        <v>21976548.689999998</v>
      </c>
      <c r="T552" s="161">
        <v>21976548.689999998</v>
      </c>
      <c r="U552" s="149"/>
      <c r="V552" s="149"/>
      <c r="W552" s="149"/>
      <c r="X552" s="161">
        <v>21976548.689999998</v>
      </c>
      <c r="Y552" s="145"/>
      <c r="Z552" s="145"/>
      <c r="AX552" s="141" t="s">
        <v>2</v>
      </c>
      <c r="AY552" s="141">
        <v>1995</v>
      </c>
      <c r="AZ552" s="141">
        <v>531136.24</v>
      </c>
      <c r="BA552" s="141">
        <v>717142.73</v>
      </c>
      <c r="BB552" s="141">
        <v>2366238.81</v>
      </c>
      <c r="BC552" s="141">
        <v>2813168.36</v>
      </c>
      <c r="BD552" s="141">
        <v>2867731.93</v>
      </c>
      <c r="BE552" s="141">
        <v>2542956.75</v>
      </c>
      <c r="BF552" s="141">
        <v>2790676.29</v>
      </c>
      <c r="BG552" s="141">
        <v>2792666.18</v>
      </c>
      <c r="BH552" s="141">
        <v>2820364.7</v>
      </c>
      <c r="BI552" s="141">
        <v>2828912.83</v>
      </c>
      <c r="BJ552" s="141">
        <v>2830017.27</v>
      </c>
      <c r="BK552" s="141">
        <v>2834117.89</v>
      </c>
      <c r="BL552" s="141">
        <v>2838791.04</v>
      </c>
      <c r="BM552" s="141">
        <v>2844236.21</v>
      </c>
      <c r="BN552" s="141">
        <v>2844332.48</v>
      </c>
      <c r="BO552" s="141">
        <v>2846766.63</v>
      </c>
      <c r="BP552" s="141">
        <v>2846328.45</v>
      </c>
      <c r="BQ552" s="141">
        <v>2844139.11</v>
      </c>
      <c r="BU552" s="141">
        <v>2844139.11</v>
      </c>
    </row>
    <row r="553" spans="1:73" ht="14.4" x14ac:dyDescent="0.3">
      <c r="A553" s="160" t="s">
        <v>2</v>
      </c>
      <c r="B553" s="161">
        <v>1999</v>
      </c>
      <c r="C553" s="161">
        <v>22761747.82</v>
      </c>
      <c r="D553" s="161">
        <v>23295455.129999999</v>
      </c>
      <c r="E553" s="161">
        <v>24429398.760000002</v>
      </c>
      <c r="F553" s="161">
        <v>24628318.560000002</v>
      </c>
      <c r="G553" s="161">
        <v>25322746.440000001</v>
      </c>
      <c r="H553" s="161">
        <v>25351740.23</v>
      </c>
      <c r="I553" s="161">
        <v>25384157.91</v>
      </c>
      <c r="J553" s="161">
        <v>25401366.900000002</v>
      </c>
      <c r="K553" s="161">
        <v>25412629.219999999</v>
      </c>
      <c r="L553" s="161">
        <v>25416987.100000001</v>
      </c>
      <c r="M553" s="161">
        <v>25422364.640000001</v>
      </c>
      <c r="N553" s="161">
        <v>25429339.349999998</v>
      </c>
      <c r="O553" s="161">
        <v>25449145.059999999</v>
      </c>
      <c r="P553" s="161">
        <v>25455581.73</v>
      </c>
      <c r="Q553" s="161">
        <v>25466626.210000001</v>
      </c>
      <c r="R553" s="161">
        <v>25480841.859999999</v>
      </c>
      <c r="S553" s="161">
        <v>25485465.079999998</v>
      </c>
      <c r="T553" s="149"/>
      <c r="U553" s="149"/>
      <c r="V553" s="149"/>
      <c r="W553" s="149"/>
      <c r="X553" s="161">
        <v>25485465.079999998</v>
      </c>
      <c r="Y553" s="145"/>
      <c r="Z553" s="145"/>
      <c r="AX553" s="141" t="s">
        <v>2</v>
      </c>
      <c r="AY553" s="141">
        <v>1996</v>
      </c>
      <c r="AZ553" s="141">
        <v>71493.72</v>
      </c>
      <c r="BA553" s="141">
        <v>440963.24</v>
      </c>
      <c r="BB553" s="141">
        <v>745673.84</v>
      </c>
      <c r="BC553" s="141">
        <v>885495.16</v>
      </c>
      <c r="BD553" s="141">
        <v>1145539.29</v>
      </c>
      <c r="BE553" s="141">
        <v>1849504.68</v>
      </c>
      <c r="BF553" s="141">
        <v>1849234.68</v>
      </c>
      <c r="BG553" s="141">
        <v>1849234.68</v>
      </c>
      <c r="BH553" s="141">
        <v>1849234.68</v>
      </c>
      <c r="BI553" s="141">
        <v>1849234.68</v>
      </c>
      <c r="BJ553" s="141">
        <v>1849234.68</v>
      </c>
      <c r="BK553" s="141">
        <v>1849234.68</v>
      </c>
      <c r="BL553" s="141">
        <v>1849234.68</v>
      </c>
      <c r="BM553" s="141">
        <v>1849234.68</v>
      </c>
      <c r="BN553" s="141">
        <v>1849234.68</v>
      </c>
      <c r="BO553" s="141">
        <v>1849234.68</v>
      </c>
      <c r="BP553" s="141">
        <v>1849234.68</v>
      </c>
      <c r="BU553" s="141">
        <v>1849234.68</v>
      </c>
    </row>
    <row r="554" spans="1:73" ht="14.4" x14ac:dyDescent="0.3">
      <c r="A554" s="160" t="s">
        <v>2</v>
      </c>
      <c r="B554" s="161">
        <v>2000</v>
      </c>
      <c r="C554" s="161">
        <v>640166.16</v>
      </c>
      <c r="D554" s="161">
        <v>1366221.63</v>
      </c>
      <c r="E554" s="161">
        <v>1733038.46</v>
      </c>
      <c r="F554" s="161">
        <v>2039856.4900000002</v>
      </c>
      <c r="G554" s="161">
        <v>2138118.2800000003</v>
      </c>
      <c r="H554" s="161">
        <v>2512386.91</v>
      </c>
      <c r="I554" s="161">
        <v>2516934.15</v>
      </c>
      <c r="J554" s="161">
        <v>2535421.02</v>
      </c>
      <c r="K554" s="161">
        <v>2535017.46</v>
      </c>
      <c r="L554" s="161">
        <v>2535017.46</v>
      </c>
      <c r="M554" s="161">
        <v>2535017.46</v>
      </c>
      <c r="N554" s="161">
        <v>2535068.46</v>
      </c>
      <c r="O554" s="161">
        <v>2535068.46</v>
      </c>
      <c r="P554" s="161">
        <v>2537172.33</v>
      </c>
      <c r="Q554" s="161">
        <v>2537172.33</v>
      </c>
      <c r="R554" s="161">
        <v>2537172.33</v>
      </c>
      <c r="S554" s="149"/>
      <c r="T554" s="149"/>
      <c r="U554" s="149"/>
      <c r="V554" s="149"/>
      <c r="W554" s="149"/>
      <c r="X554" s="161">
        <v>2537172.33</v>
      </c>
      <c r="Y554" s="145"/>
      <c r="Z554" s="145"/>
      <c r="AX554" s="141" t="s">
        <v>2</v>
      </c>
      <c r="AY554" s="141">
        <v>1997</v>
      </c>
      <c r="AZ554" s="141">
        <v>166080.70000000001</v>
      </c>
      <c r="BA554" s="141">
        <v>2489846</v>
      </c>
      <c r="BB554" s="141">
        <v>2882634.38</v>
      </c>
      <c r="BC554" s="141">
        <v>3032958.42</v>
      </c>
      <c r="BD554" s="141">
        <v>3206947.61</v>
      </c>
      <c r="BE554" s="141">
        <v>3212149.96</v>
      </c>
      <c r="BF554" s="141">
        <v>3215700.46</v>
      </c>
      <c r="BG554" s="141">
        <v>3218643.77</v>
      </c>
      <c r="BH554" s="141">
        <v>3223455.31</v>
      </c>
      <c r="BI554" s="141">
        <v>3227161.73</v>
      </c>
      <c r="BJ554" s="141">
        <v>3246823.17</v>
      </c>
      <c r="BK554" s="141">
        <v>3249884.07</v>
      </c>
      <c r="BL554" s="141">
        <v>3254238.14</v>
      </c>
      <c r="BM554" s="141">
        <v>3258741.44</v>
      </c>
      <c r="BN554" s="141">
        <v>3263390.61</v>
      </c>
      <c r="BO554" s="141">
        <v>3267713.67</v>
      </c>
      <c r="BU554" s="141">
        <v>3267713.67</v>
      </c>
    </row>
    <row r="555" spans="1:73" ht="14.4" x14ac:dyDescent="0.3">
      <c r="A555" s="160" t="s">
        <v>2</v>
      </c>
      <c r="B555" s="161">
        <v>2001</v>
      </c>
      <c r="C555" s="161">
        <v>605384.24</v>
      </c>
      <c r="D555" s="161">
        <v>1285085.2</v>
      </c>
      <c r="E555" s="161">
        <v>1739485.55</v>
      </c>
      <c r="F555" s="161">
        <v>2573664.35</v>
      </c>
      <c r="G555" s="161">
        <v>3227346.93</v>
      </c>
      <c r="H555" s="161">
        <v>3218644.65</v>
      </c>
      <c r="I555" s="161">
        <v>3219692.35</v>
      </c>
      <c r="J555" s="161">
        <v>3228881.3899999997</v>
      </c>
      <c r="K555" s="161">
        <v>3234615.04</v>
      </c>
      <c r="L555" s="161">
        <v>3236051.69</v>
      </c>
      <c r="M555" s="161">
        <v>3231510.65</v>
      </c>
      <c r="N555" s="161">
        <v>3231510.65</v>
      </c>
      <c r="O555" s="161">
        <v>3231510.65</v>
      </c>
      <c r="P555" s="161">
        <v>3231510.65</v>
      </c>
      <c r="Q555" s="161">
        <v>3231510.65</v>
      </c>
      <c r="R555" s="149"/>
      <c r="S555" s="149"/>
      <c r="T555" s="149"/>
      <c r="U555" s="149"/>
      <c r="V555" s="149"/>
      <c r="W555" s="149"/>
      <c r="X555" s="161">
        <v>3231510.65</v>
      </c>
      <c r="Y555" s="145"/>
      <c r="Z555" s="145"/>
      <c r="AX555" s="141" t="s">
        <v>2</v>
      </c>
      <c r="AY555" s="141">
        <v>1998</v>
      </c>
      <c r="AZ555" s="141">
        <v>147683.47</v>
      </c>
      <c r="BA555" s="141">
        <v>21588642.739999998</v>
      </c>
      <c r="BB555" s="141">
        <v>21752336.399999999</v>
      </c>
      <c r="BC555" s="141">
        <v>21951933.91</v>
      </c>
      <c r="BD555" s="141">
        <v>21965890.010000002</v>
      </c>
      <c r="BE555" s="141">
        <v>22022614.050000001</v>
      </c>
      <c r="BF555" s="141">
        <v>21976548.690000001</v>
      </c>
      <c r="BG555" s="141">
        <v>21976548.690000001</v>
      </c>
      <c r="BH555" s="141">
        <v>21976548.690000001</v>
      </c>
      <c r="BI555" s="141">
        <v>21976548.690000001</v>
      </c>
      <c r="BJ555" s="141">
        <v>21976548.690000001</v>
      </c>
      <c r="BK555" s="141">
        <v>21976548.690000001</v>
      </c>
      <c r="BL555" s="141">
        <v>21976548.690000001</v>
      </c>
      <c r="BM555" s="141">
        <v>21976548.690000001</v>
      </c>
      <c r="BN555" s="141">
        <v>21976548.690000001</v>
      </c>
      <c r="BU555" s="141">
        <v>21976548.690000001</v>
      </c>
    </row>
    <row r="556" spans="1:73" ht="14.4" x14ac:dyDescent="0.3">
      <c r="A556" s="160" t="s">
        <v>2</v>
      </c>
      <c r="B556" s="161">
        <v>2002</v>
      </c>
      <c r="C556" s="161">
        <v>510756.99</v>
      </c>
      <c r="D556" s="161">
        <v>1139492</v>
      </c>
      <c r="E556" s="161">
        <v>1306852.0999999999</v>
      </c>
      <c r="F556" s="161">
        <v>1538489.29</v>
      </c>
      <c r="G556" s="161">
        <v>1638177.42</v>
      </c>
      <c r="H556" s="161">
        <v>1631898.87</v>
      </c>
      <c r="I556" s="161">
        <v>1655186.25</v>
      </c>
      <c r="J556" s="161">
        <v>1655491.09</v>
      </c>
      <c r="K556" s="161">
        <v>1655491.09</v>
      </c>
      <c r="L556" s="161">
        <v>1655491.09</v>
      </c>
      <c r="M556" s="161">
        <v>1690270.35</v>
      </c>
      <c r="N556" s="161">
        <v>1692464.03</v>
      </c>
      <c r="O556" s="161">
        <v>1692464.03</v>
      </c>
      <c r="P556" s="161">
        <v>1692464.03</v>
      </c>
      <c r="Q556" s="149"/>
      <c r="R556" s="149"/>
      <c r="S556" s="149"/>
      <c r="T556" s="149"/>
      <c r="U556" s="149"/>
      <c r="V556" s="149"/>
      <c r="W556" s="149"/>
      <c r="X556" s="161">
        <v>1692464.03</v>
      </c>
      <c r="Y556" s="145"/>
      <c r="Z556" s="145"/>
      <c r="AX556" s="141" t="s">
        <v>2</v>
      </c>
      <c r="AY556" s="141">
        <v>1999</v>
      </c>
      <c r="AZ556" s="141">
        <v>22761747.82</v>
      </c>
      <c r="BA556" s="141">
        <v>23295455.129999999</v>
      </c>
      <c r="BB556" s="141">
        <v>24429398.760000002</v>
      </c>
      <c r="BC556" s="141">
        <v>24628318.559999999</v>
      </c>
      <c r="BD556" s="141">
        <v>25322746.440000001</v>
      </c>
      <c r="BE556" s="141">
        <v>25351740.23</v>
      </c>
      <c r="BF556" s="141">
        <v>25384157.91</v>
      </c>
      <c r="BG556" s="141">
        <v>25401366.899999999</v>
      </c>
      <c r="BH556" s="141">
        <v>25412629.219999999</v>
      </c>
      <c r="BI556" s="141">
        <v>25416987.100000001</v>
      </c>
      <c r="BJ556" s="141">
        <v>25422364.640000001</v>
      </c>
      <c r="BK556" s="141">
        <v>25429339.350000001</v>
      </c>
      <c r="BL556" s="141">
        <v>25449145.059999999</v>
      </c>
      <c r="BM556" s="141">
        <v>25455581.73</v>
      </c>
      <c r="BU556" s="141">
        <v>25455581.73</v>
      </c>
    </row>
    <row r="557" spans="1:73" ht="14.4" x14ac:dyDescent="0.3">
      <c r="A557" s="160" t="s">
        <v>2</v>
      </c>
      <c r="B557" s="161">
        <v>2003</v>
      </c>
      <c r="C557" s="161">
        <v>329843.5</v>
      </c>
      <c r="D557" s="161">
        <v>671696.7</v>
      </c>
      <c r="E557" s="161">
        <v>1242424.0499999998</v>
      </c>
      <c r="F557" s="161">
        <v>1271136.83</v>
      </c>
      <c r="G557" s="161">
        <v>1276839.6800000002</v>
      </c>
      <c r="H557" s="161">
        <v>1312188.6300000001</v>
      </c>
      <c r="I557" s="161">
        <v>1314186.81</v>
      </c>
      <c r="J557" s="161">
        <v>1314186.81</v>
      </c>
      <c r="K557" s="161">
        <v>1314186.81</v>
      </c>
      <c r="L557" s="161">
        <v>1314186.81</v>
      </c>
      <c r="M557" s="161">
        <v>1314186.81</v>
      </c>
      <c r="N557" s="161">
        <v>1314186.81</v>
      </c>
      <c r="O557" s="161">
        <v>1314186.81</v>
      </c>
      <c r="P557" s="149"/>
      <c r="Q557" s="149"/>
      <c r="R557" s="149"/>
      <c r="S557" s="149"/>
      <c r="T557" s="149"/>
      <c r="U557" s="149"/>
      <c r="V557" s="149"/>
      <c r="W557" s="149"/>
      <c r="X557" s="161">
        <v>1314186.81</v>
      </c>
      <c r="Y557" s="145"/>
      <c r="Z557" s="145"/>
      <c r="AX557" s="141" t="s">
        <v>2</v>
      </c>
      <c r="AY557" s="141">
        <v>2000</v>
      </c>
      <c r="AZ557" s="141">
        <v>640166.16</v>
      </c>
      <c r="BA557" s="141">
        <v>1366221.63</v>
      </c>
      <c r="BB557" s="141">
        <v>1733038.46</v>
      </c>
      <c r="BC557" s="141">
        <v>2039856.49</v>
      </c>
      <c r="BD557" s="141">
        <v>2138118.2799999998</v>
      </c>
      <c r="BE557" s="141">
        <v>2512386.91</v>
      </c>
      <c r="BF557" s="141">
        <v>2516934.15</v>
      </c>
      <c r="BG557" s="141">
        <v>2535421.02</v>
      </c>
      <c r="BH557" s="141">
        <v>2535017.46</v>
      </c>
      <c r="BI557" s="141">
        <v>2535017.46</v>
      </c>
      <c r="BJ557" s="141">
        <v>2535017.46</v>
      </c>
      <c r="BK557" s="141">
        <v>2535068.46</v>
      </c>
      <c r="BL557" s="141">
        <v>2535068.46</v>
      </c>
      <c r="BU557" s="141">
        <v>2535068.46</v>
      </c>
    </row>
    <row r="558" spans="1:73" ht="14.4" x14ac:dyDescent="0.3">
      <c r="A558" s="160" t="s">
        <v>2</v>
      </c>
      <c r="B558" s="161">
        <v>2004</v>
      </c>
      <c r="C558" s="161">
        <v>124105.57</v>
      </c>
      <c r="D558" s="161">
        <v>281609.93000000005</v>
      </c>
      <c r="E558" s="161">
        <v>326750.85000000003</v>
      </c>
      <c r="F558" s="161">
        <v>358050.55000000005</v>
      </c>
      <c r="G558" s="161">
        <v>405704.68</v>
      </c>
      <c r="H558" s="161">
        <v>407522.41000000003</v>
      </c>
      <c r="I558" s="161">
        <v>407522.41000000003</v>
      </c>
      <c r="J558" s="161">
        <v>407522.41000000003</v>
      </c>
      <c r="K558" s="161">
        <v>407522.41000000003</v>
      </c>
      <c r="L558" s="161">
        <v>407522.41000000003</v>
      </c>
      <c r="M558" s="161">
        <v>407522.41000000003</v>
      </c>
      <c r="N558" s="161">
        <v>407522.41000000003</v>
      </c>
      <c r="O558" s="149"/>
      <c r="P558" s="149"/>
      <c r="Q558" s="149"/>
      <c r="R558" s="149"/>
      <c r="S558" s="149"/>
      <c r="T558" s="149"/>
      <c r="U558" s="149"/>
      <c r="V558" s="149"/>
      <c r="W558" s="149"/>
      <c r="X558" s="161">
        <v>407522.41000000003</v>
      </c>
      <c r="Y558" s="145"/>
      <c r="Z558" s="145"/>
      <c r="AX558" s="141" t="s">
        <v>2</v>
      </c>
      <c r="AY558" s="141">
        <v>2001</v>
      </c>
      <c r="AZ558" s="141">
        <v>605384.24</v>
      </c>
      <c r="BA558" s="141">
        <v>1285085.2</v>
      </c>
      <c r="BB558" s="141">
        <v>1739485.55</v>
      </c>
      <c r="BC558" s="141">
        <v>2573664.35</v>
      </c>
      <c r="BD558" s="141">
        <v>3227346.93</v>
      </c>
      <c r="BE558" s="141">
        <v>3218644.65</v>
      </c>
      <c r="BF558" s="141">
        <v>3219692.35</v>
      </c>
      <c r="BG558" s="141">
        <v>3228881.39</v>
      </c>
      <c r="BH558" s="141">
        <v>3234615.04</v>
      </c>
      <c r="BI558" s="141">
        <v>3236051.69</v>
      </c>
      <c r="BJ558" s="141">
        <v>3231510.65</v>
      </c>
      <c r="BK558" s="141">
        <v>3231510.65</v>
      </c>
      <c r="BU558" s="141">
        <v>3231510.65</v>
      </c>
    </row>
    <row r="559" spans="1:73" ht="14.4" x14ac:dyDescent="0.3">
      <c r="A559" s="160" t="s">
        <v>2</v>
      </c>
      <c r="B559" s="161">
        <v>2005</v>
      </c>
      <c r="C559" s="161">
        <v>90992.45</v>
      </c>
      <c r="D559" s="161">
        <v>719603.15</v>
      </c>
      <c r="E559" s="161">
        <v>763294.17</v>
      </c>
      <c r="F559" s="161">
        <v>773192.45</v>
      </c>
      <c r="G559" s="161">
        <v>802010.85</v>
      </c>
      <c r="H559" s="161">
        <v>804823.29</v>
      </c>
      <c r="I559" s="161">
        <v>805588.35</v>
      </c>
      <c r="J559" s="161">
        <v>805588.35</v>
      </c>
      <c r="K559" s="161">
        <v>805684.35</v>
      </c>
      <c r="L559" s="161">
        <v>805684.35</v>
      </c>
      <c r="M559" s="161">
        <v>805684.35</v>
      </c>
      <c r="N559" s="149"/>
      <c r="O559" s="149"/>
      <c r="P559" s="149"/>
      <c r="Q559" s="149"/>
      <c r="R559" s="149"/>
      <c r="S559" s="149"/>
      <c r="T559" s="149"/>
      <c r="U559" s="149"/>
      <c r="V559" s="149"/>
      <c r="W559" s="149"/>
      <c r="X559" s="161">
        <v>805684.35</v>
      </c>
      <c r="Y559" s="145"/>
      <c r="Z559" s="145"/>
      <c r="AX559" s="141" t="s">
        <v>2</v>
      </c>
      <c r="AY559" s="141">
        <v>2002</v>
      </c>
      <c r="AZ559" s="141">
        <v>510756.99</v>
      </c>
      <c r="BA559" s="141">
        <v>1139492</v>
      </c>
      <c r="BB559" s="141">
        <v>1306852.1000000001</v>
      </c>
      <c r="BC559" s="141">
        <v>1538489.29</v>
      </c>
      <c r="BD559" s="141">
        <v>1638177.42</v>
      </c>
      <c r="BE559" s="141">
        <v>1631898.87</v>
      </c>
      <c r="BF559" s="141">
        <v>1655186.25</v>
      </c>
      <c r="BG559" s="141">
        <v>1655491.09</v>
      </c>
      <c r="BH559" s="141">
        <v>1655491.09</v>
      </c>
      <c r="BI559" s="141">
        <v>1655491.09</v>
      </c>
      <c r="BJ559" s="141">
        <v>1690270.35</v>
      </c>
      <c r="BU559" s="141">
        <v>1690270.35</v>
      </c>
    </row>
    <row r="560" spans="1:73" ht="14.4" x14ac:dyDescent="0.3">
      <c r="A560" s="160" t="s">
        <v>2</v>
      </c>
      <c r="B560" s="161">
        <v>2006</v>
      </c>
      <c r="C560" s="161">
        <v>93437.16</v>
      </c>
      <c r="D560" s="161">
        <v>576569.65</v>
      </c>
      <c r="E560" s="161">
        <v>1066256.3099999998</v>
      </c>
      <c r="F560" s="161">
        <v>1163321.72</v>
      </c>
      <c r="G560" s="161">
        <v>1690049.09</v>
      </c>
      <c r="H560" s="161">
        <v>1703542</v>
      </c>
      <c r="I560" s="161">
        <v>1713620</v>
      </c>
      <c r="J560" s="161">
        <v>1735779.37</v>
      </c>
      <c r="K560" s="161">
        <v>1728815.37</v>
      </c>
      <c r="L560" s="161">
        <v>1728815.37</v>
      </c>
      <c r="M560" s="149"/>
      <c r="N560" s="149"/>
      <c r="O560" s="149"/>
      <c r="P560" s="149"/>
      <c r="Q560" s="149"/>
      <c r="R560" s="149"/>
      <c r="S560" s="149"/>
      <c r="T560" s="149"/>
      <c r="U560" s="149"/>
      <c r="V560" s="149"/>
      <c r="W560" s="149"/>
      <c r="X560" s="161">
        <v>1728815.37</v>
      </c>
      <c r="Y560" s="145"/>
      <c r="Z560" s="145"/>
      <c r="AX560" s="141" t="s">
        <v>2</v>
      </c>
      <c r="AY560" s="141">
        <v>2003</v>
      </c>
      <c r="AZ560" s="141">
        <v>329843.5</v>
      </c>
      <c r="BA560" s="141">
        <v>671696.7</v>
      </c>
      <c r="BB560" s="141">
        <v>1242424.05</v>
      </c>
      <c r="BC560" s="141">
        <v>1271136.83</v>
      </c>
      <c r="BD560" s="141">
        <v>1276839.68</v>
      </c>
      <c r="BE560" s="141">
        <v>1312188.6299999999</v>
      </c>
      <c r="BF560" s="141">
        <v>1314186.81</v>
      </c>
      <c r="BG560" s="141">
        <v>1314186.81</v>
      </c>
      <c r="BH560" s="141">
        <v>1314186.81</v>
      </c>
      <c r="BI560" s="141">
        <v>1314186.81</v>
      </c>
      <c r="BU560" s="141">
        <v>1314186.81</v>
      </c>
    </row>
    <row r="561" spans="1:73" ht="14.4" x14ac:dyDescent="0.3">
      <c r="A561" s="160" t="s">
        <v>2</v>
      </c>
      <c r="B561" s="161">
        <v>2007</v>
      </c>
      <c r="C561" s="161">
        <v>295604.44999999995</v>
      </c>
      <c r="D561" s="161">
        <v>961875.16999999993</v>
      </c>
      <c r="E561" s="161">
        <v>692564.62</v>
      </c>
      <c r="F561" s="161">
        <v>702285.67</v>
      </c>
      <c r="G561" s="161">
        <v>706477.76</v>
      </c>
      <c r="H561" s="161">
        <v>708748.51</v>
      </c>
      <c r="I561" s="161">
        <v>714504.01</v>
      </c>
      <c r="J561" s="161">
        <v>714504.01</v>
      </c>
      <c r="K561" s="161">
        <v>714504.01</v>
      </c>
      <c r="L561" s="149"/>
      <c r="M561" s="149"/>
      <c r="N561" s="149"/>
      <c r="O561" s="149"/>
      <c r="P561" s="149"/>
      <c r="Q561" s="149"/>
      <c r="R561" s="149"/>
      <c r="S561" s="149"/>
      <c r="T561" s="149"/>
      <c r="U561" s="149"/>
      <c r="V561" s="149"/>
      <c r="W561" s="149"/>
      <c r="X561" s="161">
        <v>714504.01</v>
      </c>
      <c r="Y561" s="145"/>
      <c r="Z561" s="145"/>
      <c r="AX561" s="141" t="s">
        <v>2</v>
      </c>
      <c r="AY561" s="141">
        <v>2004</v>
      </c>
      <c r="AZ561" s="141">
        <v>124105.57</v>
      </c>
      <c r="BA561" s="141">
        <v>281609.93</v>
      </c>
      <c r="BB561" s="141">
        <v>326750.84999999998</v>
      </c>
      <c r="BC561" s="141">
        <v>358050.55</v>
      </c>
      <c r="BD561" s="141">
        <v>405704.68</v>
      </c>
      <c r="BE561" s="141">
        <v>407522.41</v>
      </c>
      <c r="BF561" s="141">
        <v>407522.41</v>
      </c>
      <c r="BG561" s="141">
        <v>407522.41</v>
      </c>
      <c r="BH561" s="141">
        <v>407522.41</v>
      </c>
      <c r="BU561" s="141">
        <v>407522.41</v>
      </c>
    </row>
    <row r="562" spans="1:73" ht="14.4" x14ac:dyDescent="0.3">
      <c r="A562" s="160" t="s">
        <v>2</v>
      </c>
      <c r="B562" s="161">
        <v>2008</v>
      </c>
      <c r="C562" s="161">
        <v>1087982.3699999999</v>
      </c>
      <c r="D562" s="161">
        <v>2068137.87</v>
      </c>
      <c r="E562" s="161">
        <v>2384639.1100000003</v>
      </c>
      <c r="F562" s="161">
        <v>2475949.48</v>
      </c>
      <c r="G562" s="161">
        <v>2620647.9300000002</v>
      </c>
      <c r="H562" s="161">
        <v>2701427.87</v>
      </c>
      <c r="I562" s="161">
        <v>2730833.56</v>
      </c>
      <c r="J562" s="161">
        <v>2808327.64</v>
      </c>
      <c r="K562" s="149"/>
      <c r="L562" s="149"/>
      <c r="M562" s="149"/>
      <c r="N562" s="149"/>
      <c r="O562" s="149"/>
      <c r="P562" s="149"/>
      <c r="Q562" s="149"/>
      <c r="R562" s="149"/>
      <c r="S562" s="149"/>
      <c r="T562" s="149"/>
      <c r="U562" s="149"/>
      <c r="V562" s="149"/>
      <c r="W562" s="149"/>
      <c r="X562" s="161">
        <v>2808327.64</v>
      </c>
      <c r="Y562" s="145"/>
      <c r="Z562" s="145"/>
      <c r="AX562" s="141" t="s">
        <v>2</v>
      </c>
      <c r="AY562" s="141">
        <v>2005</v>
      </c>
      <c r="AZ562" s="141">
        <v>90992.45</v>
      </c>
      <c r="BA562" s="141">
        <v>719603.15</v>
      </c>
      <c r="BB562" s="141">
        <v>763294.17</v>
      </c>
      <c r="BC562" s="141">
        <v>773192.45</v>
      </c>
      <c r="BD562" s="141">
        <v>802010.85</v>
      </c>
      <c r="BE562" s="141">
        <v>804823.29</v>
      </c>
      <c r="BF562" s="141">
        <v>805588.35</v>
      </c>
      <c r="BG562" s="141">
        <v>805588.35</v>
      </c>
      <c r="BU562" s="141">
        <v>805588.35</v>
      </c>
    </row>
    <row r="563" spans="1:73" ht="14.4" x14ac:dyDescent="0.3">
      <c r="A563" s="160" t="s">
        <v>2</v>
      </c>
      <c r="B563" s="161">
        <v>2009</v>
      </c>
      <c r="C563" s="161">
        <v>273081.62</v>
      </c>
      <c r="D563" s="161">
        <v>555992.78999999992</v>
      </c>
      <c r="E563" s="161">
        <v>645485.9</v>
      </c>
      <c r="F563" s="161">
        <v>686607.04</v>
      </c>
      <c r="G563" s="161">
        <v>807901.83</v>
      </c>
      <c r="H563" s="161">
        <v>818676.42</v>
      </c>
      <c r="I563" s="161">
        <v>855593.92</v>
      </c>
      <c r="J563" s="149"/>
      <c r="K563" s="149"/>
      <c r="L563" s="149"/>
      <c r="M563" s="149"/>
      <c r="N563" s="149"/>
      <c r="O563" s="149"/>
      <c r="P563" s="149"/>
      <c r="Q563" s="149"/>
      <c r="R563" s="149"/>
      <c r="S563" s="149"/>
      <c r="T563" s="149"/>
      <c r="U563" s="149"/>
      <c r="V563" s="149"/>
      <c r="W563" s="149"/>
      <c r="X563" s="161">
        <v>855593.92</v>
      </c>
      <c r="Y563" s="145"/>
      <c r="Z563" s="145"/>
      <c r="AX563" s="141" t="s">
        <v>2</v>
      </c>
      <c r="AY563" s="141">
        <v>2006</v>
      </c>
      <c r="AZ563" s="141">
        <v>93437.16</v>
      </c>
      <c r="BA563" s="141">
        <v>576569.65</v>
      </c>
      <c r="BB563" s="141">
        <v>1066256.31</v>
      </c>
      <c r="BC563" s="141">
        <v>1163321.72</v>
      </c>
      <c r="BD563" s="141">
        <v>1690049.09</v>
      </c>
      <c r="BE563" s="141">
        <v>1703542</v>
      </c>
      <c r="BF563" s="141">
        <v>1713620</v>
      </c>
      <c r="BU563" s="141">
        <v>1713620</v>
      </c>
    </row>
    <row r="564" spans="1:73" ht="14.4" x14ac:dyDescent="0.3">
      <c r="A564" s="160" t="s">
        <v>2</v>
      </c>
      <c r="B564" s="161">
        <v>2010</v>
      </c>
      <c r="C564" s="161">
        <v>1361191.41</v>
      </c>
      <c r="D564" s="161">
        <v>1865657.12</v>
      </c>
      <c r="E564" s="161">
        <v>3368032.17</v>
      </c>
      <c r="F564" s="161">
        <v>3559986.52</v>
      </c>
      <c r="G564" s="161">
        <v>3606550.32</v>
      </c>
      <c r="H564" s="161">
        <v>3610386.57</v>
      </c>
      <c r="I564" s="149"/>
      <c r="J564" s="149"/>
      <c r="K564" s="149"/>
      <c r="L564" s="149"/>
      <c r="M564" s="149"/>
      <c r="N564" s="149"/>
      <c r="O564" s="149"/>
      <c r="P564" s="149"/>
      <c r="Q564" s="149"/>
      <c r="R564" s="149"/>
      <c r="S564" s="149"/>
      <c r="T564" s="149"/>
      <c r="U564" s="149"/>
      <c r="V564" s="149"/>
      <c r="W564" s="149"/>
      <c r="X564" s="161">
        <v>3610386.57</v>
      </c>
      <c r="Y564" s="145"/>
      <c r="Z564" s="145"/>
      <c r="AX564" s="141" t="s">
        <v>2</v>
      </c>
      <c r="AY564" s="141">
        <v>2007</v>
      </c>
      <c r="AZ564" s="141">
        <v>295604.45</v>
      </c>
      <c r="BA564" s="141">
        <v>961875.17</v>
      </c>
      <c r="BB564" s="141">
        <v>692564.62</v>
      </c>
      <c r="BC564" s="141">
        <v>702285.67</v>
      </c>
      <c r="BD564" s="141">
        <v>706477.76</v>
      </c>
      <c r="BE564" s="141">
        <v>708748.51</v>
      </c>
      <c r="BU564" s="141">
        <v>708748.51</v>
      </c>
    </row>
    <row r="565" spans="1:73" ht="14.4" x14ac:dyDescent="0.3">
      <c r="A565" s="160" t="s">
        <v>2</v>
      </c>
      <c r="B565" s="161">
        <v>2011</v>
      </c>
      <c r="C565" s="161">
        <v>555271.15</v>
      </c>
      <c r="D565" s="161">
        <v>1344064.8699999999</v>
      </c>
      <c r="E565" s="161">
        <v>1988323.98</v>
      </c>
      <c r="F565" s="161">
        <v>2247019.3000000003</v>
      </c>
      <c r="G565" s="161">
        <v>2403244.4900000002</v>
      </c>
      <c r="H565" s="149"/>
      <c r="I565" s="149"/>
      <c r="J565" s="149"/>
      <c r="K565" s="149"/>
      <c r="L565" s="149"/>
      <c r="M565" s="149"/>
      <c r="N565" s="149"/>
      <c r="O565" s="149"/>
      <c r="P565" s="149"/>
      <c r="Q565" s="149"/>
      <c r="R565" s="149"/>
      <c r="S565" s="149"/>
      <c r="T565" s="149"/>
      <c r="U565" s="149"/>
      <c r="V565" s="149"/>
      <c r="W565" s="149"/>
      <c r="X565" s="161">
        <v>2403244.4900000002</v>
      </c>
      <c r="Y565" s="145"/>
      <c r="Z565" s="145"/>
      <c r="AX565" s="141" t="s">
        <v>2</v>
      </c>
      <c r="AY565" s="141">
        <v>2008</v>
      </c>
      <c r="AZ565" s="141">
        <v>1087982.3700000001</v>
      </c>
      <c r="BA565" s="141">
        <v>2068137.87</v>
      </c>
      <c r="BB565" s="141">
        <v>2384639.11</v>
      </c>
      <c r="BC565" s="141">
        <v>2475949.48</v>
      </c>
      <c r="BD565" s="141">
        <v>2620647.9300000002</v>
      </c>
      <c r="BU565" s="141">
        <v>2620647.9300000002</v>
      </c>
    </row>
    <row r="566" spans="1:73" ht="14.4" x14ac:dyDescent="0.3">
      <c r="A566" s="160" t="s">
        <v>2</v>
      </c>
      <c r="B566" s="161">
        <v>2012</v>
      </c>
      <c r="C566" s="161">
        <v>1162177.28</v>
      </c>
      <c r="D566" s="161">
        <v>3389862.46</v>
      </c>
      <c r="E566" s="161">
        <v>3779582.29</v>
      </c>
      <c r="F566" s="161">
        <v>4078072.4000000004</v>
      </c>
      <c r="G566" s="149"/>
      <c r="H566" s="149"/>
      <c r="I566" s="149"/>
      <c r="J566" s="149"/>
      <c r="K566" s="149"/>
      <c r="L566" s="149"/>
      <c r="M566" s="149"/>
      <c r="N566" s="149"/>
      <c r="O566" s="149"/>
      <c r="P566" s="149"/>
      <c r="Q566" s="149"/>
      <c r="R566" s="149"/>
      <c r="S566" s="149"/>
      <c r="T566" s="149"/>
      <c r="U566" s="149"/>
      <c r="V566" s="149"/>
      <c r="W566" s="149"/>
      <c r="X566" s="161">
        <v>4078072.4000000004</v>
      </c>
      <c r="Y566" s="145"/>
      <c r="Z566" s="145"/>
      <c r="AX566" s="141" t="s">
        <v>2</v>
      </c>
      <c r="AY566" s="141">
        <v>2009</v>
      </c>
      <c r="AZ566" s="141">
        <v>273081.62</v>
      </c>
      <c r="BA566" s="141">
        <v>555992.79</v>
      </c>
      <c r="BB566" s="141">
        <v>645485.9</v>
      </c>
      <c r="BC566" s="141">
        <v>686607.04</v>
      </c>
      <c r="BU566" s="141">
        <v>686607.04</v>
      </c>
    </row>
    <row r="567" spans="1:73" ht="14.4" x14ac:dyDescent="0.3">
      <c r="A567" s="160" t="s">
        <v>2</v>
      </c>
      <c r="B567" s="161">
        <v>2013</v>
      </c>
      <c r="C567" s="161">
        <v>777548.01</v>
      </c>
      <c r="D567" s="161">
        <v>1261902.3</v>
      </c>
      <c r="E567" s="161">
        <v>1474122.9100000001</v>
      </c>
      <c r="F567" s="149"/>
      <c r="G567" s="149"/>
      <c r="H567" s="149"/>
      <c r="I567" s="149"/>
      <c r="J567" s="149"/>
      <c r="K567" s="149"/>
      <c r="L567" s="149"/>
      <c r="M567" s="149"/>
      <c r="N567" s="149"/>
      <c r="O567" s="149"/>
      <c r="P567" s="149"/>
      <c r="Q567" s="149"/>
      <c r="R567" s="149"/>
      <c r="S567" s="149"/>
      <c r="T567" s="149"/>
      <c r="U567" s="149"/>
      <c r="V567" s="149"/>
      <c r="W567" s="149"/>
      <c r="X567" s="161">
        <v>1474122.9100000001</v>
      </c>
      <c r="Y567" s="145"/>
      <c r="Z567" s="145"/>
      <c r="AX567" s="141" t="s">
        <v>2</v>
      </c>
      <c r="AY567" s="141">
        <v>2010</v>
      </c>
      <c r="AZ567" s="141">
        <v>1361191.41</v>
      </c>
      <c r="BA567" s="141">
        <v>1865657.12</v>
      </c>
      <c r="BB567" s="141">
        <v>3368032.17</v>
      </c>
      <c r="BU567" s="141">
        <v>3368032.17</v>
      </c>
    </row>
    <row r="568" spans="1:73" ht="14.4" x14ac:dyDescent="0.3">
      <c r="A568" s="160" t="s">
        <v>2</v>
      </c>
      <c r="B568" s="161">
        <v>2014</v>
      </c>
      <c r="C568" s="161">
        <v>803129.38</v>
      </c>
      <c r="D568" s="161">
        <v>1881604.69</v>
      </c>
      <c r="E568" s="149"/>
      <c r="F568" s="149"/>
      <c r="G568" s="149"/>
      <c r="H568" s="149"/>
      <c r="I568" s="149"/>
      <c r="J568" s="149"/>
      <c r="K568" s="149"/>
      <c r="L568" s="149"/>
      <c r="M568" s="149"/>
      <c r="N568" s="149"/>
      <c r="O568" s="149"/>
      <c r="P568" s="149"/>
      <c r="Q568" s="149"/>
      <c r="R568" s="149"/>
      <c r="S568" s="149"/>
      <c r="T568" s="149"/>
      <c r="U568" s="149"/>
      <c r="V568" s="149"/>
      <c r="W568" s="149"/>
      <c r="X568" s="161">
        <v>1881604.69</v>
      </c>
      <c r="Y568" s="145"/>
      <c r="Z568" s="145"/>
      <c r="AX568" s="141" t="s">
        <v>2</v>
      </c>
      <c r="AY568" s="141">
        <v>2011</v>
      </c>
      <c r="AZ568" s="141">
        <v>555271.15</v>
      </c>
      <c r="BA568" s="141">
        <v>1344064.87</v>
      </c>
      <c r="BU568" s="141">
        <v>1344064.87</v>
      </c>
    </row>
    <row r="569" spans="1:73" ht="14.4" x14ac:dyDescent="0.3">
      <c r="A569" s="160" t="s">
        <v>2</v>
      </c>
      <c r="B569" s="161">
        <v>2015</v>
      </c>
      <c r="C569" s="161">
        <v>760442.77</v>
      </c>
      <c r="D569" s="149"/>
      <c r="E569" s="149"/>
      <c r="F569" s="149"/>
      <c r="G569" s="149"/>
      <c r="H569" s="149"/>
      <c r="I569" s="149"/>
      <c r="J569" s="149"/>
      <c r="K569" s="149"/>
      <c r="L569" s="149"/>
      <c r="M569" s="149"/>
      <c r="N569" s="149"/>
      <c r="O569" s="149"/>
      <c r="P569" s="149"/>
      <c r="Q569" s="149"/>
      <c r="R569" s="149"/>
      <c r="S569" s="149"/>
      <c r="T569" s="149"/>
      <c r="U569" s="149"/>
      <c r="V569" s="149"/>
      <c r="W569" s="149"/>
      <c r="X569" s="161">
        <v>760442.77</v>
      </c>
      <c r="Y569" s="145"/>
      <c r="Z569" s="145"/>
      <c r="AX569" s="141" t="s">
        <v>2</v>
      </c>
      <c r="AY569" s="141">
        <v>2012</v>
      </c>
      <c r="AZ569" s="141">
        <v>1162177.28</v>
      </c>
      <c r="BU569" s="141">
        <v>1162177.28</v>
      </c>
    </row>
    <row r="570" spans="1:73" ht="14.4" x14ac:dyDescent="0.3">
      <c r="A570" s="160" t="s">
        <v>3</v>
      </c>
      <c r="B570" s="161">
        <v>1995</v>
      </c>
      <c r="C570" s="161">
        <v>0</v>
      </c>
      <c r="D570" s="161">
        <v>0</v>
      </c>
      <c r="E570" s="161">
        <v>0</v>
      </c>
      <c r="F570" s="161">
        <v>0</v>
      </c>
      <c r="G570" s="161">
        <v>0</v>
      </c>
      <c r="H570" s="161">
        <v>0</v>
      </c>
      <c r="I570" s="161">
        <v>0</v>
      </c>
      <c r="J570" s="161">
        <v>0</v>
      </c>
      <c r="K570" s="161">
        <v>0</v>
      </c>
      <c r="L570" s="161">
        <v>0</v>
      </c>
      <c r="M570" s="161">
        <v>0</v>
      </c>
      <c r="N570" s="161">
        <v>0</v>
      </c>
      <c r="O570" s="161">
        <v>0</v>
      </c>
      <c r="P570" s="161">
        <v>0</v>
      </c>
      <c r="Q570" s="161">
        <v>0</v>
      </c>
      <c r="R570" s="161">
        <v>0</v>
      </c>
      <c r="S570" s="161">
        <v>0</v>
      </c>
      <c r="T570" s="161">
        <v>0</v>
      </c>
      <c r="U570" s="161">
        <v>0</v>
      </c>
      <c r="V570" s="161">
        <v>0</v>
      </c>
      <c r="W570" s="161">
        <v>0</v>
      </c>
      <c r="X570" s="161">
        <v>0</v>
      </c>
      <c r="Y570" s="145"/>
      <c r="Z570" s="145"/>
      <c r="AX570" s="141" t="s">
        <v>3</v>
      </c>
      <c r="AY570" s="141">
        <v>1992</v>
      </c>
      <c r="AZ570" s="141">
        <v>0</v>
      </c>
      <c r="BA570" s="141">
        <v>0</v>
      </c>
      <c r="BB570" s="141">
        <v>0</v>
      </c>
      <c r="BC570" s="141">
        <v>0</v>
      </c>
      <c r="BD570" s="141">
        <v>0</v>
      </c>
      <c r="BE570" s="141">
        <v>0</v>
      </c>
      <c r="BF570" s="141">
        <v>0</v>
      </c>
      <c r="BG570" s="141">
        <v>0</v>
      </c>
      <c r="BH570" s="141">
        <v>0</v>
      </c>
      <c r="BI570" s="141">
        <v>0</v>
      </c>
      <c r="BJ570" s="141">
        <v>0</v>
      </c>
      <c r="BK570" s="141">
        <v>0</v>
      </c>
      <c r="BL570" s="141">
        <v>0</v>
      </c>
      <c r="BM570" s="141">
        <v>0</v>
      </c>
      <c r="BN570" s="141">
        <v>0</v>
      </c>
      <c r="BO570" s="141">
        <v>0</v>
      </c>
      <c r="BP570" s="141">
        <v>0</v>
      </c>
      <c r="BQ570" s="141">
        <v>0</v>
      </c>
      <c r="BR570" s="141">
        <v>0</v>
      </c>
      <c r="BS570" s="141">
        <v>0</v>
      </c>
      <c r="BT570" s="141">
        <v>0</v>
      </c>
      <c r="BU570" s="141">
        <v>0</v>
      </c>
    </row>
    <row r="571" spans="1:73" ht="14.4" x14ac:dyDescent="0.3">
      <c r="A571" s="160" t="s">
        <v>3</v>
      </c>
      <c r="B571" s="161">
        <v>1996</v>
      </c>
      <c r="C571" s="161">
        <v>0</v>
      </c>
      <c r="D571" s="161">
        <v>0</v>
      </c>
      <c r="E571" s="161">
        <v>0</v>
      </c>
      <c r="F571" s="161">
        <v>0</v>
      </c>
      <c r="G571" s="161">
        <v>0</v>
      </c>
      <c r="H571" s="161">
        <v>0</v>
      </c>
      <c r="I571" s="161">
        <v>0</v>
      </c>
      <c r="J571" s="161">
        <v>0</v>
      </c>
      <c r="K571" s="161">
        <v>0</v>
      </c>
      <c r="L571" s="161">
        <v>0</v>
      </c>
      <c r="M571" s="161">
        <v>0</v>
      </c>
      <c r="N571" s="161">
        <v>0</v>
      </c>
      <c r="O571" s="161">
        <v>0</v>
      </c>
      <c r="P571" s="161">
        <v>0</v>
      </c>
      <c r="Q571" s="161">
        <v>0</v>
      </c>
      <c r="R571" s="161">
        <v>0</v>
      </c>
      <c r="S571" s="161">
        <v>0</v>
      </c>
      <c r="T571" s="161">
        <v>0</v>
      </c>
      <c r="U571" s="161">
        <v>0</v>
      </c>
      <c r="V571" s="161">
        <v>0</v>
      </c>
      <c r="W571" s="149"/>
      <c r="X571" s="161">
        <v>0</v>
      </c>
      <c r="Y571" s="145"/>
      <c r="Z571" s="145"/>
      <c r="AX571" s="141" t="s">
        <v>3</v>
      </c>
      <c r="AY571" s="141">
        <v>1993</v>
      </c>
      <c r="AZ571" s="141">
        <v>0</v>
      </c>
      <c r="BA571" s="141">
        <v>0</v>
      </c>
      <c r="BB571" s="141">
        <v>0</v>
      </c>
      <c r="BC571" s="141">
        <v>0</v>
      </c>
      <c r="BD571" s="141">
        <v>0</v>
      </c>
      <c r="BE571" s="141">
        <v>0</v>
      </c>
      <c r="BF571" s="141">
        <v>0</v>
      </c>
      <c r="BG571" s="141">
        <v>0</v>
      </c>
      <c r="BH571" s="141">
        <v>0</v>
      </c>
      <c r="BI571" s="141">
        <v>0</v>
      </c>
      <c r="BJ571" s="141">
        <v>0</v>
      </c>
      <c r="BK571" s="141">
        <v>0</v>
      </c>
      <c r="BL571" s="141">
        <v>0</v>
      </c>
      <c r="BM571" s="141">
        <v>0</v>
      </c>
      <c r="BN571" s="141">
        <v>0</v>
      </c>
      <c r="BO571" s="141">
        <v>0</v>
      </c>
      <c r="BP571" s="141">
        <v>0</v>
      </c>
      <c r="BQ571" s="141">
        <v>0</v>
      </c>
      <c r="BR571" s="141">
        <v>0</v>
      </c>
      <c r="BS571" s="141">
        <v>0</v>
      </c>
      <c r="BU571" s="141">
        <v>0</v>
      </c>
    </row>
    <row r="572" spans="1:73" ht="14.4" x14ac:dyDescent="0.3">
      <c r="A572" s="160" t="s">
        <v>3</v>
      </c>
      <c r="B572" s="161">
        <v>1997</v>
      </c>
      <c r="C572" s="161">
        <v>0</v>
      </c>
      <c r="D572" s="161">
        <v>0</v>
      </c>
      <c r="E572" s="161">
        <v>0</v>
      </c>
      <c r="F572" s="161">
        <v>0</v>
      </c>
      <c r="G572" s="161">
        <v>0</v>
      </c>
      <c r="H572" s="161">
        <v>0</v>
      </c>
      <c r="I572" s="161">
        <v>0</v>
      </c>
      <c r="J572" s="161">
        <v>0</v>
      </c>
      <c r="K572" s="161">
        <v>0</v>
      </c>
      <c r="L572" s="161">
        <v>0</v>
      </c>
      <c r="M572" s="161">
        <v>0</v>
      </c>
      <c r="N572" s="161">
        <v>0</v>
      </c>
      <c r="O572" s="161">
        <v>0</v>
      </c>
      <c r="P572" s="161">
        <v>0</v>
      </c>
      <c r="Q572" s="161">
        <v>0</v>
      </c>
      <c r="R572" s="161">
        <v>0</v>
      </c>
      <c r="S572" s="161">
        <v>0</v>
      </c>
      <c r="T572" s="161">
        <v>0</v>
      </c>
      <c r="U572" s="161">
        <v>0</v>
      </c>
      <c r="V572" s="149"/>
      <c r="W572" s="149"/>
      <c r="X572" s="161">
        <v>0</v>
      </c>
      <c r="Y572" s="145"/>
      <c r="Z572" s="145"/>
      <c r="AX572" s="141" t="s">
        <v>3</v>
      </c>
      <c r="AY572" s="141">
        <v>1994</v>
      </c>
      <c r="AZ572" s="141">
        <v>0</v>
      </c>
      <c r="BA572" s="141">
        <v>0</v>
      </c>
      <c r="BB572" s="141">
        <v>0</v>
      </c>
      <c r="BC572" s="141">
        <v>0</v>
      </c>
      <c r="BD572" s="141">
        <v>0</v>
      </c>
      <c r="BE572" s="141">
        <v>0</v>
      </c>
      <c r="BF572" s="141">
        <v>0</v>
      </c>
      <c r="BG572" s="141">
        <v>0</v>
      </c>
      <c r="BH572" s="141">
        <v>0</v>
      </c>
      <c r="BI572" s="141">
        <v>0</v>
      </c>
      <c r="BJ572" s="141">
        <v>0</v>
      </c>
      <c r="BK572" s="141">
        <v>0</v>
      </c>
      <c r="BL572" s="141">
        <v>0</v>
      </c>
      <c r="BM572" s="141">
        <v>0</v>
      </c>
      <c r="BN572" s="141">
        <v>0</v>
      </c>
      <c r="BO572" s="141">
        <v>0</v>
      </c>
      <c r="BP572" s="141">
        <v>0</v>
      </c>
      <c r="BQ572" s="141">
        <v>0</v>
      </c>
      <c r="BR572" s="141">
        <v>0</v>
      </c>
      <c r="BU572" s="141">
        <v>0</v>
      </c>
    </row>
    <row r="573" spans="1:73" ht="14.4" x14ac:dyDescent="0.3">
      <c r="A573" s="160" t="s">
        <v>3</v>
      </c>
      <c r="B573" s="161">
        <v>1998</v>
      </c>
      <c r="C573" s="161">
        <v>0</v>
      </c>
      <c r="D573" s="161">
        <v>0</v>
      </c>
      <c r="E573" s="161">
        <v>0</v>
      </c>
      <c r="F573" s="161">
        <v>0</v>
      </c>
      <c r="G573" s="161">
        <v>0</v>
      </c>
      <c r="H573" s="161">
        <v>0</v>
      </c>
      <c r="I573" s="161">
        <v>0</v>
      </c>
      <c r="J573" s="161">
        <v>0</v>
      </c>
      <c r="K573" s="161">
        <v>0</v>
      </c>
      <c r="L573" s="161">
        <v>0</v>
      </c>
      <c r="M573" s="161">
        <v>0</v>
      </c>
      <c r="N573" s="161">
        <v>0</v>
      </c>
      <c r="O573" s="161">
        <v>0</v>
      </c>
      <c r="P573" s="161">
        <v>0</v>
      </c>
      <c r="Q573" s="161">
        <v>0</v>
      </c>
      <c r="R573" s="161">
        <v>0</v>
      </c>
      <c r="S573" s="161">
        <v>0</v>
      </c>
      <c r="T573" s="161">
        <v>0</v>
      </c>
      <c r="U573" s="149"/>
      <c r="V573" s="149"/>
      <c r="W573" s="149"/>
      <c r="X573" s="161">
        <v>0</v>
      </c>
      <c r="Y573" s="145"/>
      <c r="Z573" s="145"/>
      <c r="AX573" s="141" t="s">
        <v>3</v>
      </c>
      <c r="AY573" s="141">
        <v>1995</v>
      </c>
      <c r="AZ573" s="141">
        <v>0</v>
      </c>
      <c r="BA573" s="141">
        <v>0</v>
      </c>
      <c r="BB573" s="141">
        <v>0</v>
      </c>
      <c r="BC573" s="141">
        <v>0</v>
      </c>
      <c r="BD573" s="141">
        <v>0</v>
      </c>
      <c r="BE573" s="141">
        <v>0</v>
      </c>
      <c r="BF573" s="141">
        <v>0</v>
      </c>
      <c r="BG573" s="141">
        <v>0</v>
      </c>
      <c r="BH573" s="141">
        <v>0</v>
      </c>
      <c r="BI573" s="141">
        <v>0</v>
      </c>
      <c r="BJ573" s="141">
        <v>0</v>
      </c>
      <c r="BK573" s="141">
        <v>0</v>
      </c>
      <c r="BL573" s="141">
        <v>0</v>
      </c>
      <c r="BM573" s="141">
        <v>0</v>
      </c>
      <c r="BN573" s="141">
        <v>0</v>
      </c>
      <c r="BO573" s="141">
        <v>0</v>
      </c>
      <c r="BP573" s="141">
        <v>0</v>
      </c>
      <c r="BQ573" s="141">
        <v>0</v>
      </c>
      <c r="BU573" s="141">
        <v>0</v>
      </c>
    </row>
    <row r="574" spans="1:73" ht="14.4" x14ac:dyDescent="0.3">
      <c r="A574" s="160" t="s">
        <v>3</v>
      </c>
      <c r="B574" s="161">
        <v>1999</v>
      </c>
      <c r="C574" s="161">
        <v>990</v>
      </c>
      <c r="D574" s="161">
        <v>990</v>
      </c>
      <c r="E574" s="161">
        <v>990</v>
      </c>
      <c r="F574" s="161">
        <v>990</v>
      </c>
      <c r="G574" s="161">
        <v>990</v>
      </c>
      <c r="H574" s="161">
        <v>990</v>
      </c>
      <c r="I574" s="161">
        <v>990</v>
      </c>
      <c r="J574" s="161">
        <v>990</v>
      </c>
      <c r="K574" s="161">
        <v>990</v>
      </c>
      <c r="L574" s="161">
        <v>990</v>
      </c>
      <c r="M574" s="161">
        <v>990</v>
      </c>
      <c r="N574" s="161">
        <v>990</v>
      </c>
      <c r="O574" s="161">
        <v>990</v>
      </c>
      <c r="P574" s="161">
        <v>990</v>
      </c>
      <c r="Q574" s="161">
        <v>990</v>
      </c>
      <c r="R574" s="161">
        <v>990</v>
      </c>
      <c r="S574" s="161">
        <v>990</v>
      </c>
      <c r="T574" s="149"/>
      <c r="U574" s="149"/>
      <c r="V574" s="149"/>
      <c r="W574" s="149"/>
      <c r="X574" s="161">
        <v>990</v>
      </c>
      <c r="Y574" s="145"/>
      <c r="Z574" s="145"/>
      <c r="AX574" s="141" t="s">
        <v>3</v>
      </c>
      <c r="AY574" s="141">
        <v>1996</v>
      </c>
      <c r="AZ574" s="141">
        <v>0</v>
      </c>
      <c r="BA574" s="141">
        <v>0</v>
      </c>
      <c r="BB574" s="141">
        <v>0</v>
      </c>
      <c r="BC574" s="141">
        <v>0</v>
      </c>
      <c r="BD574" s="141">
        <v>0</v>
      </c>
      <c r="BE574" s="141">
        <v>0</v>
      </c>
      <c r="BF574" s="141">
        <v>0</v>
      </c>
      <c r="BG574" s="141">
        <v>0</v>
      </c>
      <c r="BH574" s="141">
        <v>0</v>
      </c>
      <c r="BI574" s="141">
        <v>0</v>
      </c>
      <c r="BJ574" s="141">
        <v>0</v>
      </c>
      <c r="BK574" s="141">
        <v>0</v>
      </c>
      <c r="BL574" s="141">
        <v>0</v>
      </c>
      <c r="BM574" s="141">
        <v>0</v>
      </c>
      <c r="BN574" s="141">
        <v>0</v>
      </c>
      <c r="BO574" s="141">
        <v>0</v>
      </c>
      <c r="BP574" s="141">
        <v>0</v>
      </c>
      <c r="BU574" s="141">
        <v>0</v>
      </c>
    </row>
    <row r="575" spans="1:73" ht="14.4" x14ac:dyDescent="0.3">
      <c r="A575" s="160" t="s">
        <v>3</v>
      </c>
      <c r="B575" s="161">
        <v>2000</v>
      </c>
      <c r="C575" s="161">
        <v>0</v>
      </c>
      <c r="D575" s="161">
        <v>0</v>
      </c>
      <c r="E575" s="161">
        <v>0</v>
      </c>
      <c r="F575" s="161">
        <v>0</v>
      </c>
      <c r="G575" s="161">
        <v>0</v>
      </c>
      <c r="H575" s="161">
        <v>0</v>
      </c>
      <c r="I575" s="161">
        <v>0</v>
      </c>
      <c r="J575" s="161">
        <v>0</v>
      </c>
      <c r="K575" s="161">
        <v>0</v>
      </c>
      <c r="L575" s="161">
        <v>0</v>
      </c>
      <c r="M575" s="161">
        <v>0</v>
      </c>
      <c r="N575" s="161">
        <v>0</v>
      </c>
      <c r="O575" s="161">
        <v>0</v>
      </c>
      <c r="P575" s="161">
        <v>0</v>
      </c>
      <c r="Q575" s="161">
        <v>0</v>
      </c>
      <c r="R575" s="161">
        <v>0</v>
      </c>
      <c r="S575" s="149"/>
      <c r="T575" s="149"/>
      <c r="U575" s="149"/>
      <c r="V575" s="149"/>
      <c r="W575" s="149"/>
      <c r="X575" s="161">
        <v>0</v>
      </c>
      <c r="Y575" s="145"/>
      <c r="Z575" s="145"/>
      <c r="AX575" s="141" t="s">
        <v>3</v>
      </c>
      <c r="AY575" s="141">
        <v>1997</v>
      </c>
      <c r="AZ575" s="141">
        <v>0</v>
      </c>
      <c r="BA575" s="141">
        <v>0</v>
      </c>
      <c r="BB575" s="141">
        <v>0</v>
      </c>
      <c r="BC575" s="141">
        <v>0</v>
      </c>
      <c r="BD575" s="141">
        <v>0</v>
      </c>
      <c r="BE575" s="141">
        <v>0</v>
      </c>
      <c r="BF575" s="141">
        <v>0</v>
      </c>
      <c r="BG575" s="141">
        <v>0</v>
      </c>
      <c r="BH575" s="141">
        <v>0</v>
      </c>
      <c r="BI575" s="141">
        <v>0</v>
      </c>
      <c r="BJ575" s="141">
        <v>0</v>
      </c>
      <c r="BK575" s="141">
        <v>0</v>
      </c>
      <c r="BL575" s="141">
        <v>0</v>
      </c>
      <c r="BM575" s="141">
        <v>0</v>
      </c>
      <c r="BN575" s="141">
        <v>0</v>
      </c>
      <c r="BO575" s="141">
        <v>0</v>
      </c>
      <c r="BU575" s="141">
        <v>0</v>
      </c>
    </row>
    <row r="576" spans="1:73" ht="14.4" x14ac:dyDescent="0.3">
      <c r="A576" s="160" t="s">
        <v>3</v>
      </c>
      <c r="B576" s="161">
        <v>2001</v>
      </c>
      <c r="C576" s="161">
        <v>0</v>
      </c>
      <c r="D576" s="161">
        <v>0</v>
      </c>
      <c r="E576" s="161">
        <v>0</v>
      </c>
      <c r="F576" s="161">
        <v>0</v>
      </c>
      <c r="G576" s="161">
        <v>0</v>
      </c>
      <c r="H576" s="161">
        <v>0</v>
      </c>
      <c r="I576" s="161">
        <v>0</v>
      </c>
      <c r="J576" s="161">
        <v>0</v>
      </c>
      <c r="K576" s="161">
        <v>0</v>
      </c>
      <c r="L576" s="161">
        <v>0</v>
      </c>
      <c r="M576" s="161">
        <v>0</v>
      </c>
      <c r="N576" s="161">
        <v>0</v>
      </c>
      <c r="O576" s="161">
        <v>0</v>
      </c>
      <c r="P576" s="161">
        <v>0</v>
      </c>
      <c r="Q576" s="161">
        <v>0</v>
      </c>
      <c r="R576" s="149"/>
      <c r="S576" s="149"/>
      <c r="T576" s="149"/>
      <c r="U576" s="149"/>
      <c r="V576" s="149"/>
      <c r="W576" s="149"/>
      <c r="X576" s="161">
        <v>0</v>
      </c>
      <c r="Y576" s="145"/>
      <c r="Z576" s="145"/>
      <c r="AX576" s="141" t="s">
        <v>3</v>
      </c>
      <c r="AY576" s="141">
        <v>1998</v>
      </c>
      <c r="AZ576" s="141">
        <v>0</v>
      </c>
      <c r="BA576" s="141">
        <v>0</v>
      </c>
      <c r="BB576" s="141">
        <v>0</v>
      </c>
      <c r="BC576" s="141">
        <v>0</v>
      </c>
      <c r="BD576" s="141">
        <v>0</v>
      </c>
      <c r="BE576" s="141">
        <v>0</v>
      </c>
      <c r="BF576" s="141">
        <v>0</v>
      </c>
      <c r="BG576" s="141">
        <v>0</v>
      </c>
      <c r="BH576" s="141">
        <v>0</v>
      </c>
      <c r="BI576" s="141">
        <v>0</v>
      </c>
      <c r="BJ576" s="141">
        <v>0</v>
      </c>
      <c r="BK576" s="141">
        <v>0</v>
      </c>
      <c r="BL576" s="141">
        <v>0</v>
      </c>
      <c r="BM576" s="141">
        <v>0</v>
      </c>
      <c r="BN576" s="141">
        <v>0</v>
      </c>
      <c r="BU576" s="141">
        <v>0</v>
      </c>
    </row>
    <row r="577" spans="1:73" ht="14.4" x14ac:dyDescent="0.3">
      <c r="A577" s="160" t="s">
        <v>3</v>
      </c>
      <c r="B577" s="161">
        <v>2002</v>
      </c>
      <c r="C577" s="161">
        <v>0</v>
      </c>
      <c r="D577" s="161">
        <v>0</v>
      </c>
      <c r="E577" s="161">
        <v>0</v>
      </c>
      <c r="F577" s="161">
        <v>0</v>
      </c>
      <c r="G577" s="161">
        <v>0</v>
      </c>
      <c r="H577" s="161">
        <v>0</v>
      </c>
      <c r="I577" s="161">
        <v>0</v>
      </c>
      <c r="J577" s="161">
        <v>0</v>
      </c>
      <c r="K577" s="161">
        <v>0</v>
      </c>
      <c r="L577" s="161">
        <v>0</v>
      </c>
      <c r="M577" s="161">
        <v>0</v>
      </c>
      <c r="N577" s="161">
        <v>0</v>
      </c>
      <c r="O577" s="161">
        <v>0</v>
      </c>
      <c r="P577" s="161">
        <v>0</v>
      </c>
      <c r="Q577" s="149"/>
      <c r="R577" s="149"/>
      <c r="S577" s="149"/>
      <c r="T577" s="149"/>
      <c r="U577" s="149"/>
      <c r="V577" s="149"/>
      <c r="W577" s="149"/>
      <c r="X577" s="161">
        <v>0</v>
      </c>
      <c r="Y577" s="145"/>
      <c r="Z577" s="145"/>
      <c r="AX577" s="141" t="s">
        <v>3</v>
      </c>
      <c r="AY577" s="141">
        <v>1999</v>
      </c>
      <c r="AZ577" s="141">
        <v>990</v>
      </c>
      <c r="BA577" s="141">
        <v>990</v>
      </c>
      <c r="BB577" s="141">
        <v>990</v>
      </c>
      <c r="BC577" s="141">
        <v>990</v>
      </c>
      <c r="BD577" s="141">
        <v>990</v>
      </c>
      <c r="BE577" s="141">
        <v>990</v>
      </c>
      <c r="BF577" s="141">
        <v>990</v>
      </c>
      <c r="BG577" s="141">
        <v>990</v>
      </c>
      <c r="BH577" s="141">
        <v>990</v>
      </c>
      <c r="BI577" s="141">
        <v>990</v>
      </c>
      <c r="BJ577" s="141">
        <v>990</v>
      </c>
      <c r="BK577" s="141">
        <v>990</v>
      </c>
      <c r="BL577" s="141">
        <v>990</v>
      </c>
      <c r="BM577" s="141">
        <v>990</v>
      </c>
      <c r="BU577" s="141">
        <v>990</v>
      </c>
    </row>
    <row r="578" spans="1:73" ht="14.4" x14ac:dyDescent="0.3">
      <c r="A578" s="160" t="s">
        <v>3</v>
      </c>
      <c r="B578" s="161">
        <v>2003</v>
      </c>
      <c r="C578" s="161">
        <v>0</v>
      </c>
      <c r="D578" s="161">
        <v>0</v>
      </c>
      <c r="E578" s="161">
        <v>0</v>
      </c>
      <c r="F578" s="161">
        <v>0</v>
      </c>
      <c r="G578" s="161">
        <v>0</v>
      </c>
      <c r="H578" s="161">
        <v>0</v>
      </c>
      <c r="I578" s="161">
        <v>0</v>
      </c>
      <c r="J578" s="161">
        <v>0</v>
      </c>
      <c r="K578" s="161">
        <v>0</v>
      </c>
      <c r="L578" s="161">
        <v>0</v>
      </c>
      <c r="M578" s="161">
        <v>0</v>
      </c>
      <c r="N578" s="161">
        <v>0</v>
      </c>
      <c r="O578" s="161">
        <v>0</v>
      </c>
      <c r="P578" s="149"/>
      <c r="Q578" s="149"/>
      <c r="R578" s="149"/>
      <c r="S578" s="149"/>
      <c r="T578" s="149"/>
      <c r="U578" s="149"/>
      <c r="V578" s="149"/>
      <c r="W578" s="149"/>
      <c r="X578" s="161">
        <v>0</v>
      </c>
      <c r="Y578" s="145"/>
      <c r="Z578" s="145"/>
      <c r="AX578" s="141" t="s">
        <v>3</v>
      </c>
      <c r="AY578" s="141">
        <v>2000</v>
      </c>
      <c r="AZ578" s="141">
        <v>0</v>
      </c>
      <c r="BA578" s="141">
        <v>0</v>
      </c>
      <c r="BB578" s="141">
        <v>0</v>
      </c>
      <c r="BC578" s="141">
        <v>0</v>
      </c>
      <c r="BD578" s="141">
        <v>0</v>
      </c>
      <c r="BE578" s="141">
        <v>0</v>
      </c>
      <c r="BF578" s="141">
        <v>0</v>
      </c>
      <c r="BG578" s="141">
        <v>0</v>
      </c>
      <c r="BH578" s="141">
        <v>0</v>
      </c>
      <c r="BI578" s="141">
        <v>0</v>
      </c>
      <c r="BJ578" s="141">
        <v>0</v>
      </c>
      <c r="BK578" s="141">
        <v>0</v>
      </c>
      <c r="BL578" s="141">
        <v>0</v>
      </c>
      <c r="BU578" s="141">
        <v>0</v>
      </c>
    </row>
    <row r="579" spans="1:73" ht="14.4" x14ac:dyDescent="0.3">
      <c r="A579" s="160" t="s">
        <v>3</v>
      </c>
      <c r="B579" s="161">
        <v>2004</v>
      </c>
      <c r="C579" s="161">
        <v>0</v>
      </c>
      <c r="D579" s="161">
        <v>0</v>
      </c>
      <c r="E579" s="161">
        <v>0</v>
      </c>
      <c r="F579" s="161">
        <v>0</v>
      </c>
      <c r="G579" s="161">
        <v>0</v>
      </c>
      <c r="H579" s="161">
        <v>0</v>
      </c>
      <c r="I579" s="161">
        <v>0</v>
      </c>
      <c r="J579" s="161">
        <v>0</v>
      </c>
      <c r="K579" s="161">
        <v>0</v>
      </c>
      <c r="L579" s="161">
        <v>0</v>
      </c>
      <c r="M579" s="161">
        <v>0</v>
      </c>
      <c r="N579" s="161">
        <v>0</v>
      </c>
      <c r="O579" s="149"/>
      <c r="P579" s="149"/>
      <c r="Q579" s="149"/>
      <c r="R579" s="149"/>
      <c r="S579" s="149"/>
      <c r="T579" s="149"/>
      <c r="U579" s="149"/>
      <c r="V579" s="149"/>
      <c r="W579" s="149"/>
      <c r="X579" s="161">
        <v>0</v>
      </c>
      <c r="Y579" s="145"/>
      <c r="Z579" s="145"/>
      <c r="AX579" s="141" t="s">
        <v>3</v>
      </c>
      <c r="AY579" s="141">
        <v>2001</v>
      </c>
      <c r="AZ579" s="141">
        <v>0</v>
      </c>
      <c r="BA579" s="141">
        <v>0</v>
      </c>
      <c r="BB579" s="141">
        <v>0</v>
      </c>
      <c r="BC579" s="141">
        <v>0</v>
      </c>
      <c r="BD579" s="141">
        <v>0</v>
      </c>
      <c r="BE579" s="141">
        <v>0</v>
      </c>
      <c r="BF579" s="141">
        <v>0</v>
      </c>
      <c r="BG579" s="141">
        <v>0</v>
      </c>
      <c r="BH579" s="141">
        <v>0</v>
      </c>
      <c r="BI579" s="141">
        <v>0</v>
      </c>
      <c r="BJ579" s="141">
        <v>0</v>
      </c>
      <c r="BK579" s="141">
        <v>0</v>
      </c>
      <c r="BU579" s="141">
        <v>0</v>
      </c>
    </row>
    <row r="580" spans="1:73" ht="14.4" x14ac:dyDescent="0.3">
      <c r="A580" s="160" t="s">
        <v>3</v>
      </c>
      <c r="B580" s="161">
        <v>2005</v>
      </c>
      <c r="C580" s="161">
        <v>0</v>
      </c>
      <c r="D580" s="161">
        <v>0</v>
      </c>
      <c r="E580" s="161">
        <v>0</v>
      </c>
      <c r="F580" s="161">
        <v>0</v>
      </c>
      <c r="G580" s="161">
        <v>0</v>
      </c>
      <c r="H580" s="161">
        <v>0</v>
      </c>
      <c r="I580" s="161">
        <v>0</v>
      </c>
      <c r="J580" s="161">
        <v>0</v>
      </c>
      <c r="K580" s="161">
        <v>0</v>
      </c>
      <c r="L580" s="161">
        <v>0</v>
      </c>
      <c r="M580" s="161">
        <v>0</v>
      </c>
      <c r="N580" s="149"/>
      <c r="O580" s="149"/>
      <c r="P580" s="149"/>
      <c r="Q580" s="149"/>
      <c r="R580" s="149"/>
      <c r="S580" s="149"/>
      <c r="T580" s="149"/>
      <c r="U580" s="149"/>
      <c r="V580" s="149"/>
      <c r="W580" s="149"/>
      <c r="X580" s="161">
        <v>0</v>
      </c>
      <c r="Y580" s="145"/>
      <c r="Z580" s="145"/>
      <c r="AX580" s="141" t="s">
        <v>3</v>
      </c>
      <c r="AY580" s="141">
        <v>2002</v>
      </c>
      <c r="AZ580" s="141">
        <v>0</v>
      </c>
      <c r="BA580" s="141">
        <v>0</v>
      </c>
      <c r="BB580" s="141">
        <v>0</v>
      </c>
      <c r="BC580" s="141">
        <v>0</v>
      </c>
      <c r="BD580" s="141">
        <v>0</v>
      </c>
      <c r="BE580" s="141">
        <v>0</v>
      </c>
      <c r="BF580" s="141">
        <v>0</v>
      </c>
      <c r="BG580" s="141">
        <v>0</v>
      </c>
      <c r="BH580" s="141">
        <v>0</v>
      </c>
      <c r="BI580" s="141">
        <v>0</v>
      </c>
      <c r="BJ580" s="141">
        <v>0</v>
      </c>
      <c r="BU580" s="141">
        <v>0</v>
      </c>
    </row>
    <row r="581" spans="1:73" ht="14.4" x14ac:dyDescent="0.3">
      <c r="A581" s="160" t="s">
        <v>3</v>
      </c>
      <c r="B581" s="161">
        <v>2006</v>
      </c>
      <c r="C581" s="161">
        <v>0</v>
      </c>
      <c r="D581" s="161">
        <v>0</v>
      </c>
      <c r="E581" s="161">
        <v>0</v>
      </c>
      <c r="F581" s="161">
        <v>0</v>
      </c>
      <c r="G581" s="161">
        <v>0</v>
      </c>
      <c r="H581" s="161">
        <v>0</v>
      </c>
      <c r="I581" s="161">
        <v>0</v>
      </c>
      <c r="J581" s="161">
        <v>0</v>
      </c>
      <c r="K581" s="161">
        <v>0</v>
      </c>
      <c r="L581" s="161">
        <v>0</v>
      </c>
      <c r="M581" s="149"/>
      <c r="N581" s="149"/>
      <c r="O581" s="149"/>
      <c r="P581" s="149"/>
      <c r="Q581" s="149"/>
      <c r="R581" s="149"/>
      <c r="S581" s="149"/>
      <c r="T581" s="149"/>
      <c r="U581" s="149"/>
      <c r="V581" s="149"/>
      <c r="W581" s="149"/>
      <c r="X581" s="161">
        <v>0</v>
      </c>
      <c r="Y581" s="145"/>
      <c r="Z581" s="145"/>
      <c r="AX581" s="141" t="s">
        <v>3</v>
      </c>
      <c r="AY581" s="141">
        <v>2003</v>
      </c>
      <c r="AZ581" s="141">
        <v>0</v>
      </c>
      <c r="BA581" s="141">
        <v>0</v>
      </c>
      <c r="BB581" s="141">
        <v>0</v>
      </c>
      <c r="BC581" s="141">
        <v>0</v>
      </c>
      <c r="BD581" s="141">
        <v>0</v>
      </c>
      <c r="BE581" s="141">
        <v>0</v>
      </c>
      <c r="BF581" s="141">
        <v>0</v>
      </c>
      <c r="BG581" s="141">
        <v>0</v>
      </c>
      <c r="BH581" s="141">
        <v>0</v>
      </c>
      <c r="BI581" s="141">
        <v>0</v>
      </c>
      <c r="BU581" s="141">
        <v>0</v>
      </c>
    </row>
    <row r="582" spans="1:73" ht="14.4" x14ac:dyDescent="0.3">
      <c r="A582" s="160" t="s">
        <v>3</v>
      </c>
      <c r="B582" s="161">
        <v>2007</v>
      </c>
      <c r="C582" s="161">
        <v>0</v>
      </c>
      <c r="D582" s="161">
        <v>0</v>
      </c>
      <c r="E582" s="161">
        <v>0</v>
      </c>
      <c r="F582" s="161">
        <v>0</v>
      </c>
      <c r="G582" s="161">
        <v>0</v>
      </c>
      <c r="H582" s="161">
        <v>0</v>
      </c>
      <c r="I582" s="161">
        <v>0</v>
      </c>
      <c r="J582" s="161">
        <v>0</v>
      </c>
      <c r="K582" s="161">
        <v>0</v>
      </c>
      <c r="L582" s="149"/>
      <c r="M582" s="149"/>
      <c r="N582" s="149"/>
      <c r="O582" s="149"/>
      <c r="P582" s="149"/>
      <c r="Q582" s="149"/>
      <c r="R582" s="149"/>
      <c r="S582" s="149"/>
      <c r="T582" s="149"/>
      <c r="U582" s="149"/>
      <c r="V582" s="149"/>
      <c r="W582" s="149"/>
      <c r="X582" s="161">
        <v>0</v>
      </c>
      <c r="Y582" s="145"/>
      <c r="Z582" s="145"/>
      <c r="AX582" s="141" t="s">
        <v>3</v>
      </c>
      <c r="AY582" s="141">
        <v>2004</v>
      </c>
      <c r="AZ582" s="141">
        <v>0</v>
      </c>
      <c r="BA582" s="141">
        <v>0</v>
      </c>
      <c r="BB582" s="141">
        <v>0</v>
      </c>
      <c r="BC582" s="141">
        <v>0</v>
      </c>
      <c r="BD582" s="141">
        <v>0</v>
      </c>
      <c r="BE582" s="141">
        <v>0</v>
      </c>
      <c r="BF582" s="141">
        <v>0</v>
      </c>
      <c r="BG582" s="141">
        <v>0</v>
      </c>
      <c r="BH582" s="141">
        <v>0</v>
      </c>
      <c r="BU582" s="141">
        <v>0</v>
      </c>
    </row>
    <row r="583" spans="1:73" ht="14.4" x14ac:dyDescent="0.3">
      <c r="A583" s="160" t="s">
        <v>3</v>
      </c>
      <c r="B583" s="161">
        <v>2008</v>
      </c>
      <c r="C583" s="161">
        <v>0</v>
      </c>
      <c r="D583" s="161">
        <v>0</v>
      </c>
      <c r="E583" s="161">
        <v>0</v>
      </c>
      <c r="F583" s="161">
        <v>0</v>
      </c>
      <c r="G583" s="161">
        <v>0</v>
      </c>
      <c r="H583" s="161">
        <v>0</v>
      </c>
      <c r="I583" s="161">
        <v>0</v>
      </c>
      <c r="J583" s="161">
        <v>0</v>
      </c>
      <c r="K583" s="149"/>
      <c r="L583" s="149"/>
      <c r="M583" s="149"/>
      <c r="N583" s="149"/>
      <c r="O583" s="149"/>
      <c r="P583" s="149"/>
      <c r="Q583" s="149"/>
      <c r="R583" s="149"/>
      <c r="S583" s="149"/>
      <c r="T583" s="149"/>
      <c r="U583" s="149"/>
      <c r="V583" s="149"/>
      <c r="W583" s="149"/>
      <c r="X583" s="161">
        <v>0</v>
      </c>
      <c r="Y583" s="145"/>
      <c r="Z583" s="145"/>
      <c r="AX583" s="141" t="s">
        <v>3</v>
      </c>
      <c r="AY583" s="141">
        <v>2005</v>
      </c>
      <c r="AZ583" s="141">
        <v>0</v>
      </c>
      <c r="BA583" s="141">
        <v>0</v>
      </c>
      <c r="BB583" s="141">
        <v>0</v>
      </c>
      <c r="BC583" s="141">
        <v>0</v>
      </c>
      <c r="BD583" s="141">
        <v>0</v>
      </c>
      <c r="BE583" s="141">
        <v>0</v>
      </c>
      <c r="BF583" s="141">
        <v>0</v>
      </c>
      <c r="BG583" s="141">
        <v>0</v>
      </c>
      <c r="BU583" s="141">
        <v>0</v>
      </c>
    </row>
    <row r="584" spans="1:73" ht="14.4" x14ac:dyDescent="0.3">
      <c r="A584" s="160" t="s">
        <v>3</v>
      </c>
      <c r="B584" s="161">
        <v>2009</v>
      </c>
      <c r="C584" s="161">
        <v>0</v>
      </c>
      <c r="D584" s="161">
        <v>0</v>
      </c>
      <c r="E584" s="161">
        <v>0</v>
      </c>
      <c r="F584" s="161">
        <v>0</v>
      </c>
      <c r="G584" s="161">
        <v>0</v>
      </c>
      <c r="H584" s="161">
        <v>0</v>
      </c>
      <c r="I584" s="161">
        <v>0</v>
      </c>
      <c r="J584" s="149"/>
      <c r="K584" s="149"/>
      <c r="L584" s="149"/>
      <c r="M584" s="149"/>
      <c r="N584" s="149"/>
      <c r="O584" s="149"/>
      <c r="P584" s="149"/>
      <c r="Q584" s="149"/>
      <c r="R584" s="149"/>
      <c r="S584" s="149"/>
      <c r="T584" s="149"/>
      <c r="U584" s="149"/>
      <c r="V584" s="149"/>
      <c r="W584" s="149"/>
      <c r="X584" s="161">
        <v>0</v>
      </c>
      <c r="Y584" s="145"/>
      <c r="Z584" s="145"/>
      <c r="AX584" s="141" t="s">
        <v>3</v>
      </c>
      <c r="AY584" s="141">
        <v>2006</v>
      </c>
      <c r="AZ584" s="141">
        <v>0</v>
      </c>
      <c r="BA584" s="141">
        <v>0</v>
      </c>
      <c r="BB584" s="141">
        <v>0</v>
      </c>
      <c r="BC584" s="141">
        <v>0</v>
      </c>
      <c r="BD584" s="141">
        <v>0</v>
      </c>
      <c r="BE584" s="141">
        <v>0</v>
      </c>
      <c r="BF584" s="141">
        <v>0</v>
      </c>
      <c r="BU584" s="141">
        <v>0</v>
      </c>
    </row>
    <row r="585" spans="1:73" ht="14.4" x14ac:dyDescent="0.3">
      <c r="A585" s="160" t="s">
        <v>3</v>
      </c>
      <c r="B585" s="161">
        <v>2010</v>
      </c>
      <c r="C585" s="161">
        <v>0</v>
      </c>
      <c r="D585" s="161">
        <v>0</v>
      </c>
      <c r="E585" s="161">
        <v>0</v>
      </c>
      <c r="F585" s="161">
        <v>0</v>
      </c>
      <c r="G585" s="161">
        <v>0</v>
      </c>
      <c r="H585" s="161">
        <v>0</v>
      </c>
      <c r="I585" s="149"/>
      <c r="J585" s="149"/>
      <c r="K585" s="149"/>
      <c r="L585" s="149"/>
      <c r="M585" s="149"/>
      <c r="N585" s="149"/>
      <c r="O585" s="149"/>
      <c r="P585" s="149"/>
      <c r="Q585" s="149"/>
      <c r="R585" s="149"/>
      <c r="S585" s="149"/>
      <c r="T585" s="149"/>
      <c r="U585" s="149"/>
      <c r="V585" s="149"/>
      <c r="W585" s="149"/>
      <c r="X585" s="161">
        <v>0</v>
      </c>
      <c r="Y585" s="145"/>
      <c r="Z585" s="145"/>
      <c r="AX585" s="141" t="s">
        <v>3</v>
      </c>
      <c r="AY585" s="141">
        <v>2007</v>
      </c>
      <c r="AZ585" s="141">
        <v>0</v>
      </c>
      <c r="BA585" s="141">
        <v>0</v>
      </c>
      <c r="BB585" s="141">
        <v>0</v>
      </c>
      <c r="BC585" s="141">
        <v>0</v>
      </c>
      <c r="BD585" s="141">
        <v>0</v>
      </c>
      <c r="BE585" s="141">
        <v>0</v>
      </c>
      <c r="BU585" s="141">
        <v>0</v>
      </c>
    </row>
    <row r="586" spans="1:73" ht="14.4" x14ac:dyDescent="0.3">
      <c r="A586" s="160" t="s">
        <v>3</v>
      </c>
      <c r="B586" s="161">
        <v>2011</v>
      </c>
      <c r="C586" s="161">
        <v>0</v>
      </c>
      <c r="D586" s="161">
        <v>0</v>
      </c>
      <c r="E586" s="161">
        <v>0</v>
      </c>
      <c r="F586" s="161">
        <v>0</v>
      </c>
      <c r="G586" s="161">
        <v>0</v>
      </c>
      <c r="H586" s="149"/>
      <c r="I586" s="149"/>
      <c r="J586" s="149"/>
      <c r="K586" s="149"/>
      <c r="L586" s="149"/>
      <c r="M586" s="149"/>
      <c r="N586" s="149"/>
      <c r="O586" s="149"/>
      <c r="P586" s="149"/>
      <c r="Q586" s="149"/>
      <c r="R586" s="149"/>
      <c r="S586" s="149"/>
      <c r="T586" s="149"/>
      <c r="U586" s="149"/>
      <c r="V586" s="149"/>
      <c r="W586" s="149"/>
      <c r="X586" s="161">
        <v>0</v>
      </c>
      <c r="Y586" s="145"/>
      <c r="Z586" s="145"/>
      <c r="AX586" s="141" t="s">
        <v>3</v>
      </c>
      <c r="AY586" s="141">
        <v>2008</v>
      </c>
      <c r="AZ586" s="141">
        <v>0</v>
      </c>
      <c r="BA586" s="141">
        <v>0</v>
      </c>
      <c r="BB586" s="141">
        <v>0</v>
      </c>
      <c r="BC586" s="141">
        <v>0</v>
      </c>
      <c r="BD586" s="141">
        <v>0</v>
      </c>
      <c r="BU586" s="141">
        <v>0</v>
      </c>
    </row>
    <row r="587" spans="1:73" ht="14.4" x14ac:dyDescent="0.3">
      <c r="A587" s="160" t="s">
        <v>3</v>
      </c>
      <c r="B587" s="161">
        <v>2012</v>
      </c>
      <c r="C587" s="161">
        <v>0</v>
      </c>
      <c r="D587" s="161">
        <v>0</v>
      </c>
      <c r="E587" s="161">
        <v>0</v>
      </c>
      <c r="F587" s="161">
        <v>0</v>
      </c>
      <c r="G587" s="149"/>
      <c r="H587" s="149"/>
      <c r="I587" s="149"/>
      <c r="J587" s="149"/>
      <c r="K587" s="149"/>
      <c r="L587" s="149"/>
      <c r="M587" s="149"/>
      <c r="N587" s="149"/>
      <c r="O587" s="149"/>
      <c r="P587" s="149"/>
      <c r="Q587" s="149"/>
      <c r="R587" s="149"/>
      <c r="S587" s="149"/>
      <c r="T587" s="149"/>
      <c r="U587" s="149"/>
      <c r="V587" s="149"/>
      <c r="W587" s="149"/>
      <c r="X587" s="161">
        <v>0</v>
      </c>
      <c r="Y587" s="145"/>
      <c r="Z587" s="145"/>
      <c r="AX587" s="141" t="s">
        <v>3</v>
      </c>
      <c r="AY587" s="141">
        <v>2009</v>
      </c>
      <c r="AZ587" s="141">
        <v>0</v>
      </c>
      <c r="BA587" s="141">
        <v>0</v>
      </c>
      <c r="BB587" s="141">
        <v>0</v>
      </c>
      <c r="BC587" s="141">
        <v>0</v>
      </c>
      <c r="BU587" s="141">
        <v>0</v>
      </c>
    </row>
    <row r="588" spans="1:73" ht="14.4" x14ac:dyDescent="0.3">
      <c r="A588" s="160" t="s">
        <v>3</v>
      </c>
      <c r="B588" s="161">
        <v>2013</v>
      </c>
      <c r="C588" s="161">
        <v>0</v>
      </c>
      <c r="D588" s="161">
        <v>0</v>
      </c>
      <c r="E588" s="161">
        <v>0</v>
      </c>
      <c r="F588" s="149"/>
      <c r="G588" s="149"/>
      <c r="H588" s="149"/>
      <c r="I588" s="149"/>
      <c r="J588" s="149"/>
      <c r="K588" s="149"/>
      <c r="L588" s="149"/>
      <c r="M588" s="149"/>
      <c r="N588" s="149"/>
      <c r="O588" s="149"/>
      <c r="P588" s="149"/>
      <c r="Q588" s="149"/>
      <c r="R588" s="149"/>
      <c r="S588" s="149"/>
      <c r="T588" s="149"/>
      <c r="U588" s="149"/>
      <c r="V588" s="149"/>
      <c r="W588" s="149"/>
      <c r="X588" s="161">
        <v>0</v>
      </c>
      <c r="Y588" s="145"/>
      <c r="Z588" s="145"/>
      <c r="AX588" s="141" t="s">
        <v>3</v>
      </c>
      <c r="AY588" s="141">
        <v>2010</v>
      </c>
      <c r="AZ588" s="141">
        <v>0</v>
      </c>
      <c r="BA588" s="141">
        <v>0</v>
      </c>
      <c r="BB588" s="141">
        <v>0</v>
      </c>
      <c r="BU588" s="141">
        <v>0</v>
      </c>
    </row>
    <row r="589" spans="1:73" ht="14.4" x14ac:dyDescent="0.3">
      <c r="A589" s="160" t="s">
        <v>3</v>
      </c>
      <c r="B589" s="161">
        <v>2014</v>
      </c>
      <c r="C589" s="161">
        <v>0</v>
      </c>
      <c r="D589" s="161">
        <v>0</v>
      </c>
      <c r="E589" s="149"/>
      <c r="F589" s="149"/>
      <c r="G589" s="149"/>
      <c r="H589" s="149"/>
      <c r="I589" s="149"/>
      <c r="J589" s="149"/>
      <c r="K589" s="149"/>
      <c r="L589" s="149"/>
      <c r="M589" s="149"/>
      <c r="N589" s="149"/>
      <c r="O589" s="149"/>
      <c r="P589" s="149"/>
      <c r="Q589" s="149"/>
      <c r="R589" s="149"/>
      <c r="S589" s="149"/>
      <c r="T589" s="149"/>
      <c r="U589" s="149"/>
      <c r="V589" s="149"/>
      <c r="W589" s="149"/>
      <c r="X589" s="161">
        <v>0</v>
      </c>
      <c r="Y589" s="145"/>
      <c r="Z589" s="145"/>
      <c r="AX589" s="141" t="s">
        <v>3</v>
      </c>
      <c r="AY589" s="141">
        <v>2011</v>
      </c>
      <c r="AZ589" s="141">
        <v>0</v>
      </c>
      <c r="BA589" s="141">
        <v>0</v>
      </c>
      <c r="BU589" s="141">
        <v>0</v>
      </c>
    </row>
    <row r="590" spans="1:73" ht="14.4" x14ac:dyDescent="0.3">
      <c r="A590" s="160" t="s">
        <v>3</v>
      </c>
      <c r="B590" s="161">
        <v>2015</v>
      </c>
      <c r="C590" s="161">
        <v>0</v>
      </c>
      <c r="D590" s="149"/>
      <c r="E590" s="149"/>
      <c r="F590" s="149"/>
      <c r="G590" s="149"/>
      <c r="H590" s="149"/>
      <c r="I590" s="149"/>
      <c r="J590" s="149"/>
      <c r="K590" s="149"/>
      <c r="L590" s="149"/>
      <c r="M590" s="149"/>
      <c r="N590" s="149"/>
      <c r="O590" s="149"/>
      <c r="P590" s="149"/>
      <c r="Q590" s="149"/>
      <c r="R590" s="149"/>
      <c r="S590" s="149"/>
      <c r="T590" s="149"/>
      <c r="U590" s="149"/>
      <c r="V590" s="149"/>
      <c r="W590" s="149"/>
      <c r="X590" s="161">
        <v>0</v>
      </c>
      <c r="Y590" s="145"/>
      <c r="Z590" s="145"/>
      <c r="AX590" s="141" t="s">
        <v>3</v>
      </c>
      <c r="AY590" s="141">
        <v>2012</v>
      </c>
      <c r="AZ590" s="141">
        <v>0</v>
      </c>
      <c r="BU590" s="141">
        <v>0</v>
      </c>
    </row>
    <row r="591" spans="1:73" ht="14.4" x14ac:dyDescent="0.3">
      <c r="A591" s="160" t="s">
        <v>4</v>
      </c>
      <c r="B591" s="161">
        <v>1995</v>
      </c>
      <c r="C591" s="161">
        <v>92689684.660000011</v>
      </c>
      <c r="D591" s="161">
        <v>162049004.84999999</v>
      </c>
      <c r="E591" s="161">
        <v>195689450.90000001</v>
      </c>
      <c r="F591" s="161">
        <v>210154039.06999999</v>
      </c>
      <c r="G591" s="161">
        <v>214677671.25999996</v>
      </c>
      <c r="H591" s="161">
        <v>220854259.25999996</v>
      </c>
      <c r="I591" s="161">
        <v>221553609.24000001</v>
      </c>
      <c r="J591" s="161">
        <v>227178196.23000002</v>
      </c>
      <c r="K591" s="161">
        <v>322258735.89999998</v>
      </c>
      <c r="L591" s="161">
        <v>327494828.79999995</v>
      </c>
      <c r="M591" s="161">
        <v>330170950.68000001</v>
      </c>
      <c r="N591" s="161">
        <v>331103849.76999998</v>
      </c>
      <c r="O591" s="161">
        <v>331659788.69000006</v>
      </c>
      <c r="P591" s="161">
        <v>331714617.01999998</v>
      </c>
      <c r="Q591" s="161">
        <v>332364080.78999996</v>
      </c>
      <c r="R591" s="161">
        <v>332470096.73000002</v>
      </c>
      <c r="S591" s="161">
        <v>333394615.37000006</v>
      </c>
      <c r="T591" s="161">
        <v>333559055.07999998</v>
      </c>
      <c r="U591" s="161">
        <v>333586617.03999996</v>
      </c>
      <c r="V591" s="161">
        <v>333683496.80000001</v>
      </c>
      <c r="W591" s="161">
        <v>333735720.48000002</v>
      </c>
      <c r="X591" s="161">
        <v>333735720.48000002</v>
      </c>
      <c r="Y591" s="145"/>
      <c r="Z591" s="145"/>
      <c r="AX591" s="141" t="s">
        <v>4</v>
      </c>
      <c r="AY591" s="141">
        <v>1992</v>
      </c>
      <c r="AZ591" s="141">
        <v>9545714594.5300007</v>
      </c>
      <c r="BA591" s="141">
        <v>10132686503.709999</v>
      </c>
      <c r="BB591" s="141">
        <v>10962289980.85</v>
      </c>
      <c r="BC591" s="141">
        <v>11506217782.67</v>
      </c>
      <c r="BD591" s="141">
        <v>12605759360.360001</v>
      </c>
      <c r="BE591" s="141">
        <v>13260523444.92</v>
      </c>
      <c r="BF591" s="141">
        <v>13697592867.959999</v>
      </c>
      <c r="BG591" s="141">
        <v>13995376084.15</v>
      </c>
      <c r="BH591" s="141">
        <v>14199764528.629999</v>
      </c>
      <c r="BI591" s="141">
        <v>14376587345.57</v>
      </c>
      <c r="BJ591" s="141">
        <v>14414998761.870001</v>
      </c>
      <c r="BK591" s="141">
        <v>14481711567.610001</v>
      </c>
      <c r="BL591" s="141">
        <v>14582837600.24</v>
      </c>
      <c r="BM591" s="141">
        <v>14705672226.120001</v>
      </c>
      <c r="BN591" s="141">
        <v>14677622752.700001</v>
      </c>
      <c r="BO591" s="141">
        <v>14632343998.58</v>
      </c>
      <c r="BP591" s="141">
        <v>14657452318.620001</v>
      </c>
      <c r="BQ591" s="141">
        <v>14684516980.76</v>
      </c>
      <c r="BR591" s="141">
        <v>14730649138.809999</v>
      </c>
      <c r="BS591" s="141">
        <v>14754209091.82</v>
      </c>
      <c r="BT591" s="141">
        <v>14768460121.950001</v>
      </c>
      <c r="BU591" s="141">
        <v>14768460121.950001</v>
      </c>
    </row>
    <row r="592" spans="1:73" ht="14.4" x14ac:dyDescent="0.3">
      <c r="A592" s="160" t="s">
        <v>4</v>
      </c>
      <c r="B592" s="161">
        <v>1996</v>
      </c>
      <c r="C592" s="161">
        <v>142116522.99000001</v>
      </c>
      <c r="D592" s="161">
        <v>177483902.25</v>
      </c>
      <c r="E592" s="161">
        <v>239957719.90000004</v>
      </c>
      <c r="F592" s="161">
        <v>256211404.95999998</v>
      </c>
      <c r="G592" s="161">
        <v>267130997.13</v>
      </c>
      <c r="H592" s="161">
        <v>284466423.04999995</v>
      </c>
      <c r="I592" s="161">
        <v>288817225.78999996</v>
      </c>
      <c r="J592" s="161">
        <v>291752830.38999999</v>
      </c>
      <c r="K592" s="161">
        <v>293179940.10000002</v>
      </c>
      <c r="L592" s="161">
        <v>295298538.60000002</v>
      </c>
      <c r="M592" s="161">
        <v>295457318.41000003</v>
      </c>
      <c r="N592" s="161">
        <v>296994993.69</v>
      </c>
      <c r="O592" s="161">
        <v>297256935.88</v>
      </c>
      <c r="P592" s="161">
        <v>297856042.61000001</v>
      </c>
      <c r="Q592" s="161">
        <v>297905066.44000006</v>
      </c>
      <c r="R592" s="161">
        <v>297963259.74000001</v>
      </c>
      <c r="S592" s="161">
        <v>298069306.26999998</v>
      </c>
      <c r="T592" s="161">
        <v>298341843.35000002</v>
      </c>
      <c r="U592" s="161">
        <v>298380096.08000004</v>
      </c>
      <c r="V592" s="161">
        <v>298464864.11000001</v>
      </c>
      <c r="W592" s="149"/>
      <c r="X592" s="161">
        <v>298464864.11000001</v>
      </c>
      <c r="Y592" s="145"/>
      <c r="Z592" s="145"/>
      <c r="AX592" s="141" t="s">
        <v>4</v>
      </c>
      <c r="AY592" s="141">
        <v>1993</v>
      </c>
      <c r="AZ592" s="141">
        <v>715080112.51999998</v>
      </c>
      <c r="BA592" s="141">
        <v>966600068.51999998</v>
      </c>
      <c r="BB592" s="141">
        <v>1178787040.73</v>
      </c>
      <c r="BC592" s="141">
        <v>1254905361.3800001</v>
      </c>
      <c r="BD592" s="141">
        <v>1291970532.6400001</v>
      </c>
      <c r="BE592" s="141">
        <v>1322250538.8399999</v>
      </c>
      <c r="BF592" s="141">
        <v>1312449298.6800001</v>
      </c>
      <c r="BG592" s="141">
        <v>1307169426.4300001</v>
      </c>
      <c r="BH592" s="141">
        <v>1309346989.9000001</v>
      </c>
      <c r="BI592" s="141">
        <v>1312694867.5699999</v>
      </c>
      <c r="BJ592" s="141">
        <v>1314805136.3599999</v>
      </c>
      <c r="BK592" s="141">
        <v>1315768509.6300001</v>
      </c>
      <c r="BL592" s="141">
        <v>1317059448.1199999</v>
      </c>
      <c r="BM592" s="141">
        <v>1319474493.9300001</v>
      </c>
      <c r="BN592" s="141">
        <v>1320270487.5</v>
      </c>
      <c r="BO592" s="141">
        <v>1321568294.3</v>
      </c>
      <c r="BP592" s="141">
        <v>1322025854.5699999</v>
      </c>
      <c r="BQ592" s="141">
        <v>1324147061.28</v>
      </c>
      <c r="BR592" s="141">
        <v>1324432637.46</v>
      </c>
      <c r="BS592" s="141">
        <v>1324684824.5999999</v>
      </c>
      <c r="BU592" s="141">
        <v>1324684824.5999999</v>
      </c>
    </row>
    <row r="593" spans="1:73" ht="14.4" x14ac:dyDescent="0.3">
      <c r="A593" s="160" t="s">
        <v>4</v>
      </c>
      <c r="B593" s="161">
        <v>1997</v>
      </c>
      <c r="C593" s="161">
        <v>115897880.86</v>
      </c>
      <c r="D593" s="161">
        <v>178353837.37</v>
      </c>
      <c r="E593" s="161">
        <v>196652156.91</v>
      </c>
      <c r="F593" s="161">
        <v>209388700.69</v>
      </c>
      <c r="G593" s="161">
        <v>223966163.27000001</v>
      </c>
      <c r="H593" s="161">
        <v>231381564.73999998</v>
      </c>
      <c r="I593" s="161">
        <v>245290392.15000001</v>
      </c>
      <c r="J593" s="161">
        <v>237384660.76000002</v>
      </c>
      <c r="K593" s="161">
        <v>240495593.28</v>
      </c>
      <c r="L593" s="161">
        <v>246430901.5</v>
      </c>
      <c r="M593" s="161">
        <v>248094268.57999998</v>
      </c>
      <c r="N593" s="161">
        <v>248180497.34</v>
      </c>
      <c r="O593" s="161">
        <v>248143820.38999999</v>
      </c>
      <c r="P593" s="161">
        <v>248260335.38</v>
      </c>
      <c r="Q593" s="161">
        <v>248337045.25</v>
      </c>
      <c r="R593" s="161">
        <v>248381711.28</v>
      </c>
      <c r="S593" s="161">
        <v>248444345.44999999</v>
      </c>
      <c r="T593" s="161">
        <v>248501679.25999999</v>
      </c>
      <c r="U593" s="161">
        <v>248566746.25999999</v>
      </c>
      <c r="V593" s="149"/>
      <c r="W593" s="149"/>
      <c r="X593" s="161">
        <v>248566746.25999999</v>
      </c>
      <c r="Y593" s="145"/>
      <c r="Z593" s="145"/>
      <c r="AX593" s="141" t="s">
        <v>4</v>
      </c>
      <c r="AY593" s="141">
        <v>1994</v>
      </c>
      <c r="AZ593" s="141">
        <v>797687241.78999996</v>
      </c>
      <c r="BA593" s="141">
        <v>1181329135.3599999</v>
      </c>
      <c r="BB593" s="141">
        <v>1331976315.3299999</v>
      </c>
      <c r="BC593" s="141">
        <v>1414740319.3099999</v>
      </c>
      <c r="BD593" s="141">
        <v>1459615113.0799999</v>
      </c>
      <c r="BE593" s="141">
        <v>1479187293.4400001</v>
      </c>
      <c r="BF593" s="141">
        <v>1493320454.1800001</v>
      </c>
      <c r="BG593" s="141">
        <v>1503959852.3699999</v>
      </c>
      <c r="BH593" s="141">
        <v>1509345497.53</v>
      </c>
      <c r="BI593" s="141">
        <v>1511320082.47</v>
      </c>
      <c r="BJ593" s="141">
        <v>1511650871.79</v>
      </c>
      <c r="BK593" s="141">
        <v>1512919118.5699999</v>
      </c>
      <c r="BL593" s="141">
        <v>1514402800.4400001</v>
      </c>
      <c r="BM593" s="141">
        <v>1515428881.1900001</v>
      </c>
      <c r="BN593" s="141">
        <v>1517263753.46</v>
      </c>
      <c r="BO593" s="141">
        <v>1517613315</v>
      </c>
      <c r="BP593" s="141">
        <v>1520842925.1300001</v>
      </c>
      <c r="BQ593" s="141">
        <v>1520957730.52</v>
      </c>
      <c r="BR593" s="141">
        <v>1522139600.0699999</v>
      </c>
      <c r="BU593" s="141">
        <v>1522139600.0699999</v>
      </c>
    </row>
    <row r="594" spans="1:73" ht="14.4" x14ac:dyDescent="0.3">
      <c r="A594" s="160" t="s">
        <v>4</v>
      </c>
      <c r="B594" s="161">
        <v>1998</v>
      </c>
      <c r="C594" s="161">
        <v>56444356.380000003</v>
      </c>
      <c r="D594" s="161">
        <v>83792021.709999993</v>
      </c>
      <c r="E594" s="161">
        <v>98024832.99000001</v>
      </c>
      <c r="F594" s="161">
        <v>107623508.54000001</v>
      </c>
      <c r="G594" s="161">
        <v>113613127.64</v>
      </c>
      <c r="H594" s="161">
        <v>115186974.67000002</v>
      </c>
      <c r="I594" s="161">
        <v>117434960.88000003</v>
      </c>
      <c r="J594" s="161">
        <v>122622062.75</v>
      </c>
      <c r="K594" s="161">
        <v>130202631.20999999</v>
      </c>
      <c r="L594" s="161">
        <v>138845549.84999996</v>
      </c>
      <c r="M594" s="161">
        <v>139431309.51000002</v>
      </c>
      <c r="N594" s="161">
        <v>140484650</v>
      </c>
      <c r="O594" s="161">
        <v>140906965.49000001</v>
      </c>
      <c r="P594" s="161">
        <v>141211156.28</v>
      </c>
      <c r="Q594" s="161">
        <v>141440495.39999998</v>
      </c>
      <c r="R594" s="161">
        <v>142283107.59000003</v>
      </c>
      <c r="S594" s="161">
        <v>143495332.51000002</v>
      </c>
      <c r="T594" s="161">
        <v>143838730.04000002</v>
      </c>
      <c r="U594" s="149"/>
      <c r="V594" s="149"/>
      <c r="W594" s="149"/>
      <c r="X594" s="161">
        <v>143838730.04000002</v>
      </c>
      <c r="Y594" s="145"/>
      <c r="Z594" s="145"/>
      <c r="AX594" s="141" t="s">
        <v>4</v>
      </c>
      <c r="AY594" s="141">
        <v>1995</v>
      </c>
      <c r="AZ594" s="141">
        <v>537398400.52999997</v>
      </c>
      <c r="BA594" s="141">
        <v>845075465.46000004</v>
      </c>
      <c r="BB594" s="141">
        <v>969727091.13</v>
      </c>
      <c r="BC594" s="141">
        <v>1049741554.25</v>
      </c>
      <c r="BD594" s="141">
        <v>1087086377.3199999</v>
      </c>
      <c r="BE594" s="141">
        <v>1106232624.2</v>
      </c>
      <c r="BF594" s="141">
        <v>1115354957.26</v>
      </c>
      <c r="BG594" s="141">
        <v>1125625450.1900001</v>
      </c>
      <c r="BH594" s="141">
        <v>1222593513.48</v>
      </c>
      <c r="BI594" s="141">
        <v>1228655207.8800001</v>
      </c>
      <c r="BJ594" s="141">
        <v>1232073662.4200001</v>
      </c>
      <c r="BK594" s="141">
        <v>1233387266.0699999</v>
      </c>
      <c r="BL594" s="141">
        <v>1234382702.1099999</v>
      </c>
      <c r="BM594" s="141">
        <v>1234528608.49</v>
      </c>
      <c r="BN594" s="141">
        <v>1235296993.27</v>
      </c>
      <c r="BO594" s="141">
        <v>1235669326.6099999</v>
      </c>
      <c r="BP594" s="141">
        <v>1236617371.47</v>
      </c>
      <c r="BQ594" s="141">
        <v>1236810077.0899999</v>
      </c>
      <c r="BU594" s="141">
        <v>1236810077.0899999</v>
      </c>
    </row>
    <row r="595" spans="1:73" ht="14.4" x14ac:dyDescent="0.3">
      <c r="A595" s="160" t="s">
        <v>4</v>
      </c>
      <c r="B595" s="161">
        <v>1999</v>
      </c>
      <c r="C595" s="161">
        <v>36627896.880000003</v>
      </c>
      <c r="D595" s="161">
        <v>52036213.450000003</v>
      </c>
      <c r="E595" s="161">
        <v>63724046.18</v>
      </c>
      <c r="F595" s="161">
        <v>77606705.75</v>
      </c>
      <c r="G595" s="161">
        <v>83378788.099999994</v>
      </c>
      <c r="H595" s="161">
        <v>88413988.879999995</v>
      </c>
      <c r="I595" s="161">
        <v>91896221.330000028</v>
      </c>
      <c r="J595" s="161">
        <v>95479634.619999975</v>
      </c>
      <c r="K595" s="161">
        <v>102542609.33</v>
      </c>
      <c r="L595" s="161">
        <v>103102779.89</v>
      </c>
      <c r="M595" s="161">
        <v>102526503.66</v>
      </c>
      <c r="N595" s="161">
        <v>102477951.99000001</v>
      </c>
      <c r="O595" s="161">
        <v>103627483.52</v>
      </c>
      <c r="P595" s="161">
        <v>103902466.73999998</v>
      </c>
      <c r="Q595" s="161">
        <v>103967048.92999999</v>
      </c>
      <c r="R595" s="161">
        <v>104039154.19999999</v>
      </c>
      <c r="S595" s="161">
        <v>104135973.19</v>
      </c>
      <c r="T595" s="149"/>
      <c r="U595" s="149"/>
      <c r="V595" s="149"/>
      <c r="W595" s="149"/>
      <c r="X595" s="161">
        <v>104135973.19</v>
      </c>
      <c r="Y595" s="145"/>
      <c r="Z595" s="145"/>
      <c r="AX595" s="141" t="s">
        <v>4</v>
      </c>
      <c r="AY595" s="141">
        <v>1996</v>
      </c>
      <c r="AZ595" s="141">
        <v>736735522.32000005</v>
      </c>
      <c r="BA595" s="141">
        <v>1021033671.37</v>
      </c>
      <c r="BB595" s="141">
        <v>1181941313.1600001</v>
      </c>
      <c r="BC595" s="141">
        <v>1257675397.3299999</v>
      </c>
      <c r="BD595" s="141">
        <v>1300315461.6700001</v>
      </c>
      <c r="BE595" s="141">
        <v>1338868839.0599999</v>
      </c>
      <c r="BF595" s="141">
        <v>1354296274.4400001</v>
      </c>
      <c r="BG595" s="141">
        <v>1361192622.55</v>
      </c>
      <c r="BH595" s="141">
        <v>1366466168.55</v>
      </c>
      <c r="BI595" s="141">
        <v>1369868297.3599999</v>
      </c>
      <c r="BJ595" s="141">
        <v>1371435458.3599999</v>
      </c>
      <c r="BK595" s="141">
        <v>1374014381.5999999</v>
      </c>
      <c r="BL595" s="141">
        <v>1374749135.1600001</v>
      </c>
      <c r="BM595" s="141">
        <v>1376927554.5999999</v>
      </c>
      <c r="BN595" s="141">
        <v>1377247676.03</v>
      </c>
      <c r="BO595" s="141">
        <v>1377685980.5899999</v>
      </c>
      <c r="BP595" s="141">
        <v>1377981642.9200001</v>
      </c>
      <c r="BU595" s="141">
        <v>1377981642.9200001</v>
      </c>
    </row>
    <row r="596" spans="1:73" ht="14.4" x14ac:dyDescent="0.3">
      <c r="A596" s="160" t="s">
        <v>4</v>
      </c>
      <c r="B596" s="161">
        <v>2000</v>
      </c>
      <c r="C596" s="161">
        <v>17624298.469999999</v>
      </c>
      <c r="D596" s="161">
        <v>49522568.410000004</v>
      </c>
      <c r="E596" s="161">
        <v>73829326.790000007</v>
      </c>
      <c r="F596" s="161">
        <v>83553548.079999983</v>
      </c>
      <c r="G596" s="161">
        <v>93638133.829999983</v>
      </c>
      <c r="H596" s="161">
        <v>96395292.980000004</v>
      </c>
      <c r="I596" s="161">
        <v>98582662.25000003</v>
      </c>
      <c r="J596" s="161">
        <v>105230376.25999999</v>
      </c>
      <c r="K596" s="161">
        <v>107016770.43000001</v>
      </c>
      <c r="L596" s="161">
        <v>106776253.84999999</v>
      </c>
      <c r="M596" s="161">
        <v>107170675.58</v>
      </c>
      <c r="N596" s="161">
        <v>108441776.19999999</v>
      </c>
      <c r="O596" s="161">
        <v>108772314.06</v>
      </c>
      <c r="P596" s="161">
        <v>109258700.60000002</v>
      </c>
      <c r="Q596" s="161">
        <v>109378629.44000003</v>
      </c>
      <c r="R596" s="161">
        <v>109498984.56000002</v>
      </c>
      <c r="S596" s="149"/>
      <c r="T596" s="149"/>
      <c r="U596" s="149"/>
      <c r="V596" s="149"/>
      <c r="W596" s="149"/>
      <c r="X596" s="161">
        <v>109498984.56000002</v>
      </c>
      <c r="Y596" s="145"/>
      <c r="Z596" s="145"/>
      <c r="AX596" s="141" t="s">
        <v>4</v>
      </c>
      <c r="AY596" s="141">
        <v>1997</v>
      </c>
      <c r="AZ596" s="141">
        <v>680443984.63</v>
      </c>
      <c r="BA596" s="141">
        <v>969852264.04999995</v>
      </c>
      <c r="BB596" s="141">
        <v>1095767726.4000001</v>
      </c>
      <c r="BC596" s="141">
        <v>1156044234.8199999</v>
      </c>
      <c r="BD596" s="141">
        <v>1207123844.1900001</v>
      </c>
      <c r="BE596" s="141">
        <v>1233693592.28</v>
      </c>
      <c r="BF596" s="141">
        <v>1255763119.3299999</v>
      </c>
      <c r="BG596" s="141">
        <v>1251871796.8599999</v>
      </c>
      <c r="BH596" s="141">
        <v>1257439489.8</v>
      </c>
      <c r="BI596" s="141">
        <v>1266120965.6600001</v>
      </c>
      <c r="BJ596" s="141">
        <v>1269136516.24</v>
      </c>
      <c r="BK596" s="141">
        <v>1270287805.74</v>
      </c>
      <c r="BL596" s="141">
        <v>1271335560.21</v>
      </c>
      <c r="BM596" s="141">
        <v>1273133020.4100001</v>
      </c>
      <c r="BN596" s="141">
        <v>1273714516.23</v>
      </c>
      <c r="BO596" s="141">
        <v>1274091478.53</v>
      </c>
      <c r="BU596" s="141">
        <v>1274091478.53</v>
      </c>
    </row>
    <row r="597" spans="1:73" ht="14.4" x14ac:dyDescent="0.3">
      <c r="A597" s="160" t="s">
        <v>4</v>
      </c>
      <c r="B597" s="161">
        <v>2001</v>
      </c>
      <c r="C597" s="161">
        <v>18349953.249999996</v>
      </c>
      <c r="D597" s="161">
        <v>59142338.040000007</v>
      </c>
      <c r="E597" s="161">
        <v>63554932.190000013</v>
      </c>
      <c r="F597" s="161">
        <v>76960277.580000013</v>
      </c>
      <c r="G597" s="161">
        <v>78483421.420000017</v>
      </c>
      <c r="H597" s="161">
        <v>86056092.510000005</v>
      </c>
      <c r="I597" s="161">
        <v>92836070.300000012</v>
      </c>
      <c r="J597" s="161">
        <v>95421145.389999986</v>
      </c>
      <c r="K597" s="161">
        <v>95627022.74000001</v>
      </c>
      <c r="L597" s="161">
        <v>96629103.310000002</v>
      </c>
      <c r="M597" s="161">
        <v>97214222.600000024</v>
      </c>
      <c r="N597" s="161">
        <v>97293038.729999989</v>
      </c>
      <c r="O597" s="161">
        <v>97268982.069999993</v>
      </c>
      <c r="P597" s="161">
        <v>97586493.589999974</v>
      </c>
      <c r="Q597" s="161">
        <v>97611161.979999989</v>
      </c>
      <c r="R597" s="149"/>
      <c r="S597" s="149"/>
      <c r="T597" s="149"/>
      <c r="U597" s="149"/>
      <c r="V597" s="149"/>
      <c r="W597" s="149"/>
      <c r="X597" s="161">
        <v>97611161.979999989</v>
      </c>
      <c r="Y597" s="145"/>
      <c r="Z597" s="145"/>
      <c r="AX597" s="141" t="s">
        <v>4</v>
      </c>
      <c r="AY597" s="141">
        <v>1998</v>
      </c>
      <c r="AZ597" s="141">
        <v>717228397.60000002</v>
      </c>
      <c r="BA597" s="141">
        <v>998361919.80999994</v>
      </c>
      <c r="BB597" s="141">
        <v>1090186631.0599999</v>
      </c>
      <c r="BC597" s="141">
        <v>1167966424.6099999</v>
      </c>
      <c r="BD597" s="141">
        <v>1217693995.6800001</v>
      </c>
      <c r="BE597" s="141">
        <v>1237218554.0799999</v>
      </c>
      <c r="BF597" s="141">
        <v>1248195015.1500001</v>
      </c>
      <c r="BG597" s="141">
        <v>1255659679.5</v>
      </c>
      <c r="BH597" s="141">
        <v>1265237265.6800001</v>
      </c>
      <c r="BI597" s="141">
        <v>1274728765.01</v>
      </c>
      <c r="BJ597" s="141">
        <v>1277485992.5999999</v>
      </c>
      <c r="BK597" s="141">
        <v>1279411166.4100001</v>
      </c>
      <c r="BL597" s="141">
        <v>1280164235.55</v>
      </c>
      <c r="BM597" s="141">
        <v>1281302787.8900001</v>
      </c>
      <c r="BN597" s="141">
        <v>1281701507.02</v>
      </c>
      <c r="BU597" s="141">
        <v>1281701507.02</v>
      </c>
    </row>
    <row r="598" spans="1:73" ht="14.4" x14ac:dyDescent="0.3">
      <c r="A598" s="160" t="s">
        <v>4</v>
      </c>
      <c r="B598" s="161">
        <v>2002</v>
      </c>
      <c r="C598" s="161">
        <v>18995783.329999998</v>
      </c>
      <c r="D598" s="161">
        <v>30574262.879999995</v>
      </c>
      <c r="E598" s="161">
        <v>36086199.229999989</v>
      </c>
      <c r="F598" s="161">
        <v>38560887.280000001</v>
      </c>
      <c r="G598" s="161">
        <v>41332365.540000007</v>
      </c>
      <c r="H598" s="161">
        <v>42152531.579999983</v>
      </c>
      <c r="I598" s="161">
        <v>43065669.209999993</v>
      </c>
      <c r="J598" s="161">
        <v>43386381.909999996</v>
      </c>
      <c r="K598" s="161">
        <v>44583279</v>
      </c>
      <c r="L598" s="161">
        <v>44791787.769999996</v>
      </c>
      <c r="M598" s="161">
        <v>44866754.340000004</v>
      </c>
      <c r="N598" s="161">
        <v>44909806.99000001</v>
      </c>
      <c r="O598" s="161">
        <v>44936430.049999982</v>
      </c>
      <c r="P598" s="161">
        <v>44946091.079999998</v>
      </c>
      <c r="Q598" s="149"/>
      <c r="R598" s="149"/>
      <c r="S598" s="149"/>
      <c r="T598" s="149"/>
      <c r="U598" s="149"/>
      <c r="V598" s="149"/>
      <c r="W598" s="149"/>
      <c r="X598" s="161">
        <v>44946091.079999998</v>
      </c>
      <c r="Y598" s="145"/>
      <c r="Z598" s="145"/>
      <c r="AX598" s="141" t="s">
        <v>4</v>
      </c>
      <c r="AY598" s="141">
        <v>1999</v>
      </c>
      <c r="AZ598" s="141">
        <v>686774321.17999995</v>
      </c>
      <c r="BA598" s="141">
        <v>832855117.51999998</v>
      </c>
      <c r="BB598" s="141">
        <v>934075392.30999994</v>
      </c>
      <c r="BC598" s="141">
        <v>996972092.30999994</v>
      </c>
      <c r="BD598" s="141">
        <v>1031442440.99</v>
      </c>
      <c r="BE598" s="141">
        <v>1053781566.7</v>
      </c>
      <c r="BF598" s="141">
        <v>1061200369.9400001</v>
      </c>
      <c r="BG598" s="141">
        <v>1068388414.96</v>
      </c>
      <c r="BH598" s="141">
        <v>1077399479.9400001</v>
      </c>
      <c r="BI598" s="141">
        <v>1079050689.77</v>
      </c>
      <c r="BJ598" s="141">
        <v>1078976147.0999999</v>
      </c>
      <c r="BK598" s="141">
        <v>1080144914.0599999</v>
      </c>
      <c r="BL598" s="141">
        <v>1081739837.6300001</v>
      </c>
      <c r="BM598" s="141">
        <v>1082705743.0999999</v>
      </c>
      <c r="BU598" s="141">
        <v>1082705743.0999999</v>
      </c>
    </row>
    <row r="599" spans="1:73" ht="14.4" x14ac:dyDescent="0.3">
      <c r="A599" s="160" t="s">
        <v>4</v>
      </c>
      <c r="B599" s="161">
        <v>2003</v>
      </c>
      <c r="C599" s="161">
        <v>4551252.3500000015</v>
      </c>
      <c r="D599" s="161">
        <v>7389640.2599999942</v>
      </c>
      <c r="E599" s="161">
        <v>8260871.599999994</v>
      </c>
      <c r="F599" s="161">
        <v>9302958.8500000015</v>
      </c>
      <c r="G599" s="161">
        <v>9564814.0699999928</v>
      </c>
      <c r="H599" s="161">
        <v>10362699.130000003</v>
      </c>
      <c r="I599" s="161">
        <v>10476115.580000006</v>
      </c>
      <c r="J599" s="161">
        <v>10547897.309999995</v>
      </c>
      <c r="K599" s="161">
        <v>10629027.029999994</v>
      </c>
      <c r="L599" s="161">
        <v>10649089.150000006</v>
      </c>
      <c r="M599" s="161">
        <v>10658282.020000003</v>
      </c>
      <c r="N599" s="161">
        <v>10660686.329999998</v>
      </c>
      <c r="O599" s="161">
        <v>10660875.460000001</v>
      </c>
      <c r="P599" s="149"/>
      <c r="Q599" s="149"/>
      <c r="R599" s="149"/>
      <c r="S599" s="149"/>
      <c r="T599" s="149"/>
      <c r="U599" s="149"/>
      <c r="V599" s="149"/>
      <c r="W599" s="149"/>
      <c r="X599" s="161">
        <v>10660875.460000001</v>
      </c>
      <c r="Y599" s="145"/>
      <c r="Z599" s="145"/>
      <c r="AX599" s="141" t="s">
        <v>4</v>
      </c>
      <c r="AY599" s="141">
        <v>2000</v>
      </c>
      <c r="AZ599" s="141">
        <v>18954531.1800001</v>
      </c>
      <c r="BA599" s="141">
        <v>66604563.920000099</v>
      </c>
      <c r="BB599" s="141">
        <v>101243086.25</v>
      </c>
      <c r="BC599" s="141">
        <v>112660496.16</v>
      </c>
      <c r="BD599" s="141">
        <v>123137849.17</v>
      </c>
      <c r="BE599" s="141">
        <v>126280073.59999999</v>
      </c>
      <c r="BF599" s="141">
        <v>128452106.51000001</v>
      </c>
      <c r="BG599" s="141">
        <v>135101772.03</v>
      </c>
      <c r="BH599" s="141">
        <v>136892568.80000001</v>
      </c>
      <c r="BI599" s="141">
        <v>136656694.22</v>
      </c>
      <c r="BJ599" s="141">
        <v>137035117.33000001</v>
      </c>
      <c r="BK599" s="141">
        <v>138359161.28</v>
      </c>
      <c r="BL599" s="141">
        <v>138691485.53</v>
      </c>
      <c r="BU599" s="141">
        <v>138691485.53</v>
      </c>
    </row>
    <row r="600" spans="1:73" ht="14.4" x14ac:dyDescent="0.3">
      <c r="A600" s="160" t="s">
        <v>4</v>
      </c>
      <c r="B600" s="161">
        <v>2004</v>
      </c>
      <c r="C600" s="161">
        <v>66903.42</v>
      </c>
      <c r="D600" s="161">
        <v>1277790.6299999999</v>
      </c>
      <c r="E600" s="161">
        <v>1621762.33</v>
      </c>
      <c r="F600" s="161">
        <v>1823118.9</v>
      </c>
      <c r="G600" s="161">
        <v>1994377.34</v>
      </c>
      <c r="H600" s="161">
        <v>2133101.98</v>
      </c>
      <c r="I600" s="161">
        <v>2874458.88</v>
      </c>
      <c r="J600" s="161">
        <v>2894488.48</v>
      </c>
      <c r="K600" s="161">
        <v>2894488.48</v>
      </c>
      <c r="L600" s="161">
        <v>2894488.48</v>
      </c>
      <c r="M600" s="161">
        <v>2894488.48</v>
      </c>
      <c r="N600" s="161">
        <v>2894488.48</v>
      </c>
      <c r="O600" s="149"/>
      <c r="P600" s="149"/>
      <c r="Q600" s="149"/>
      <c r="R600" s="149"/>
      <c r="S600" s="149"/>
      <c r="T600" s="149"/>
      <c r="U600" s="149"/>
      <c r="V600" s="149"/>
      <c r="W600" s="149"/>
      <c r="X600" s="161">
        <v>2894488.48</v>
      </c>
      <c r="Y600" s="145"/>
      <c r="Z600" s="145"/>
      <c r="AX600" s="141" t="s">
        <v>4</v>
      </c>
      <c r="AY600" s="141">
        <v>2001</v>
      </c>
      <c r="AZ600" s="141">
        <v>19028698.710000001</v>
      </c>
      <c r="BA600" s="141">
        <v>64259300.480000302</v>
      </c>
      <c r="BB600" s="141">
        <v>74694302.8800001</v>
      </c>
      <c r="BC600" s="141">
        <v>89523662.359999895</v>
      </c>
      <c r="BD600" s="141">
        <v>91655259.140000105</v>
      </c>
      <c r="BE600" s="141">
        <v>99573668.739999995</v>
      </c>
      <c r="BF600" s="141">
        <v>106486753.34999999</v>
      </c>
      <c r="BG600" s="141">
        <v>109152936.18000001</v>
      </c>
      <c r="BH600" s="141">
        <v>109907644.41</v>
      </c>
      <c r="BI600" s="141">
        <v>110880460.36</v>
      </c>
      <c r="BJ600" s="141">
        <v>111478623.77</v>
      </c>
      <c r="BK600" s="141">
        <v>111567122.20999999</v>
      </c>
      <c r="BU600" s="141">
        <v>111567122.20999999</v>
      </c>
    </row>
    <row r="601" spans="1:73" ht="14.4" x14ac:dyDescent="0.3">
      <c r="A601" s="160" t="s">
        <v>4</v>
      </c>
      <c r="B601" s="161">
        <v>2005</v>
      </c>
      <c r="C601" s="161">
        <v>72056.97</v>
      </c>
      <c r="D601" s="161">
        <v>256760.73</v>
      </c>
      <c r="E601" s="161">
        <v>812119.1399999999</v>
      </c>
      <c r="F601" s="161">
        <v>975645.23</v>
      </c>
      <c r="G601" s="161">
        <v>1408730.52</v>
      </c>
      <c r="H601" s="161">
        <v>1444248.63</v>
      </c>
      <c r="I601" s="161">
        <v>1444248.63</v>
      </c>
      <c r="J601" s="161">
        <v>1444248.63</v>
      </c>
      <c r="K601" s="161">
        <v>1444248.63</v>
      </c>
      <c r="L601" s="161">
        <v>1444248.63</v>
      </c>
      <c r="M601" s="161">
        <v>1444248.63</v>
      </c>
      <c r="N601" s="149"/>
      <c r="O601" s="149"/>
      <c r="P601" s="149"/>
      <c r="Q601" s="149"/>
      <c r="R601" s="149"/>
      <c r="S601" s="149"/>
      <c r="T601" s="149"/>
      <c r="U601" s="149"/>
      <c r="V601" s="149"/>
      <c r="W601" s="149"/>
      <c r="X601" s="161">
        <v>1444248.63</v>
      </c>
      <c r="Y601" s="145"/>
      <c r="Z601" s="145"/>
      <c r="AX601" s="141" t="s">
        <v>4</v>
      </c>
      <c r="AY601" s="141">
        <v>2002</v>
      </c>
      <c r="AZ601" s="141">
        <v>19614362.420000002</v>
      </c>
      <c r="BA601" s="141">
        <v>40994266.350000001</v>
      </c>
      <c r="BB601" s="141">
        <v>50055038.319999903</v>
      </c>
      <c r="BC601" s="141">
        <v>53488494.610000104</v>
      </c>
      <c r="BD601" s="141">
        <v>56596271.830000199</v>
      </c>
      <c r="BE601" s="141">
        <v>57544202.7900002</v>
      </c>
      <c r="BF601" s="141">
        <v>58488756.530000001</v>
      </c>
      <c r="BG601" s="141">
        <v>58835735.159999803</v>
      </c>
      <c r="BH601" s="141">
        <v>60014723.580000199</v>
      </c>
      <c r="BI601" s="141">
        <v>60260535.780000001</v>
      </c>
      <c r="BJ601" s="141">
        <v>60341117.229999997</v>
      </c>
      <c r="BU601" s="141">
        <v>60341117.229999997</v>
      </c>
    </row>
    <row r="602" spans="1:73" ht="14.4" x14ac:dyDescent="0.3">
      <c r="A602" s="160" t="s">
        <v>4</v>
      </c>
      <c r="B602" s="161">
        <v>2006</v>
      </c>
      <c r="C602" s="161">
        <v>25595.73</v>
      </c>
      <c r="D602" s="161">
        <v>66254.350000000006</v>
      </c>
      <c r="E602" s="161">
        <v>161983.09</v>
      </c>
      <c r="F602" s="161">
        <v>402696.55</v>
      </c>
      <c r="G602" s="161">
        <v>436627.42</v>
      </c>
      <c r="H602" s="161">
        <v>436627.42</v>
      </c>
      <c r="I602" s="161">
        <v>436627.42</v>
      </c>
      <c r="J602" s="161">
        <v>436627.42</v>
      </c>
      <c r="K602" s="161">
        <v>436627.42</v>
      </c>
      <c r="L602" s="161">
        <v>436627.42</v>
      </c>
      <c r="M602" s="149"/>
      <c r="N602" s="149"/>
      <c r="O602" s="149"/>
      <c r="P602" s="149"/>
      <c r="Q602" s="149"/>
      <c r="R602" s="149"/>
      <c r="S602" s="149"/>
      <c r="T602" s="149"/>
      <c r="U602" s="149"/>
      <c r="V602" s="149"/>
      <c r="W602" s="149"/>
      <c r="X602" s="161">
        <v>436627.42</v>
      </c>
      <c r="Y602" s="145"/>
      <c r="Z602" s="145"/>
      <c r="AX602" s="141" t="s">
        <v>4</v>
      </c>
      <c r="AY602" s="141">
        <v>2003</v>
      </c>
      <c r="AZ602" s="141">
        <v>5412842.7000000495</v>
      </c>
      <c r="BA602" s="141">
        <v>16182669.8199999</v>
      </c>
      <c r="BB602" s="141">
        <v>20290592.929999899</v>
      </c>
      <c r="BC602" s="141">
        <v>21798310.439999901</v>
      </c>
      <c r="BD602" s="141">
        <v>22369135.030000001</v>
      </c>
      <c r="BE602" s="141">
        <v>23309756.570000101</v>
      </c>
      <c r="BF602" s="141">
        <v>23472671.6800001</v>
      </c>
      <c r="BG602" s="141">
        <v>23552383.269999899</v>
      </c>
      <c r="BH602" s="141">
        <v>23696179.859999999</v>
      </c>
      <c r="BI602" s="141">
        <v>23735414.91</v>
      </c>
      <c r="BU602" s="141">
        <v>23735414.91</v>
      </c>
    </row>
    <row r="603" spans="1:73" ht="14.4" x14ac:dyDescent="0.3">
      <c r="A603" s="160" t="s">
        <v>4</v>
      </c>
      <c r="B603" s="161">
        <v>2007</v>
      </c>
      <c r="C603" s="161">
        <v>5080.78</v>
      </c>
      <c r="D603" s="161">
        <v>24654.11</v>
      </c>
      <c r="E603" s="161">
        <v>48185.740000000005</v>
      </c>
      <c r="F603" s="161">
        <v>62502.239999999998</v>
      </c>
      <c r="G603" s="161">
        <v>62502.239999999998</v>
      </c>
      <c r="H603" s="161">
        <v>62502.239999999998</v>
      </c>
      <c r="I603" s="161">
        <v>62502.239999999998</v>
      </c>
      <c r="J603" s="161">
        <v>62502.239999999998</v>
      </c>
      <c r="K603" s="161">
        <v>62502.239999999998</v>
      </c>
      <c r="L603" s="149"/>
      <c r="M603" s="149"/>
      <c r="N603" s="149"/>
      <c r="O603" s="149"/>
      <c r="P603" s="149"/>
      <c r="Q603" s="149"/>
      <c r="R603" s="149"/>
      <c r="S603" s="149"/>
      <c r="T603" s="149"/>
      <c r="U603" s="149"/>
      <c r="V603" s="149"/>
      <c r="W603" s="149"/>
      <c r="X603" s="161">
        <v>62502.239999999998</v>
      </c>
      <c r="Y603" s="145"/>
      <c r="Z603" s="145"/>
      <c r="AX603" s="141" t="s">
        <v>4</v>
      </c>
      <c r="AY603" s="141">
        <v>2004</v>
      </c>
      <c r="AZ603" s="141">
        <v>1117174.7700000999</v>
      </c>
      <c r="BA603" s="141">
        <v>8949472.6599999703</v>
      </c>
      <c r="BB603" s="141">
        <v>11387767.380000001</v>
      </c>
      <c r="BC603" s="141">
        <v>12181660.550000001</v>
      </c>
      <c r="BD603" s="141">
        <v>12657178.339999899</v>
      </c>
      <c r="BE603" s="141">
        <v>12941907.4699999</v>
      </c>
      <c r="BF603" s="141">
        <v>13728313.66</v>
      </c>
      <c r="BG603" s="141">
        <v>14022508.359999901</v>
      </c>
      <c r="BH603" s="141">
        <v>14091165.609999999</v>
      </c>
      <c r="BU603" s="141">
        <v>14091165.609999999</v>
      </c>
    </row>
    <row r="604" spans="1:73" ht="14.4" x14ac:dyDescent="0.3">
      <c r="A604" s="160" t="s">
        <v>4</v>
      </c>
      <c r="B604" s="161">
        <v>2008</v>
      </c>
      <c r="C604" s="161">
        <v>3050.37</v>
      </c>
      <c r="D604" s="161">
        <v>133793.82</v>
      </c>
      <c r="E604" s="161">
        <v>134027.18</v>
      </c>
      <c r="F604" s="161">
        <v>134027.18</v>
      </c>
      <c r="G604" s="161">
        <v>134027.18</v>
      </c>
      <c r="H604" s="161">
        <v>134027.18</v>
      </c>
      <c r="I604" s="161">
        <v>134027.18</v>
      </c>
      <c r="J604" s="161">
        <v>134027.18</v>
      </c>
      <c r="K604" s="149"/>
      <c r="L604" s="149"/>
      <c r="M604" s="149"/>
      <c r="N604" s="149"/>
      <c r="O604" s="149"/>
      <c r="P604" s="149"/>
      <c r="Q604" s="149"/>
      <c r="R604" s="149"/>
      <c r="S604" s="149"/>
      <c r="T604" s="149"/>
      <c r="U604" s="149"/>
      <c r="V604" s="149"/>
      <c r="W604" s="149"/>
      <c r="X604" s="161">
        <v>134027.18</v>
      </c>
      <c r="Y604" s="145"/>
      <c r="Z604" s="145"/>
      <c r="AX604" s="141" t="s">
        <v>4</v>
      </c>
      <c r="AY604" s="141">
        <v>2005</v>
      </c>
      <c r="AZ604" s="141">
        <v>871260.69999998796</v>
      </c>
      <c r="BA604" s="141">
        <v>1600404</v>
      </c>
      <c r="BB604" s="141">
        <v>2225994.9299999801</v>
      </c>
      <c r="BC604" s="141">
        <v>2473431.8999999799</v>
      </c>
      <c r="BD604" s="141">
        <v>2934170.19</v>
      </c>
      <c r="BE604" s="141">
        <v>2964248.8199999901</v>
      </c>
      <c r="BF604" s="141">
        <v>3149918.22000003</v>
      </c>
      <c r="BG604" s="141">
        <v>3151319.06</v>
      </c>
      <c r="BU604" s="141">
        <v>3151319.06</v>
      </c>
    </row>
    <row r="605" spans="1:73" ht="14.4" x14ac:dyDescent="0.3">
      <c r="A605" s="160" t="s">
        <v>4</v>
      </c>
      <c r="B605" s="161">
        <v>2009</v>
      </c>
      <c r="C605" s="161">
        <v>74.3</v>
      </c>
      <c r="D605" s="161">
        <v>74.299999999999272</v>
      </c>
      <c r="E605" s="161">
        <v>74.299999999999272</v>
      </c>
      <c r="F605" s="161">
        <v>74.299999999999272</v>
      </c>
      <c r="G605" s="161">
        <v>74.299999999999272</v>
      </c>
      <c r="H605" s="161">
        <v>74.299999999999272</v>
      </c>
      <c r="I605" s="161">
        <v>74.299999999999272</v>
      </c>
      <c r="J605" s="149"/>
      <c r="K605" s="149"/>
      <c r="L605" s="149"/>
      <c r="M605" s="149"/>
      <c r="N605" s="149"/>
      <c r="O605" s="149"/>
      <c r="P605" s="149"/>
      <c r="Q605" s="149"/>
      <c r="R605" s="149"/>
      <c r="S605" s="149"/>
      <c r="T605" s="149"/>
      <c r="U605" s="149"/>
      <c r="V605" s="149"/>
      <c r="W605" s="149"/>
      <c r="X605" s="161">
        <v>74.299999999999272</v>
      </c>
      <c r="Y605" s="145"/>
      <c r="Z605" s="145"/>
      <c r="AX605" s="141" t="s">
        <v>4</v>
      </c>
      <c r="AY605" s="141">
        <v>2006</v>
      </c>
      <c r="AZ605" s="141">
        <v>193883.33</v>
      </c>
      <c r="BA605" s="141">
        <v>281761.15000000002</v>
      </c>
      <c r="BB605" s="141">
        <v>488287.77</v>
      </c>
      <c r="BC605" s="141">
        <v>737771.5</v>
      </c>
      <c r="BD605" s="141">
        <v>772587.72</v>
      </c>
      <c r="BE605" s="141">
        <v>773058.43</v>
      </c>
      <c r="BF605" s="141">
        <v>774046.92</v>
      </c>
      <c r="BU605" s="141">
        <v>774046.92</v>
      </c>
    </row>
    <row r="606" spans="1:73" ht="14.4" x14ac:dyDescent="0.3">
      <c r="A606" s="160" t="s">
        <v>4</v>
      </c>
      <c r="B606" s="161">
        <v>2010</v>
      </c>
      <c r="C606" s="161">
        <v>0</v>
      </c>
      <c r="D606" s="161">
        <v>0</v>
      </c>
      <c r="E606" s="161">
        <v>0</v>
      </c>
      <c r="F606" s="161">
        <v>0</v>
      </c>
      <c r="G606" s="161">
        <v>0</v>
      </c>
      <c r="H606" s="161">
        <v>0</v>
      </c>
      <c r="I606" s="149"/>
      <c r="J606" s="149"/>
      <c r="K606" s="149"/>
      <c r="L606" s="149"/>
      <c r="M606" s="149"/>
      <c r="N606" s="149"/>
      <c r="O606" s="149"/>
      <c r="P606" s="149"/>
      <c r="Q606" s="149"/>
      <c r="R606" s="149"/>
      <c r="S606" s="149"/>
      <c r="T606" s="149"/>
      <c r="U606" s="149"/>
      <c r="V606" s="149"/>
      <c r="W606" s="149"/>
      <c r="X606" s="161">
        <v>0</v>
      </c>
      <c r="Y606" s="145"/>
      <c r="Z606" s="145"/>
      <c r="AX606" s="141" t="s">
        <v>4</v>
      </c>
      <c r="AY606" s="141">
        <v>2007</v>
      </c>
      <c r="AZ606" s="141">
        <v>18701.349999999999</v>
      </c>
      <c r="BA606" s="141">
        <v>100270.66</v>
      </c>
      <c r="BB606" s="141">
        <v>142319.67000000001</v>
      </c>
      <c r="BC606" s="141">
        <v>162392.72</v>
      </c>
      <c r="BD606" s="141">
        <v>164991.73000000001</v>
      </c>
      <c r="BE606" s="141">
        <v>165875.26999999999</v>
      </c>
      <c r="BU606" s="141">
        <v>165875.26999999999</v>
      </c>
    </row>
    <row r="607" spans="1:73" ht="14.4" x14ac:dyDescent="0.3">
      <c r="A607" s="160" t="s">
        <v>4</v>
      </c>
      <c r="B607" s="161">
        <v>2011</v>
      </c>
      <c r="C607" s="161">
        <v>-5527.54</v>
      </c>
      <c r="D607" s="161">
        <v>-5527.54</v>
      </c>
      <c r="E607" s="161">
        <v>-5527.54</v>
      </c>
      <c r="F607" s="161">
        <v>-5527.54</v>
      </c>
      <c r="G607" s="161">
        <v>-5527.54</v>
      </c>
      <c r="H607" s="149"/>
      <c r="I607" s="149"/>
      <c r="J607" s="149"/>
      <c r="K607" s="149"/>
      <c r="L607" s="149"/>
      <c r="M607" s="149"/>
      <c r="N607" s="149"/>
      <c r="O607" s="149"/>
      <c r="P607" s="149"/>
      <c r="Q607" s="149"/>
      <c r="R607" s="149"/>
      <c r="S607" s="149"/>
      <c r="T607" s="149"/>
      <c r="U607" s="149"/>
      <c r="V607" s="149"/>
      <c r="W607" s="149"/>
      <c r="X607" s="161">
        <v>-5527.54</v>
      </c>
      <c r="Y607" s="145"/>
      <c r="Z607" s="145"/>
      <c r="AX607" s="141" t="s">
        <v>4</v>
      </c>
      <c r="AY607" s="141">
        <v>2008</v>
      </c>
      <c r="AZ607" s="141">
        <v>6080.55</v>
      </c>
      <c r="BA607" s="141">
        <v>146389.65</v>
      </c>
      <c r="BB607" s="141">
        <v>151199.66</v>
      </c>
      <c r="BC607" s="141">
        <v>151429.16</v>
      </c>
      <c r="BD607" s="141">
        <v>151534.67000000001</v>
      </c>
      <c r="BU607" s="141">
        <v>151534.67000000001</v>
      </c>
    </row>
    <row r="608" spans="1:73" ht="14.4" x14ac:dyDescent="0.3">
      <c r="A608" s="160" t="s">
        <v>4</v>
      </c>
      <c r="B608" s="161">
        <v>2012</v>
      </c>
      <c r="C608" s="161">
        <v>6234.61</v>
      </c>
      <c r="D608" s="161">
        <v>6896.12</v>
      </c>
      <c r="E608" s="161">
        <v>6896.12</v>
      </c>
      <c r="F608" s="161">
        <v>6896.12</v>
      </c>
      <c r="G608" s="149"/>
      <c r="H608" s="149"/>
      <c r="I608" s="149"/>
      <c r="J608" s="149"/>
      <c r="K608" s="149"/>
      <c r="L608" s="149"/>
      <c r="M608" s="149"/>
      <c r="N608" s="149"/>
      <c r="O608" s="149"/>
      <c r="P608" s="149"/>
      <c r="Q608" s="149"/>
      <c r="R608" s="149"/>
      <c r="S608" s="149"/>
      <c r="T608" s="149"/>
      <c r="U608" s="149"/>
      <c r="V608" s="149"/>
      <c r="W608" s="149"/>
      <c r="X608" s="161">
        <v>6896.12</v>
      </c>
      <c r="Y608" s="145"/>
      <c r="Z608" s="145"/>
      <c r="AX608" s="141" t="s">
        <v>4</v>
      </c>
      <c r="AY608" s="141">
        <v>2009</v>
      </c>
      <c r="AZ608" s="141">
        <v>2038.84</v>
      </c>
      <c r="BA608" s="141">
        <v>194.86000000000101</v>
      </c>
      <c r="BB608" s="141">
        <v>213.46000000000299</v>
      </c>
      <c r="BC608" s="141">
        <v>230.51000000000201</v>
      </c>
      <c r="BU608" s="141">
        <v>230.51000000000201</v>
      </c>
    </row>
    <row r="609" spans="1:73" ht="14.4" x14ac:dyDescent="0.3">
      <c r="A609" s="160" t="s">
        <v>4</v>
      </c>
      <c r="B609" s="161">
        <v>2013</v>
      </c>
      <c r="C609" s="161">
        <v>0</v>
      </c>
      <c r="D609" s="161">
        <v>0</v>
      </c>
      <c r="E609" s="161">
        <v>0</v>
      </c>
      <c r="F609" s="149"/>
      <c r="G609" s="149"/>
      <c r="H609" s="149"/>
      <c r="I609" s="149"/>
      <c r="J609" s="149"/>
      <c r="K609" s="149"/>
      <c r="L609" s="149"/>
      <c r="M609" s="149"/>
      <c r="N609" s="149"/>
      <c r="O609" s="149"/>
      <c r="P609" s="149"/>
      <c r="Q609" s="149"/>
      <c r="R609" s="149"/>
      <c r="S609" s="149"/>
      <c r="T609" s="149"/>
      <c r="U609" s="149"/>
      <c r="V609" s="149"/>
      <c r="W609" s="149"/>
      <c r="X609" s="161">
        <v>0</v>
      </c>
      <c r="Y609" s="145"/>
      <c r="Z609" s="145"/>
      <c r="AX609" s="141" t="s">
        <v>4</v>
      </c>
      <c r="AY609" s="141">
        <v>2010</v>
      </c>
      <c r="AZ609" s="141">
        <v>0</v>
      </c>
      <c r="BA609" s="141">
        <v>0</v>
      </c>
      <c r="BB609" s="141">
        <v>50.98</v>
      </c>
      <c r="BU609" s="141">
        <v>50.98</v>
      </c>
    </row>
    <row r="610" spans="1:73" ht="14.4" x14ac:dyDescent="0.3">
      <c r="A610" s="160" t="s">
        <v>4</v>
      </c>
      <c r="B610" s="161">
        <v>2014</v>
      </c>
      <c r="C610" s="161">
        <v>0</v>
      </c>
      <c r="D610" s="161">
        <v>0</v>
      </c>
      <c r="E610" s="149"/>
      <c r="F610" s="149"/>
      <c r="G610" s="149"/>
      <c r="H610" s="149"/>
      <c r="I610" s="149"/>
      <c r="J610" s="149"/>
      <c r="K610" s="149"/>
      <c r="L610" s="149"/>
      <c r="M610" s="149"/>
      <c r="N610" s="149"/>
      <c r="O610" s="149"/>
      <c r="P610" s="149"/>
      <c r="Q610" s="149"/>
      <c r="R610" s="149"/>
      <c r="S610" s="149"/>
      <c r="T610" s="149"/>
      <c r="U610" s="149"/>
      <c r="V610" s="149"/>
      <c r="W610" s="149"/>
      <c r="X610" s="161">
        <v>0</v>
      </c>
      <c r="Y610" s="145"/>
      <c r="Z610" s="145"/>
      <c r="AX610" s="141" t="s">
        <v>4</v>
      </c>
      <c r="AY610" s="141">
        <v>2011</v>
      </c>
      <c r="AZ610" s="141">
        <v>-5527.54</v>
      </c>
      <c r="BA610" s="141">
        <v>-5494.2</v>
      </c>
      <c r="BU610" s="141">
        <v>-5494.2</v>
      </c>
    </row>
    <row r="611" spans="1:73" ht="14.4" x14ac:dyDescent="0.3">
      <c r="A611" s="160" t="s">
        <v>4</v>
      </c>
      <c r="B611" s="161">
        <v>2015</v>
      </c>
      <c r="C611" s="161">
        <v>0</v>
      </c>
      <c r="D611" s="149"/>
      <c r="E611" s="149"/>
      <c r="F611" s="149"/>
      <c r="G611" s="149"/>
      <c r="H611" s="149"/>
      <c r="I611" s="149"/>
      <c r="J611" s="149"/>
      <c r="K611" s="149"/>
      <c r="L611" s="149"/>
      <c r="M611" s="149"/>
      <c r="N611" s="149"/>
      <c r="O611" s="149"/>
      <c r="P611" s="149"/>
      <c r="Q611" s="149"/>
      <c r="R611" s="149"/>
      <c r="S611" s="149"/>
      <c r="T611" s="149"/>
      <c r="U611" s="149"/>
      <c r="V611" s="149"/>
      <c r="W611" s="149"/>
      <c r="X611" s="161">
        <v>0</v>
      </c>
      <c r="Y611" s="145"/>
      <c r="Z611" s="145"/>
      <c r="AX611" s="141" t="s">
        <v>4</v>
      </c>
      <c r="AY611" s="141">
        <v>2012</v>
      </c>
      <c r="AZ611" s="141">
        <v>6234.61</v>
      </c>
      <c r="BU611" s="141">
        <v>6234.61</v>
      </c>
    </row>
    <row r="612" spans="1:73" ht="14.4" x14ac:dyDescent="0.3">
      <c r="A612" s="160" t="s">
        <v>5</v>
      </c>
      <c r="B612" s="161">
        <v>1995</v>
      </c>
      <c r="C612" s="161">
        <v>28587795.079999998</v>
      </c>
      <c r="D612" s="161">
        <v>80558149.890000001</v>
      </c>
      <c r="E612" s="161">
        <v>108117851.2</v>
      </c>
      <c r="F612" s="161">
        <v>128446253.92</v>
      </c>
      <c r="G612" s="161">
        <v>137717851.06</v>
      </c>
      <c r="H612" s="161">
        <v>146243398.82999998</v>
      </c>
      <c r="I612" s="161">
        <v>154497692.26999998</v>
      </c>
      <c r="J612" s="161">
        <v>179569609.5</v>
      </c>
      <c r="K612" s="161">
        <v>185045325</v>
      </c>
      <c r="L612" s="161">
        <v>186883611.23999998</v>
      </c>
      <c r="M612" s="161">
        <v>189268548.18000001</v>
      </c>
      <c r="N612" s="161">
        <v>191022238.93000001</v>
      </c>
      <c r="O612" s="161">
        <v>193651775.67999998</v>
      </c>
      <c r="P612" s="161">
        <v>194740370.67000002</v>
      </c>
      <c r="Q612" s="161">
        <v>197477299.75</v>
      </c>
      <c r="R612" s="161">
        <v>198740634.23999998</v>
      </c>
      <c r="S612" s="161">
        <v>200137830.18000001</v>
      </c>
      <c r="T612" s="161">
        <v>201677949.64000002</v>
      </c>
      <c r="U612" s="161">
        <v>201934804.79999998</v>
      </c>
      <c r="V612" s="161">
        <v>202025593.75999999</v>
      </c>
      <c r="W612" s="161">
        <v>202854812.84</v>
      </c>
      <c r="X612" s="161">
        <v>202854812.84</v>
      </c>
      <c r="Y612" s="145"/>
      <c r="Z612" s="145"/>
      <c r="AX612" s="141" t="s">
        <v>5</v>
      </c>
      <c r="AY612" s="141">
        <v>1992</v>
      </c>
      <c r="AZ612" s="141">
        <v>997974565.17999995</v>
      </c>
      <c r="BA612" s="141">
        <v>1153822355.4200001</v>
      </c>
      <c r="BB612" s="141">
        <v>1304767177.46</v>
      </c>
      <c r="BC612" s="141">
        <v>1361319590.04</v>
      </c>
      <c r="BD612" s="141">
        <v>1498393125.8399999</v>
      </c>
      <c r="BE612" s="141">
        <v>1593759866.0799999</v>
      </c>
      <c r="BF612" s="141">
        <v>1649998202.3800001</v>
      </c>
      <c r="BG612" s="141">
        <v>1714498072.75</v>
      </c>
      <c r="BH612" s="141">
        <v>1861811321.73</v>
      </c>
      <c r="BI612" s="141">
        <v>1910973811.28</v>
      </c>
      <c r="BJ612" s="141">
        <v>2080159843.25</v>
      </c>
      <c r="BK612" s="141">
        <v>2089497237.51</v>
      </c>
      <c r="BL612" s="141">
        <v>2100255282.6500001</v>
      </c>
      <c r="BM612" s="141">
        <v>2150866812.77</v>
      </c>
      <c r="BN612" s="141">
        <v>2159561265.48</v>
      </c>
      <c r="BO612" s="141">
        <v>2169908361.04</v>
      </c>
      <c r="BP612" s="141">
        <v>2199229150.9400001</v>
      </c>
      <c r="BQ612" s="141">
        <v>2212380362.6900001</v>
      </c>
      <c r="BR612" s="141">
        <v>2222393004.5500002</v>
      </c>
      <c r="BS612" s="141">
        <v>2324703652.2800002</v>
      </c>
      <c r="BT612" s="141">
        <v>2326737897.8299999</v>
      </c>
      <c r="BU612" s="141">
        <v>2326737897.8299999</v>
      </c>
    </row>
    <row r="613" spans="1:73" ht="14.4" x14ac:dyDescent="0.3">
      <c r="A613" s="160" t="s">
        <v>5</v>
      </c>
      <c r="B613" s="161">
        <v>1996</v>
      </c>
      <c r="C613" s="161">
        <v>64759931.690000005</v>
      </c>
      <c r="D613" s="161">
        <v>128053548.48999999</v>
      </c>
      <c r="E613" s="161">
        <v>171893934.27000001</v>
      </c>
      <c r="F613" s="161">
        <v>195085779.96000001</v>
      </c>
      <c r="G613" s="161">
        <v>217530747.94</v>
      </c>
      <c r="H613" s="161">
        <v>235936277.28</v>
      </c>
      <c r="I613" s="161">
        <v>253120810.49000001</v>
      </c>
      <c r="J613" s="161">
        <v>287243977.15000004</v>
      </c>
      <c r="K613" s="161">
        <v>294860377.31</v>
      </c>
      <c r="L613" s="161">
        <v>305422495.75999999</v>
      </c>
      <c r="M613" s="161">
        <v>315156683.23000002</v>
      </c>
      <c r="N613" s="161">
        <v>320016917.66000003</v>
      </c>
      <c r="O613" s="161">
        <v>331172856.56</v>
      </c>
      <c r="P613" s="161">
        <v>337129017.48000002</v>
      </c>
      <c r="Q613" s="161">
        <v>339562302.61000001</v>
      </c>
      <c r="R613" s="161">
        <v>343033630.25</v>
      </c>
      <c r="S613" s="161">
        <v>345971401.10000002</v>
      </c>
      <c r="T613" s="161">
        <v>346910963.36000001</v>
      </c>
      <c r="U613" s="161">
        <v>347478132.00999999</v>
      </c>
      <c r="V613" s="161">
        <v>348376865.19</v>
      </c>
      <c r="W613" s="149"/>
      <c r="X613" s="161">
        <v>348376865.19</v>
      </c>
      <c r="Y613" s="145"/>
      <c r="Z613" s="145"/>
      <c r="AX613" s="141" t="s">
        <v>5</v>
      </c>
      <c r="AY613" s="141">
        <v>1993</v>
      </c>
      <c r="AZ613" s="141">
        <v>32788566.02</v>
      </c>
      <c r="BA613" s="141">
        <v>103045561.31999999</v>
      </c>
      <c r="BB613" s="141">
        <v>142586793.53</v>
      </c>
      <c r="BC613" s="141">
        <v>173337525.34</v>
      </c>
      <c r="BD613" s="141">
        <v>192387307.22</v>
      </c>
      <c r="BE613" s="141">
        <v>206070875.69</v>
      </c>
      <c r="BF613" s="141">
        <v>206455226.19999999</v>
      </c>
      <c r="BG613" s="141">
        <v>211672208.74000001</v>
      </c>
      <c r="BH613" s="141">
        <v>213257661.12</v>
      </c>
      <c r="BI613" s="141">
        <v>215217375.66999999</v>
      </c>
      <c r="BJ613" s="141">
        <v>216868822.71000001</v>
      </c>
      <c r="BK613" s="141">
        <v>217328571.62</v>
      </c>
      <c r="BL613" s="141">
        <v>218867145.34</v>
      </c>
      <c r="BM613" s="141">
        <v>219897546.94999999</v>
      </c>
      <c r="BN613" s="141">
        <v>220045863.59</v>
      </c>
      <c r="BO613" s="141">
        <v>220460900.06999999</v>
      </c>
      <c r="BP613" s="141">
        <v>221009789.56999999</v>
      </c>
      <c r="BQ613" s="141">
        <v>221106738.38</v>
      </c>
      <c r="BR613" s="141">
        <v>221478754.05000001</v>
      </c>
      <c r="BS613" s="141">
        <v>222943841.22999999</v>
      </c>
      <c r="BU613" s="141">
        <v>222943841.22999999</v>
      </c>
    </row>
    <row r="614" spans="1:73" ht="14.4" x14ac:dyDescent="0.3">
      <c r="A614" s="160" t="s">
        <v>5</v>
      </c>
      <c r="B614" s="161">
        <v>1997</v>
      </c>
      <c r="C614" s="161">
        <v>43715486.109999999</v>
      </c>
      <c r="D614" s="161">
        <v>116408877.03</v>
      </c>
      <c r="E614" s="161">
        <v>160659707.58000001</v>
      </c>
      <c r="F614" s="161">
        <v>213266536.94999999</v>
      </c>
      <c r="G614" s="161">
        <v>261028320.22999999</v>
      </c>
      <c r="H614" s="161">
        <v>335051018.59999996</v>
      </c>
      <c r="I614" s="161">
        <v>365074704.50999999</v>
      </c>
      <c r="J614" s="161">
        <v>388674188.54000002</v>
      </c>
      <c r="K614" s="161">
        <v>398839581.60000002</v>
      </c>
      <c r="L614" s="161">
        <v>417041586.13</v>
      </c>
      <c r="M614" s="161">
        <v>429038746.10000002</v>
      </c>
      <c r="N614" s="161">
        <v>447230544.54000002</v>
      </c>
      <c r="O614" s="161">
        <v>458195631.89000005</v>
      </c>
      <c r="P614" s="161">
        <v>463724037.98000002</v>
      </c>
      <c r="Q614" s="161">
        <v>470174124.81999999</v>
      </c>
      <c r="R614" s="161">
        <v>480523335.29000002</v>
      </c>
      <c r="S614" s="161">
        <v>482536711.39999998</v>
      </c>
      <c r="T614" s="161">
        <v>482844907.30000001</v>
      </c>
      <c r="U614" s="161">
        <v>483228879.06</v>
      </c>
      <c r="V614" s="149"/>
      <c r="W614" s="149"/>
      <c r="X614" s="161">
        <v>483228879.06</v>
      </c>
      <c r="Y614" s="145"/>
      <c r="Z614" s="145"/>
      <c r="AX614" s="141" t="s">
        <v>5</v>
      </c>
      <c r="AY614" s="141">
        <v>1994</v>
      </c>
      <c r="AZ614" s="141">
        <v>45145359.210000001</v>
      </c>
      <c r="BA614" s="141">
        <v>109243200.12</v>
      </c>
      <c r="BB614" s="141">
        <v>136377879.08000001</v>
      </c>
      <c r="BC614" s="141">
        <v>157539941.74000001</v>
      </c>
      <c r="BD614" s="141">
        <v>175010786.63</v>
      </c>
      <c r="BE614" s="141">
        <v>161087638.34</v>
      </c>
      <c r="BF614" s="141">
        <v>169913773.03999999</v>
      </c>
      <c r="BG614" s="141">
        <v>173282760.81</v>
      </c>
      <c r="BH614" s="141">
        <v>175255449.99000001</v>
      </c>
      <c r="BI614" s="141">
        <v>176348141.94999999</v>
      </c>
      <c r="BJ614" s="141">
        <v>178193758.61000001</v>
      </c>
      <c r="BK614" s="141">
        <v>179284972.08000001</v>
      </c>
      <c r="BL614" s="141">
        <v>180327077.63</v>
      </c>
      <c r="BM614" s="141">
        <v>180869190.69999999</v>
      </c>
      <c r="BN614" s="141">
        <v>181853283.43000001</v>
      </c>
      <c r="BO614" s="141">
        <v>182804105.90000001</v>
      </c>
      <c r="BP614" s="141">
        <v>183670340</v>
      </c>
      <c r="BQ614" s="141">
        <v>184546513.30000001</v>
      </c>
      <c r="BR614" s="141">
        <v>185418123.43000001</v>
      </c>
      <c r="BU614" s="141">
        <v>185418123.43000001</v>
      </c>
    </row>
    <row r="615" spans="1:73" ht="14.4" x14ac:dyDescent="0.3">
      <c r="A615" s="160" t="s">
        <v>5</v>
      </c>
      <c r="B615" s="161">
        <v>1998</v>
      </c>
      <c r="C615" s="161">
        <v>63880141.280000001</v>
      </c>
      <c r="D615" s="161">
        <v>173349657.94999999</v>
      </c>
      <c r="E615" s="161">
        <v>268283356.20000002</v>
      </c>
      <c r="F615" s="161">
        <v>344604485.24000001</v>
      </c>
      <c r="G615" s="161">
        <v>444753110.82000005</v>
      </c>
      <c r="H615" s="161">
        <v>491075958.24000007</v>
      </c>
      <c r="I615" s="161">
        <v>522713602.48000002</v>
      </c>
      <c r="J615" s="161">
        <v>550128195.33999991</v>
      </c>
      <c r="K615" s="161">
        <v>573347919.75</v>
      </c>
      <c r="L615" s="161">
        <v>588078669.07999992</v>
      </c>
      <c r="M615" s="161">
        <v>619226974.40999997</v>
      </c>
      <c r="N615" s="161">
        <v>640358478.12</v>
      </c>
      <c r="O615" s="161">
        <v>647138384.50999999</v>
      </c>
      <c r="P615" s="161">
        <v>667248861.67000008</v>
      </c>
      <c r="Q615" s="161">
        <v>674749801.38999999</v>
      </c>
      <c r="R615" s="161">
        <v>676564161.11000001</v>
      </c>
      <c r="S615" s="161">
        <v>678696609.94999993</v>
      </c>
      <c r="T615" s="161">
        <v>680478492.43999994</v>
      </c>
      <c r="U615" s="149"/>
      <c r="V615" s="149"/>
      <c r="W615" s="149"/>
      <c r="X615" s="161">
        <v>680478492.43999994</v>
      </c>
      <c r="Y615" s="145"/>
      <c r="Z615" s="145"/>
      <c r="AX615" s="141" t="s">
        <v>5</v>
      </c>
      <c r="AY615" s="141">
        <v>1995</v>
      </c>
      <c r="AZ615" s="141">
        <v>28587795.079999998</v>
      </c>
      <c r="BA615" s="141">
        <v>80558149.890000001</v>
      </c>
      <c r="BB615" s="141">
        <v>108117851.2</v>
      </c>
      <c r="BC615" s="141">
        <v>128446253.92</v>
      </c>
      <c r="BD615" s="141">
        <v>137717851.06</v>
      </c>
      <c r="BE615" s="141">
        <v>146243398.83000001</v>
      </c>
      <c r="BF615" s="141">
        <v>154497692.27000001</v>
      </c>
      <c r="BG615" s="141">
        <v>179569609.5</v>
      </c>
      <c r="BH615" s="141">
        <v>185045325</v>
      </c>
      <c r="BI615" s="141">
        <v>186883611.24000001</v>
      </c>
      <c r="BJ615" s="141">
        <v>189268548.18000001</v>
      </c>
      <c r="BK615" s="141">
        <v>191022238.93000001</v>
      </c>
      <c r="BL615" s="141">
        <v>193651775.68000001</v>
      </c>
      <c r="BM615" s="141">
        <v>194740370.66999999</v>
      </c>
      <c r="BN615" s="141">
        <v>197477299.75</v>
      </c>
      <c r="BO615" s="141">
        <v>198740634.24000001</v>
      </c>
      <c r="BP615" s="141">
        <v>200137830.18000001</v>
      </c>
      <c r="BQ615" s="141">
        <v>201677949.63999999</v>
      </c>
      <c r="BU615" s="141">
        <v>201677949.63999999</v>
      </c>
    </row>
    <row r="616" spans="1:73" ht="14.4" x14ac:dyDescent="0.3">
      <c r="A616" s="160" t="s">
        <v>5</v>
      </c>
      <c r="B616" s="161">
        <v>1999</v>
      </c>
      <c r="C616" s="161">
        <v>54067392.519999996</v>
      </c>
      <c r="D616" s="161">
        <v>217052647.91999999</v>
      </c>
      <c r="E616" s="161">
        <v>375459307.72000003</v>
      </c>
      <c r="F616" s="161">
        <v>571214457.95000005</v>
      </c>
      <c r="G616" s="161">
        <v>677660433.96000004</v>
      </c>
      <c r="H616" s="161">
        <v>753034168.98000002</v>
      </c>
      <c r="I616" s="161">
        <v>820853891.49000001</v>
      </c>
      <c r="J616" s="161">
        <v>856251289.33000004</v>
      </c>
      <c r="K616" s="161">
        <v>899007348.73000002</v>
      </c>
      <c r="L616" s="161">
        <v>939556935.36000001</v>
      </c>
      <c r="M616" s="161">
        <v>959903215.97000003</v>
      </c>
      <c r="N616" s="161">
        <v>977614428.27999997</v>
      </c>
      <c r="O616" s="161">
        <v>988714182.18000007</v>
      </c>
      <c r="P616" s="161">
        <v>1002388386.17</v>
      </c>
      <c r="Q616" s="161">
        <v>1007525946.5899999</v>
      </c>
      <c r="R616" s="161">
        <v>1012121124.0399998</v>
      </c>
      <c r="S616" s="161">
        <v>1013719377.8900001</v>
      </c>
      <c r="T616" s="149"/>
      <c r="U616" s="149"/>
      <c r="V616" s="149"/>
      <c r="W616" s="149"/>
      <c r="X616" s="161">
        <v>1013719377.8900001</v>
      </c>
      <c r="Y616" s="145"/>
      <c r="Z616" s="145"/>
      <c r="AX616" s="141" t="s">
        <v>5</v>
      </c>
      <c r="AY616" s="141">
        <v>1996</v>
      </c>
      <c r="AZ616" s="141">
        <v>64759931.689999998</v>
      </c>
      <c r="BA616" s="141">
        <v>128053548.48999999</v>
      </c>
      <c r="BB616" s="141">
        <v>171893934.27000001</v>
      </c>
      <c r="BC616" s="141">
        <v>195085779.96000001</v>
      </c>
      <c r="BD616" s="141">
        <v>217530747.94</v>
      </c>
      <c r="BE616" s="141">
        <v>235936277.28</v>
      </c>
      <c r="BF616" s="141">
        <v>253120810.49000001</v>
      </c>
      <c r="BG616" s="141">
        <v>287243977.14999998</v>
      </c>
      <c r="BH616" s="141">
        <v>294860377.31</v>
      </c>
      <c r="BI616" s="141">
        <v>305422495.75999999</v>
      </c>
      <c r="BJ616" s="141">
        <v>315156683.23000002</v>
      </c>
      <c r="BK616" s="141">
        <v>320016917.66000003</v>
      </c>
      <c r="BL616" s="141">
        <v>331172856.56</v>
      </c>
      <c r="BM616" s="141">
        <v>337129017.48000002</v>
      </c>
      <c r="BN616" s="141">
        <v>339562302.61000001</v>
      </c>
      <c r="BO616" s="141">
        <v>343033630.25</v>
      </c>
      <c r="BP616" s="141">
        <v>345971401.10000002</v>
      </c>
      <c r="BU616" s="141">
        <v>345971401.10000002</v>
      </c>
    </row>
    <row r="617" spans="1:73" ht="14.4" x14ac:dyDescent="0.3">
      <c r="A617" s="160" t="s">
        <v>5</v>
      </c>
      <c r="B617" s="161">
        <v>2000</v>
      </c>
      <c r="C617" s="161">
        <v>11720531.120000001</v>
      </c>
      <c r="D617" s="161">
        <v>133525054.93000001</v>
      </c>
      <c r="E617" s="161">
        <v>234529194.42000002</v>
      </c>
      <c r="F617" s="161">
        <v>335663919.20999998</v>
      </c>
      <c r="G617" s="161">
        <v>407120468.75999999</v>
      </c>
      <c r="H617" s="161">
        <v>462633428.75999999</v>
      </c>
      <c r="I617" s="161">
        <v>495404551.63</v>
      </c>
      <c r="J617" s="161">
        <v>527455357.06000006</v>
      </c>
      <c r="K617" s="161">
        <v>560830753.84000003</v>
      </c>
      <c r="L617" s="161">
        <v>583066019.84000003</v>
      </c>
      <c r="M617" s="161">
        <v>594785200.66999996</v>
      </c>
      <c r="N617" s="161">
        <v>611645627.75999999</v>
      </c>
      <c r="O617" s="161">
        <v>622492230.84000003</v>
      </c>
      <c r="P617" s="161">
        <v>625757902.29000008</v>
      </c>
      <c r="Q617" s="161">
        <v>630728401.82000005</v>
      </c>
      <c r="R617" s="161">
        <v>632309236.86000001</v>
      </c>
      <c r="S617" s="149"/>
      <c r="T617" s="149"/>
      <c r="U617" s="149"/>
      <c r="V617" s="149"/>
      <c r="W617" s="149"/>
      <c r="X617" s="161">
        <v>632309236.86000001</v>
      </c>
      <c r="Y617" s="145"/>
      <c r="Z617" s="145"/>
      <c r="AX617" s="141" t="s">
        <v>5</v>
      </c>
      <c r="AY617" s="141">
        <v>1997</v>
      </c>
      <c r="AZ617" s="141">
        <v>43715486.109999999</v>
      </c>
      <c r="BA617" s="141">
        <v>116408877.03</v>
      </c>
      <c r="BB617" s="141">
        <v>160659707.58000001</v>
      </c>
      <c r="BC617" s="141">
        <v>213266536.94999999</v>
      </c>
      <c r="BD617" s="141">
        <v>261028320.22999999</v>
      </c>
      <c r="BE617" s="141">
        <v>335051018.60000002</v>
      </c>
      <c r="BF617" s="141">
        <v>365074704.50999999</v>
      </c>
      <c r="BG617" s="141">
        <v>388674188.54000002</v>
      </c>
      <c r="BH617" s="141">
        <v>398839581.60000002</v>
      </c>
      <c r="BI617" s="141">
        <v>417041586.13</v>
      </c>
      <c r="BJ617" s="141">
        <v>429038746.10000002</v>
      </c>
      <c r="BK617" s="141">
        <v>447230544.54000002</v>
      </c>
      <c r="BL617" s="141">
        <v>458195631.88999999</v>
      </c>
      <c r="BM617" s="141">
        <v>463724037.98000002</v>
      </c>
      <c r="BN617" s="141">
        <v>470174124.81999999</v>
      </c>
      <c r="BO617" s="141">
        <v>480523335.29000002</v>
      </c>
      <c r="BU617" s="141">
        <v>480523335.29000002</v>
      </c>
    </row>
    <row r="618" spans="1:73" ht="14.4" x14ac:dyDescent="0.3">
      <c r="A618" s="160" t="s">
        <v>5</v>
      </c>
      <c r="B618" s="161">
        <v>2001</v>
      </c>
      <c r="C618" s="161">
        <v>-13683350.710000008</v>
      </c>
      <c r="D618" s="161">
        <v>183685495.91</v>
      </c>
      <c r="E618" s="161">
        <v>396563116.20000005</v>
      </c>
      <c r="F618" s="161">
        <v>467001004.00000006</v>
      </c>
      <c r="G618" s="161">
        <v>552601515.32999992</v>
      </c>
      <c r="H618" s="161">
        <v>607039827.87000012</v>
      </c>
      <c r="I618" s="161">
        <v>649108185.71000004</v>
      </c>
      <c r="J618" s="161">
        <v>692012884.21000004</v>
      </c>
      <c r="K618" s="161">
        <v>715681534.62999988</v>
      </c>
      <c r="L618" s="161">
        <v>725676571.87000012</v>
      </c>
      <c r="M618" s="161">
        <v>734479188.51999998</v>
      </c>
      <c r="N618" s="161">
        <v>736904578.52999997</v>
      </c>
      <c r="O618" s="161">
        <v>741475412.31000006</v>
      </c>
      <c r="P618" s="161">
        <v>742371918.42000008</v>
      </c>
      <c r="Q618" s="161">
        <v>743158051.47000003</v>
      </c>
      <c r="R618" s="149"/>
      <c r="S618" s="149"/>
      <c r="T618" s="149"/>
      <c r="U618" s="149"/>
      <c r="V618" s="149"/>
      <c r="W618" s="149"/>
      <c r="X618" s="161">
        <v>743158051.47000003</v>
      </c>
      <c r="Y618" s="145"/>
      <c r="Z618" s="145"/>
      <c r="AX618" s="141" t="s">
        <v>5</v>
      </c>
      <c r="AY618" s="141">
        <v>1998</v>
      </c>
      <c r="AZ618" s="141">
        <v>63880141.280000001</v>
      </c>
      <c r="BA618" s="141">
        <v>173349657.94999999</v>
      </c>
      <c r="BB618" s="141">
        <v>268283356.19999999</v>
      </c>
      <c r="BC618" s="141">
        <v>344604485.24000001</v>
      </c>
      <c r="BD618" s="141">
        <v>444753110.81999999</v>
      </c>
      <c r="BE618" s="141">
        <v>491075958.24000001</v>
      </c>
      <c r="BF618" s="141">
        <v>522713602.48000002</v>
      </c>
      <c r="BG618" s="141">
        <v>550128195.34000003</v>
      </c>
      <c r="BH618" s="141">
        <v>573347919.75</v>
      </c>
      <c r="BI618" s="141">
        <v>588078669.08000004</v>
      </c>
      <c r="BJ618" s="141">
        <v>619226974.40999997</v>
      </c>
      <c r="BK618" s="141">
        <v>640358478.12</v>
      </c>
      <c r="BL618" s="141">
        <v>647138384.50999999</v>
      </c>
      <c r="BM618" s="141">
        <v>667248861.66999996</v>
      </c>
      <c r="BN618" s="141">
        <v>674749801.38999999</v>
      </c>
      <c r="BU618" s="141">
        <v>674749801.38999999</v>
      </c>
    </row>
    <row r="619" spans="1:73" ht="14.4" x14ac:dyDescent="0.3">
      <c r="A619" s="160" t="s">
        <v>5</v>
      </c>
      <c r="B619" s="161">
        <v>2002</v>
      </c>
      <c r="C619" s="161">
        <v>11993223.26</v>
      </c>
      <c r="D619" s="161">
        <v>64908781.25</v>
      </c>
      <c r="E619" s="161">
        <v>113139460</v>
      </c>
      <c r="F619" s="161">
        <v>164771410.34999999</v>
      </c>
      <c r="G619" s="161">
        <v>197551678.66000003</v>
      </c>
      <c r="H619" s="161">
        <v>237616349.44999999</v>
      </c>
      <c r="I619" s="161">
        <v>282620470.66000003</v>
      </c>
      <c r="J619" s="161">
        <v>292308604.66999996</v>
      </c>
      <c r="K619" s="161">
        <v>297915293.58999997</v>
      </c>
      <c r="L619" s="161">
        <v>301609928</v>
      </c>
      <c r="M619" s="161">
        <v>304246250.38</v>
      </c>
      <c r="N619" s="161">
        <v>306166566.75</v>
      </c>
      <c r="O619" s="161">
        <v>306227609.20000005</v>
      </c>
      <c r="P619" s="161">
        <v>306579777.05000001</v>
      </c>
      <c r="Q619" s="149"/>
      <c r="R619" s="149"/>
      <c r="S619" s="149"/>
      <c r="T619" s="149"/>
      <c r="U619" s="149"/>
      <c r="V619" s="149"/>
      <c r="W619" s="149"/>
      <c r="X619" s="161">
        <v>306579777.05000001</v>
      </c>
      <c r="Y619" s="145"/>
      <c r="Z619" s="145"/>
      <c r="AX619" s="141" t="s">
        <v>5</v>
      </c>
      <c r="AY619" s="141">
        <v>1999</v>
      </c>
      <c r="AZ619" s="141">
        <v>54067392.520000003</v>
      </c>
      <c r="BA619" s="141">
        <v>217052647.91999999</v>
      </c>
      <c r="BB619" s="141">
        <v>375459307.72000003</v>
      </c>
      <c r="BC619" s="141">
        <v>571214457.95000005</v>
      </c>
      <c r="BD619" s="141">
        <v>677660433.96000004</v>
      </c>
      <c r="BE619" s="141">
        <v>753034168.98000002</v>
      </c>
      <c r="BF619" s="141">
        <v>820853891.49000001</v>
      </c>
      <c r="BG619" s="141">
        <v>856251289.33000004</v>
      </c>
      <c r="BH619" s="141">
        <v>899007348.73000002</v>
      </c>
      <c r="BI619" s="141">
        <v>939556935.36000001</v>
      </c>
      <c r="BJ619" s="141">
        <v>959903215.97000003</v>
      </c>
      <c r="BK619" s="141">
        <v>977614428.27999997</v>
      </c>
      <c r="BL619" s="141">
        <v>988714182.17999995</v>
      </c>
      <c r="BM619" s="141">
        <v>1002388386.17</v>
      </c>
      <c r="BU619" s="141">
        <v>1002388386.17</v>
      </c>
    </row>
    <row r="620" spans="1:73" ht="14.4" x14ac:dyDescent="0.3">
      <c r="A620" s="160" t="s">
        <v>5</v>
      </c>
      <c r="B620" s="161">
        <v>2003</v>
      </c>
      <c r="C620" s="161">
        <v>17544726.219999999</v>
      </c>
      <c r="D620" s="161">
        <v>66198994.890000001</v>
      </c>
      <c r="E620" s="161">
        <v>142770014.31999999</v>
      </c>
      <c r="F620" s="161">
        <v>172645886.88</v>
      </c>
      <c r="G620" s="161">
        <v>198157082</v>
      </c>
      <c r="H620" s="161">
        <v>221828293.97</v>
      </c>
      <c r="I620" s="161">
        <v>233682308.84</v>
      </c>
      <c r="J620" s="161">
        <v>245821930.16999999</v>
      </c>
      <c r="K620" s="161">
        <v>250967035.43000001</v>
      </c>
      <c r="L620" s="161">
        <v>255218246.75</v>
      </c>
      <c r="M620" s="161">
        <v>257375051.16000003</v>
      </c>
      <c r="N620" s="161">
        <v>260575979.76999998</v>
      </c>
      <c r="O620" s="161">
        <v>261082269.87</v>
      </c>
      <c r="P620" s="149"/>
      <c r="Q620" s="149"/>
      <c r="R620" s="149"/>
      <c r="S620" s="149"/>
      <c r="T620" s="149"/>
      <c r="U620" s="149"/>
      <c r="V620" s="149"/>
      <c r="W620" s="149"/>
      <c r="X620" s="161">
        <v>261082269.87</v>
      </c>
      <c r="Y620" s="145"/>
      <c r="Z620" s="145"/>
      <c r="AX620" s="141" t="s">
        <v>5</v>
      </c>
      <c r="AY620" s="141">
        <v>2000</v>
      </c>
      <c r="AZ620" s="141">
        <v>11720531.119999999</v>
      </c>
      <c r="BA620" s="141">
        <v>133525054.93000001</v>
      </c>
      <c r="BB620" s="141">
        <v>234529194.41999999</v>
      </c>
      <c r="BC620" s="141">
        <v>335663919.20999998</v>
      </c>
      <c r="BD620" s="141">
        <v>407120468.75999999</v>
      </c>
      <c r="BE620" s="141">
        <v>462633428.75999999</v>
      </c>
      <c r="BF620" s="141">
        <v>495404551.63</v>
      </c>
      <c r="BG620" s="141">
        <v>527455357.06</v>
      </c>
      <c r="BH620" s="141">
        <v>560830753.84000003</v>
      </c>
      <c r="BI620" s="141">
        <v>583066019.84000003</v>
      </c>
      <c r="BJ620" s="141">
        <v>594785200.66999996</v>
      </c>
      <c r="BK620" s="141">
        <v>611645627.75999999</v>
      </c>
      <c r="BL620" s="141">
        <v>622492230.84000003</v>
      </c>
      <c r="BU620" s="141">
        <v>622492230.84000003</v>
      </c>
    </row>
    <row r="621" spans="1:73" ht="14.4" x14ac:dyDescent="0.3">
      <c r="A621" s="160" t="s">
        <v>5</v>
      </c>
      <c r="B621" s="161">
        <v>2004</v>
      </c>
      <c r="C621" s="161">
        <v>2956962.89</v>
      </c>
      <c r="D621" s="161">
        <v>7358012.8399999999</v>
      </c>
      <c r="E621" s="161">
        <v>12542741.65</v>
      </c>
      <c r="F621" s="161">
        <v>15002405.59</v>
      </c>
      <c r="G621" s="161">
        <v>20858387.859999999</v>
      </c>
      <c r="H621" s="161">
        <v>23328156.560000002</v>
      </c>
      <c r="I621" s="161">
        <v>26790202.359999999</v>
      </c>
      <c r="J621" s="161">
        <v>27921207.280000001</v>
      </c>
      <c r="K621" s="161">
        <v>27984259.010000002</v>
      </c>
      <c r="L621" s="161">
        <v>28313582.390000001</v>
      </c>
      <c r="M621" s="161">
        <v>28628082.32</v>
      </c>
      <c r="N621" s="161">
        <v>29365320.25</v>
      </c>
      <c r="O621" s="149"/>
      <c r="P621" s="149"/>
      <c r="Q621" s="149"/>
      <c r="R621" s="149"/>
      <c r="S621" s="149"/>
      <c r="T621" s="149"/>
      <c r="U621" s="149"/>
      <c r="V621" s="149"/>
      <c r="W621" s="149"/>
      <c r="X621" s="161">
        <v>29365320.25</v>
      </c>
      <c r="Y621" s="145"/>
      <c r="Z621" s="145"/>
      <c r="AX621" s="141" t="s">
        <v>5</v>
      </c>
      <c r="AY621" s="141">
        <v>2001</v>
      </c>
      <c r="AZ621" s="141">
        <v>-13683350.710000001</v>
      </c>
      <c r="BA621" s="141">
        <v>183685495.91</v>
      </c>
      <c r="BB621" s="141">
        <v>396563116.19999999</v>
      </c>
      <c r="BC621" s="141">
        <v>467001004</v>
      </c>
      <c r="BD621" s="141">
        <v>552601515.33000004</v>
      </c>
      <c r="BE621" s="141">
        <v>607039827.87</v>
      </c>
      <c r="BF621" s="141">
        <v>649108185.71000004</v>
      </c>
      <c r="BG621" s="141">
        <v>692012884.21000004</v>
      </c>
      <c r="BH621" s="141">
        <v>715681534.63</v>
      </c>
      <c r="BI621" s="141">
        <v>725676571.87</v>
      </c>
      <c r="BJ621" s="141">
        <v>734479188.51999998</v>
      </c>
      <c r="BK621" s="141">
        <v>736904578.52999997</v>
      </c>
      <c r="BU621" s="141">
        <v>736904578.52999997</v>
      </c>
    </row>
    <row r="622" spans="1:73" ht="14.4" x14ac:dyDescent="0.3">
      <c r="A622" s="160" t="s">
        <v>5</v>
      </c>
      <c r="B622" s="161">
        <v>2005</v>
      </c>
      <c r="C622" s="161">
        <v>4102.25</v>
      </c>
      <c r="D622" s="161">
        <v>38088.660000000003</v>
      </c>
      <c r="E622" s="161">
        <v>306195.84000000003</v>
      </c>
      <c r="F622" s="161">
        <v>547872.36</v>
      </c>
      <c r="G622" s="161">
        <v>602192.61</v>
      </c>
      <c r="H622" s="161">
        <v>622176.34000000008</v>
      </c>
      <c r="I622" s="161">
        <v>657305.93999999994</v>
      </c>
      <c r="J622" s="161">
        <v>658841.55999999994</v>
      </c>
      <c r="K622" s="161">
        <v>761243.72</v>
      </c>
      <c r="L622" s="161">
        <v>761243.72</v>
      </c>
      <c r="M622" s="161">
        <v>761243.72</v>
      </c>
      <c r="N622" s="149"/>
      <c r="O622" s="149"/>
      <c r="P622" s="149"/>
      <c r="Q622" s="149"/>
      <c r="R622" s="149"/>
      <c r="S622" s="149"/>
      <c r="T622" s="149"/>
      <c r="U622" s="149"/>
      <c r="V622" s="149"/>
      <c r="W622" s="149"/>
      <c r="X622" s="161">
        <v>761243.72</v>
      </c>
      <c r="Y622" s="145"/>
      <c r="Z622" s="145"/>
      <c r="AX622" s="141" t="s">
        <v>5</v>
      </c>
      <c r="AY622" s="141">
        <v>2002</v>
      </c>
      <c r="AZ622" s="141">
        <v>11993223.26</v>
      </c>
      <c r="BA622" s="141">
        <v>64908781.25</v>
      </c>
      <c r="BB622" s="141">
        <v>113139460</v>
      </c>
      <c r="BC622" s="141">
        <v>164771410.34999999</v>
      </c>
      <c r="BD622" s="141">
        <v>197551678.66</v>
      </c>
      <c r="BE622" s="141">
        <v>237616349.44999999</v>
      </c>
      <c r="BF622" s="141">
        <v>282620470.66000003</v>
      </c>
      <c r="BG622" s="141">
        <v>292308604.67000002</v>
      </c>
      <c r="BH622" s="141">
        <v>297915293.58999997</v>
      </c>
      <c r="BI622" s="141">
        <v>301609928</v>
      </c>
      <c r="BJ622" s="141">
        <v>304246250.38</v>
      </c>
      <c r="BU622" s="141">
        <v>304246250.38</v>
      </c>
    </row>
    <row r="623" spans="1:73" ht="14.4" x14ac:dyDescent="0.3">
      <c r="A623" s="160" t="s">
        <v>5</v>
      </c>
      <c r="B623" s="161">
        <v>2006</v>
      </c>
      <c r="C623" s="161">
        <v>0</v>
      </c>
      <c r="D623" s="161">
        <v>0</v>
      </c>
      <c r="E623" s="161">
        <v>0</v>
      </c>
      <c r="F623" s="161">
        <v>0</v>
      </c>
      <c r="G623" s="161">
        <v>77407.539999999994</v>
      </c>
      <c r="H623" s="161">
        <v>74545.67</v>
      </c>
      <c r="I623" s="161">
        <v>74545.67</v>
      </c>
      <c r="J623" s="161">
        <v>74545.67</v>
      </c>
      <c r="K623" s="161">
        <v>74545.67</v>
      </c>
      <c r="L623" s="161">
        <v>262733.7</v>
      </c>
      <c r="M623" s="149"/>
      <c r="N623" s="149"/>
      <c r="O623" s="149"/>
      <c r="P623" s="149"/>
      <c r="Q623" s="149"/>
      <c r="R623" s="149"/>
      <c r="S623" s="149"/>
      <c r="T623" s="149"/>
      <c r="U623" s="149"/>
      <c r="V623" s="149"/>
      <c r="W623" s="149"/>
      <c r="X623" s="161">
        <v>262733.7</v>
      </c>
      <c r="Y623" s="145"/>
      <c r="Z623" s="145"/>
      <c r="AX623" s="141" t="s">
        <v>5</v>
      </c>
      <c r="AY623" s="141">
        <v>2003</v>
      </c>
      <c r="AZ623" s="141">
        <v>17544726.219999999</v>
      </c>
      <c r="BA623" s="141">
        <v>66198994.890000001</v>
      </c>
      <c r="BB623" s="141">
        <v>142770014.31999999</v>
      </c>
      <c r="BC623" s="141">
        <v>172645886.88</v>
      </c>
      <c r="BD623" s="141">
        <v>198157082</v>
      </c>
      <c r="BE623" s="141">
        <v>221828293.97</v>
      </c>
      <c r="BF623" s="141">
        <v>233682308.84</v>
      </c>
      <c r="BG623" s="141">
        <v>245821930.16999999</v>
      </c>
      <c r="BH623" s="141">
        <v>250967035.43000001</v>
      </c>
      <c r="BI623" s="141">
        <v>255218246.75</v>
      </c>
      <c r="BU623" s="141">
        <v>255218246.75</v>
      </c>
    </row>
    <row r="624" spans="1:73" ht="14.4" x14ac:dyDescent="0.3">
      <c r="A624" s="160" t="s">
        <v>5</v>
      </c>
      <c r="B624" s="161">
        <v>2007</v>
      </c>
      <c r="C624" s="161">
        <v>0</v>
      </c>
      <c r="D624" s="161">
        <v>0</v>
      </c>
      <c r="E624" s="161">
        <v>0</v>
      </c>
      <c r="F624" s="161">
        <v>0</v>
      </c>
      <c r="G624" s="161">
        <v>0</v>
      </c>
      <c r="H624" s="161">
        <v>0</v>
      </c>
      <c r="I624" s="161">
        <v>0</v>
      </c>
      <c r="J624" s="161">
        <v>0</v>
      </c>
      <c r="K624" s="161">
        <v>0</v>
      </c>
      <c r="L624" s="149"/>
      <c r="M624" s="149"/>
      <c r="N624" s="149"/>
      <c r="O624" s="149"/>
      <c r="P624" s="149"/>
      <c r="Q624" s="149"/>
      <c r="R624" s="149"/>
      <c r="S624" s="149"/>
      <c r="T624" s="149"/>
      <c r="U624" s="149"/>
      <c r="V624" s="149"/>
      <c r="W624" s="149"/>
      <c r="X624" s="161">
        <v>0</v>
      </c>
      <c r="Y624" s="145"/>
      <c r="Z624" s="145"/>
      <c r="AX624" s="141" t="s">
        <v>5</v>
      </c>
      <c r="AY624" s="141">
        <v>2004</v>
      </c>
      <c r="AZ624" s="141">
        <v>2956962.89</v>
      </c>
      <c r="BA624" s="141">
        <v>7358012.8399999999</v>
      </c>
      <c r="BB624" s="141">
        <v>12542741.65</v>
      </c>
      <c r="BC624" s="141">
        <v>15002405.59</v>
      </c>
      <c r="BD624" s="141">
        <v>20858387.859999999</v>
      </c>
      <c r="BE624" s="141">
        <v>23328156.559999999</v>
      </c>
      <c r="BF624" s="141">
        <v>26790202.359999999</v>
      </c>
      <c r="BG624" s="141">
        <v>27921207.280000001</v>
      </c>
      <c r="BH624" s="141">
        <v>27984259.010000002</v>
      </c>
      <c r="BU624" s="141">
        <v>27984259.010000002</v>
      </c>
    </row>
    <row r="625" spans="1:73" ht="14.4" x14ac:dyDescent="0.3">
      <c r="A625" s="160" t="s">
        <v>5</v>
      </c>
      <c r="B625" s="161">
        <v>2008</v>
      </c>
      <c r="C625" s="161">
        <v>0</v>
      </c>
      <c r="D625" s="161">
        <v>0</v>
      </c>
      <c r="E625" s="161">
        <v>0</v>
      </c>
      <c r="F625" s="161">
        <v>0</v>
      </c>
      <c r="G625" s="161">
        <v>0</v>
      </c>
      <c r="H625" s="161">
        <v>0</v>
      </c>
      <c r="I625" s="161">
        <v>0</v>
      </c>
      <c r="J625" s="161">
        <v>0</v>
      </c>
      <c r="K625" s="149"/>
      <c r="L625" s="149"/>
      <c r="M625" s="149"/>
      <c r="N625" s="149"/>
      <c r="O625" s="149"/>
      <c r="P625" s="149"/>
      <c r="Q625" s="149"/>
      <c r="R625" s="149"/>
      <c r="S625" s="149"/>
      <c r="T625" s="149"/>
      <c r="U625" s="149"/>
      <c r="V625" s="149"/>
      <c r="W625" s="149"/>
      <c r="X625" s="161">
        <v>0</v>
      </c>
      <c r="Y625" s="145"/>
      <c r="Z625" s="145"/>
      <c r="AX625" s="141" t="s">
        <v>5</v>
      </c>
      <c r="AY625" s="141">
        <v>2005</v>
      </c>
      <c r="AZ625" s="141">
        <v>4102.25</v>
      </c>
      <c r="BA625" s="141">
        <v>38088.660000000003</v>
      </c>
      <c r="BB625" s="141">
        <v>306195.84000000003</v>
      </c>
      <c r="BC625" s="141">
        <v>547872.36</v>
      </c>
      <c r="BD625" s="141">
        <v>602192.61</v>
      </c>
      <c r="BE625" s="141">
        <v>622176.34</v>
      </c>
      <c r="BF625" s="141">
        <v>657305.93999999994</v>
      </c>
      <c r="BG625" s="141">
        <v>658841.56000000006</v>
      </c>
      <c r="BU625" s="141">
        <v>658841.56000000006</v>
      </c>
    </row>
    <row r="626" spans="1:73" ht="14.4" x14ac:dyDescent="0.3">
      <c r="A626" s="160" t="s">
        <v>5</v>
      </c>
      <c r="B626" s="161">
        <v>2009</v>
      </c>
      <c r="C626" s="161">
        <v>0</v>
      </c>
      <c r="D626" s="161">
        <v>0</v>
      </c>
      <c r="E626" s="161">
        <v>0</v>
      </c>
      <c r="F626" s="161">
        <v>0</v>
      </c>
      <c r="G626" s="161">
        <v>0</v>
      </c>
      <c r="H626" s="161">
        <v>0</v>
      </c>
      <c r="I626" s="161">
        <v>0</v>
      </c>
      <c r="J626" s="149"/>
      <c r="K626" s="149"/>
      <c r="L626" s="149"/>
      <c r="M626" s="149"/>
      <c r="N626" s="149"/>
      <c r="O626" s="149"/>
      <c r="P626" s="149"/>
      <c r="Q626" s="149"/>
      <c r="R626" s="149"/>
      <c r="S626" s="149"/>
      <c r="T626" s="149"/>
      <c r="U626" s="149"/>
      <c r="V626" s="149"/>
      <c r="W626" s="149"/>
      <c r="X626" s="161">
        <v>0</v>
      </c>
      <c r="Y626" s="145"/>
      <c r="Z626" s="145"/>
      <c r="AX626" s="141" t="s">
        <v>5</v>
      </c>
      <c r="AY626" s="141">
        <v>2006</v>
      </c>
      <c r="AZ626" s="141">
        <v>0</v>
      </c>
      <c r="BA626" s="141">
        <v>0</v>
      </c>
      <c r="BB626" s="141">
        <v>0</v>
      </c>
      <c r="BC626" s="141">
        <v>0</v>
      </c>
      <c r="BD626" s="141">
        <v>77407.539999999994</v>
      </c>
      <c r="BE626" s="141">
        <v>74545.67</v>
      </c>
      <c r="BF626" s="141">
        <v>74545.67</v>
      </c>
      <c r="BU626" s="141">
        <v>74545.67</v>
      </c>
    </row>
    <row r="627" spans="1:73" ht="14.4" x14ac:dyDescent="0.3">
      <c r="A627" s="160" t="s">
        <v>5</v>
      </c>
      <c r="B627" s="161">
        <v>2010</v>
      </c>
      <c r="C627" s="161">
        <v>0</v>
      </c>
      <c r="D627" s="161">
        <v>0</v>
      </c>
      <c r="E627" s="161">
        <v>0</v>
      </c>
      <c r="F627" s="161">
        <v>0</v>
      </c>
      <c r="G627" s="161">
        <v>0</v>
      </c>
      <c r="H627" s="161">
        <v>0</v>
      </c>
      <c r="I627" s="149"/>
      <c r="J627" s="149"/>
      <c r="K627" s="149"/>
      <c r="L627" s="149"/>
      <c r="M627" s="149"/>
      <c r="N627" s="149"/>
      <c r="O627" s="149"/>
      <c r="P627" s="149"/>
      <c r="Q627" s="149"/>
      <c r="R627" s="149"/>
      <c r="S627" s="149"/>
      <c r="T627" s="149"/>
      <c r="U627" s="149"/>
      <c r="V627" s="149"/>
      <c r="W627" s="149"/>
      <c r="X627" s="161">
        <v>0</v>
      </c>
      <c r="Y627" s="145"/>
      <c r="Z627" s="145"/>
      <c r="AX627" s="141" t="s">
        <v>5</v>
      </c>
      <c r="AY627" s="141">
        <v>2007</v>
      </c>
      <c r="AZ627" s="141">
        <v>0</v>
      </c>
      <c r="BA627" s="141">
        <v>0</v>
      </c>
      <c r="BB627" s="141">
        <v>0</v>
      </c>
      <c r="BC627" s="141">
        <v>0</v>
      </c>
      <c r="BD627" s="141">
        <v>0</v>
      </c>
      <c r="BE627" s="141">
        <v>0</v>
      </c>
      <c r="BU627" s="141">
        <v>0</v>
      </c>
    </row>
    <row r="628" spans="1:73" ht="14.4" x14ac:dyDescent="0.3">
      <c r="A628" s="160" t="s">
        <v>5</v>
      </c>
      <c r="B628" s="161">
        <v>2011</v>
      </c>
      <c r="C628" s="161">
        <v>0</v>
      </c>
      <c r="D628" s="161">
        <v>0</v>
      </c>
      <c r="E628" s="161">
        <v>0</v>
      </c>
      <c r="F628" s="161">
        <v>0</v>
      </c>
      <c r="G628" s="161">
        <v>0</v>
      </c>
      <c r="H628" s="149"/>
      <c r="I628" s="149"/>
      <c r="J628" s="149"/>
      <c r="K628" s="149"/>
      <c r="L628" s="149"/>
      <c r="M628" s="149"/>
      <c r="N628" s="149"/>
      <c r="O628" s="149"/>
      <c r="P628" s="149"/>
      <c r="Q628" s="149"/>
      <c r="R628" s="149"/>
      <c r="S628" s="149"/>
      <c r="T628" s="149"/>
      <c r="U628" s="149"/>
      <c r="V628" s="149"/>
      <c r="W628" s="149"/>
      <c r="X628" s="161">
        <v>0</v>
      </c>
      <c r="Y628" s="145"/>
      <c r="Z628" s="145"/>
      <c r="AX628" s="141" t="s">
        <v>5</v>
      </c>
      <c r="AY628" s="141">
        <v>2008</v>
      </c>
      <c r="AZ628" s="141">
        <v>0</v>
      </c>
      <c r="BA628" s="141">
        <v>0</v>
      </c>
      <c r="BB628" s="141">
        <v>0</v>
      </c>
      <c r="BC628" s="141">
        <v>0</v>
      </c>
      <c r="BD628" s="141">
        <v>0</v>
      </c>
      <c r="BU628" s="141">
        <v>0</v>
      </c>
    </row>
    <row r="629" spans="1:73" ht="14.4" x14ac:dyDescent="0.3">
      <c r="A629" s="160" t="s">
        <v>5</v>
      </c>
      <c r="B629" s="161">
        <v>2012</v>
      </c>
      <c r="C629" s="161">
        <v>0</v>
      </c>
      <c r="D629" s="161">
        <v>0</v>
      </c>
      <c r="E629" s="161">
        <v>0</v>
      </c>
      <c r="F629" s="161">
        <v>0</v>
      </c>
      <c r="G629" s="149"/>
      <c r="H629" s="149"/>
      <c r="I629" s="149"/>
      <c r="J629" s="149"/>
      <c r="K629" s="149"/>
      <c r="L629" s="149"/>
      <c r="M629" s="149"/>
      <c r="N629" s="149"/>
      <c r="O629" s="149"/>
      <c r="P629" s="149"/>
      <c r="Q629" s="149"/>
      <c r="R629" s="149"/>
      <c r="S629" s="149"/>
      <c r="T629" s="149"/>
      <c r="U629" s="149"/>
      <c r="V629" s="149"/>
      <c r="W629" s="149"/>
      <c r="X629" s="161">
        <v>0</v>
      </c>
      <c r="Y629" s="145"/>
      <c r="Z629" s="145"/>
      <c r="AX629" s="141" t="s">
        <v>5</v>
      </c>
      <c r="AY629" s="141">
        <v>2009</v>
      </c>
      <c r="AZ629" s="141">
        <v>0</v>
      </c>
      <c r="BA629" s="141">
        <v>0</v>
      </c>
      <c r="BB629" s="141">
        <v>0</v>
      </c>
      <c r="BC629" s="141">
        <v>0</v>
      </c>
      <c r="BU629" s="141">
        <v>0</v>
      </c>
    </row>
    <row r="630" spans="1:73" ht="14.4" x14ac:dyDescent="0.3">
      <c r="A630" s="160" t="s">
        <v>5</v>
      </c>
      <c r="B630" s="161">
        <v>2013</v>
      </c>
      <c r="C630" s="161">
        <v>0</v>
      </c>
      <c r="D630" s="161">
        <v>0</v>
      </c>
      <c r="E630" s="161">
        <v>0</v>
      </c>
      <c r="F630" s="149"/>
      <c r="G630" s="149"/>
      <c r="H630" s="149"/>
      <c r="I630" s="149"/>
      <c r="J630" s="149"/>
      <c r="K630" s="149"/>
      <c r="L630" s="149"/>
      <c r="M630" s="149"/>
      <c r="N630" s="149"/>
      <c r="O630" s="149"/>
      <c r="P630" s="149"/>
      <c r="Q630" s="149"/>
      <c r="R630" s="149"/>
      <c r="S630" s="149"/>
      <c r="T630" s="149"/>
      <c r="U630" s="149"/>
      <c r="V630" s="149"/>
      <c r="W630" s="149"/>
      <c r="X630" s="161">
        <v>0</v>
      </c>
      <c r="Y630" s="145"/>
      <c r="Z630" s="145"/>
      <c r="AX630" s="141" t="s">
        <v>5</v>
      </c>
      <c r="AY630" s="141">
        <v>2010</v>
      </c>
      <c r="AZ630" s="141">
        <v>0</v>
      </c>
      <c r="BA630" s="141">
        <v>0</v>
      </c>
      <c r="BB630" s="141">
        <v>0</v>
      </c>
      <c r="BU630" s="141">
        <v>0</v>
      </c>
    </row>
    <row r="631" spans="1:73" ht="14.4" x14ac:dyDescent="0.3">
      <c r="A631" s="160" t="s">
        <v>5</v>
      </c>
      <c r="B631" s="161">
        <v>2014</v>
      </c>
      <c r="C631" s="161">
        <v>0</v>
      </c>
      <c r="D631" s="161">
        <v>0</v>
      </c>
      <c r="E631" s="149"/>
      <c r="F631" s="149"/>
      <c r="G631" s="149"/>
      <c r="H631" s="149"/>
      <c r="I631" s="149"/>
      <c r="J631" s="149"/>
      <c r="K631" s="149"/>
      <c r="L631" s="149"/>
      <c r="M631" s="149"/>
      <c r="N631" s="149"/>
      <c r="O631" s="149"/>
      <c r="P631" s="149"/>
      <c r="Q631" s="149"/>
      <c r="R631" s="149"/>
      <c r="S631" s="149"/>
      <c r="T631" s="149"/>
      <c r="U631" s="149"/>
      <c r="V631" s="149"/>
      <c r="W631" s="149"/>
      <c r="X631" s="161">
        <v>0</v>
      </c>
      <c r="Y631" s="145"/>
      <c r="Z631" s="145"/>
      <c r="AX631" s="141" t="s">
        <v>5</v>
      </c>
      <c r="AY631" s="141">
        <v>2011</v>
      </c>
      <c r="AZ631" s="141">
        <v>0</v>
      </c>
      <c r="BA631" s="141">
        <v>0</v>
      </c>
      <c r="BU631" s="141">
        <v>0</v>
      </c>
    </row>
    <row r="632" spans="1:73" ht="14.4" x14ac:dyDescent="0.3">
      <c r="A632" s="160" t="s">
        <v>5</v>
      </c>
      <c r="B632" s="161">
        <v>2015</v>
      </c>
      <c r="C632" s="161">
        <v>0</v>
      </c>
      <c r="D632" s="149"/>
      <c r="E632" s="149"/>
      <c r="F632" s="149"/>
      <c r="G632" s="149"/>
      <c r="H632" s="149"/>
      <c r="I632" s="149"/>
      <c r="J632" s="149"/>
      <c r="K632" s="149"/>
      <c r="L632" s="149"/>
      <c r="M632" s="149"/>
      <c r="N632" s="149"/>
      <c r="O632" s="149"/>
      <c r="P632" s="149"/>
      <c r="Q632" s="149"/>
      <c r="R632" s="149"/>
      <c r="S632" s="149"/>
      <c r="T632" s="149"/>
      <c r="U632" s="149"/>
      <c r="V632" s="149"/>
      <c r="W632" s="149"/>
      <c r="X632" s="161">
        <v>0</v>
      </c>
      <c r="Y632" s="145"/>
      <c r="Z632" s="145"/>
      <c r="AX632" s="141" t="s">
        <v>5</v>
      </c>
      <c r="AY632" s="141">
        <v>2012</v>
      </c>
      <c r="AZ632" s="141">
        <v>0</v>
      </c>
      <c r="BU632" s="141">
        <v>0</v>
      </c>
    </row>
    <row r="633" spans="1:73" ht="14.4" x14ac:dyDescent="0.3">
      <c r="A633" s="160" t="s">
        <v>230</v>
      </c>
      <c r="B633" s="161">
        <v>1995</v>
      </c>
      <c r="C633" s="161">
        <v>35288248.079999998</v>
      </c>
      <c r="D633" s="161">
        <v>53599273.289999999</v>
      </c>
      <c r="E633" s="161">
        <v>54360101.799999997</v>
      </c>
      <c r="F633" s="161">
        <v>54319697.75</v>
      </c>
      <c r="G633" s="161">
        <v>54320919.939999998</v>
      </c>
      <c r="H633" s="161">
        <v>54325599.990000002</v>
      </c>
      <c r="I633" s="161">
        <v>54325669.770000003</v>
      </c>
      <c r="J633" s="161">
        <v>54325669.770000003</v>
      </c>
      <c r="K633" s="161">
        <v>54325774.030000001</v>
      </c>
      <c r="L633" s="161">
        <v>54325774.030000001</v>
      </c>
      <c r="M633" s="161">
        <v>54325774.030000001</v>
      </c>
      <c r="N633" s="161">
        <v>54325774.030000001</v>
      </c>
      <c r="O633" s="161">
        <v>54325774.030000001</v>
      </c>
      <c r="P633" s="161">
        <v>54325774.030000001</v>
      </c>
      <c r="Q633" s="161">
        <v>54325774.030000001</v>
      </c>
      <c r="R633" s="161">
        <v>54325774.030000001</v>
      </c>
      <c r="S633" s="161">
        <v>54325774.030000001</v>
      </c>
      <c r="T633" s="161">
        <v>54325774.030000001</v>
      </c>
      <c r="U633" s="161">
        <v>54325774.030000001</v>
      </c>
      <c r="V633" s="161">
        <v>54325774.030000001</v>
      </c>
      <c r="W633" s="161">
        <v>54325774.030000001</v>
      </c>
      <c r="X633" s="161">
        <v>54325774.030000001</v>
      </c>
      <c r="Y633" s="145"/>
      <c r="Z633" s="145"/>
      <c r="AX633" s="141" t="s">
        <v>230</v>
      </c>
      <c r="AY633" s="141">
        <v>1992</v>
      </c>
      <c r="AZ633" s="141">
        <v>210126325.40000001</v>
      </c>
      <c r="BA633" s="141">
        <v>221303657.80000001</v>
      </c>
      <c r="BB633" s="141">
        <v>221549178.08000001</v>
      </c>
      <c r="BC633" s="141">
        <v>221552231.56999999</v>
      </c>
      <c r="BD633" s="141">
        <v>221552404.25999999</v>
      </c>
      <c r="BE633" s="141">
        <v>221552404.25999999</v>
      </c>
      <c r="BF633" s="141">
        <v>221552404.25999999</v>
      </c>
      <c r="BG633" s="141">
        <v>221552584.25999999</v>
      </c>
      <c r="BH633" s="141">
        <v>221552989.25999999</v>
      </c>
      <c r="BI633" s="141">
        <v>221552989.25999999</v>
      </c>
      <c r="BJ633" s="141">
        <v>221552989.25999999</v>
      </c>
      <c r="BK633" s="141">
        <v>221552989.25999999</v>
      </c>
      <c r="BL633" s="141">
        <v>221552989.25999999</v>
      </c>
      <c r="BM633" s="141">
        <v>221552989.25999999</v>
      </c>
      <c r="BN633" s="141">
        <v>221552989.25999999</v>
      </c>
      <c r="BO633" s="141">
        <v>221552989.25999999</v>
      </c>
      <c r="BP633" s="141">
        <v>221552989.25999999</v>
      </c>
      <c r="BQ633" s="141">
        <v>221552989.25999999</v>
      </c>
      <c r="BR633" s="141">
        <v>221552989.25999999</v>
      </c>
      <c r="BS633" s="141">
        <v>221552989.25999999</v>
      </c>
      <c r="BT633" s="141">
        <v>221552989.25999999</v>
      </c>
      <c r="BU633" s="141">
        <v>221552989.25999999</v>
      </c>
    </row>
    <row r="634" spans="1:73" ht="14.4" x14ac:dyDescent="0.3">
      <c r="A634" s="160" t="s">
        <v>230</v>
      </c>
      <c r="B634" s="161">
        <v>1996</v>
      </c>
      <c r="C634" s="161">
        <v>37538412.519999996</v>
      </c>
      <c r="D634" s="161">
        <v>42817845.489999995</v>
      </c>
      <c r="E634" s="161">
        <v>42760516.039999999</v>
      </c>
      <c r="F634" s="161">
        <v>42806083.960000001</v>
      </c>
      <c r="G634" s="161">
        <v>42845452.450000003</v>
      </c>
      <c r="H634" s="161">
        <v>42859382.25</v>
      </c>
      <c r="I634" s="161">
        <v>42865003.740000002</v>
      </c>
      <c r="J634" s="161">
        <v>42863696.549999997</v>
      </c>
      <c r="K634" s="161">
        <v>42864594.210000001</v>
      </c>
      <c r="L634" s="161">
        <v>42866188.25</v>
      </c>
      <c r="M634" s="161">
        <v>42866740.07</v>
      </c>
      <c r="N634" s="161">
        <v>42866740.07</v>
      </c>
      <c r="O634" s="161">
        <v>42866740.07</v>
      </c>
      <c r="P634" s="161">
        <v>42866740.07</v>
      </c>
      <c r="Q634" s="161">
        <v>42866740.07</v>
      </c>
      <c r="R634" s="161">
        <v>42866740.07</v>
      </c>
      <c r="S634" s="161">
        <v>42866740.07</v>
      </c>
      <c r="T634" s="161">
        <v>42866740.07</v>
      </c>
      <c r="U634" s="161">
        <v>42866740.07</v>
      </c>
      <c r="V634" s="161">
        <v>42866740.07</v>
      </c>
      <c r="W634" s="149"/>
      <c r="X634" s="161">
        <v>42866740.07</v>
      </c>
      <c r="Y634" s="145"/>
      <c r="Z634" s="145"/>
      <c r="AX634" s="141" t="s">
        <v>230</v>
      </c>
      <c r="AY634" s="141">
        <v>1993</v>
      </c>
      <c r="AZ634" s="141">
        <v>35308283.159999996</v>
      </c>
      <c r="BA634" s="141">
        <v>46666855.359999999</v>
      </c>
      <c r="BB634" s="141">
        <v>46733457.640000001</v>
      </c>
      <c r="BC634" s="141">
        <v>46718186.509999998</v>
      </c>
      <c r="BD634" s="141">
        <v>46718186.509999998</v>
      </c>
      <c r="BE634" s="141">
        <v>46715950.509999998</v>
      </c>
      <c r="BF634" s="141">
        <v>46715950.509999998</v>
      </c>
      <c r="BG634" s="141">
        <v>46715950.509999998</v>
      </c>
      <c r="BH634" s="141">
        <v>46715950.509999998</v>
      </c>
      <c r="BI634" s="141">
        <v>46715950.509999998</v>
      </c>
      <c r="BJ634" s="141">
        <v>46715950.509999998</v>
      </c>
      <c r="BK634" s="141">
        <v>46715950.509999998</v>
      </c>
      <c r="BL634" s="141">
        <v>46715950.509999998</v>
      </c>
      <c r="BM634" s="141">
        <v>46715950.509999998</v>
      </c>
      <c r="BN634" s="141">
        <v>46715950.509999998</v>
      </c>
      <c r="BO634" s="141">
        <v>46715950.509999998</v>
      </c>
      <c r="BP634" s="141">
        <v>46715950.509999998</v>
      </c>
      <c r="BQ634" s="141">
        <v>46715950.509999998</v>
      </c>
      <c r="BR634" s="141">
        <v>46715950.509999998</v>
      </c>
      <c r="BS634" s="141">
        <v>46715950.509999998</v>
      </c>
      <c r="BU634" s="141">
        <v>46715950.509999998</v>
      </c>
    </row>
    <row r="635" spans="1:73" ht="14.4" x14ac:dyDescent="0.3">
      <c r="A635" s="160" t="s">
        <v>230</v>
      </c>
      <c r="B635" s="161">
        <v>1997</v>
      </c>
      <c r="C635" s="161">
        <v>60926503.93</v>
      </c>
      <c r="D635" s="161">
        <v>67118516.650000006</v>
      </c>
      <c r="E635" s="161">
        <v>67254501.5</v>
      </c>
      <c r="F635" s="161">
        <v>67279907.030000001</v>
      </c>
      <c r="G635" s="161">
        <v>67280449.170000002</v>
      </c>
      <c r="H635" s="161">
        <v>67288917.489999995</v>
      </c>
      <c r="I635" s="161">
        <v>67290478.530000001</v>
      </c>
      <c r="J635" s="161">
        <v>67291702.100000009</v>
      </c>
      <c r="K635" s="161">
        <v>67291702.100000009</v>
      </c>
      <c r="L635" s="161">
        <v>67292461.579999998</v>
      </c>
      <c r="M635" s="161">
        <v>67292461.579999998</v>
      </c>
      <c r="N635" s="161">
        <v>67292461.579999998</v>
      </c>
      <c r="O635" s="161">
        <v>67292461.579999998</v>
      </c>
      <c r="P635" s="161">
        <v>67292461.579999998</v>
      </c>
      <c r="Q635" s="161">
        <v>67292461.579999998</v>
      </c>
      <c r="R635" s="161">
        <v>67292461.579999998</v>
      </c>
      <c r="S635" s="161">
        <v>67292461.579999998</v>
      </c>
      <c r="T635" s="161">
        <v>67292461.579999998</v>
      </c>
      <c r="U635" s="161">
        <v>67292461.579999998</v>
      </c>
      <c r="V635" s="149"/>
      <c r="W635" s="149"/>
      <c r="X635" s="161">
        <v>67292461.579999998</v>
      </c>
      <c r="Y635" s="145"/>
      <c r="Z635" s="145"/>
      <c r="AX635" s="141" t="s">
        <v>230</v>
      </c>
      <c r="AY635" s="141">
        <v>1994</v>
      </c>
      <c r="AZ635" s="141">
        <v>37477661.289999999</v>
      </c>
      <c r="BA635" s="141">
        <v>49428840.299999997</v>
      </c>
      <c r="BB635" s="141">
        <v>49683691.210000001</v>
      </c>
      <c r="BC635" s="141">
        <v>49806895.210000001</v>
      </c>
      <c r="BD635" s="141">
        <v>49760729.770000003</v>
      </c>
      <c r="BE635" s="141">
        <v>49760729.770000003</v>
      </c>
      <c r="BF635" s="141">
        <v>49760884.310000002</v>
      </c>
      <c r="BG635" s="141">
        <v>49761145.920000002</v>
      </c>
      <c r="BH635" s="141">
        <v>49761195.920000002</v>
      </c>
      <c r="BI635" s="141">
        <v>49761195.920000002</v>
      </c>
      <c r="BJ635" s="141">
        <v>49761195.920000002</v>
      </c>
      <c r="BK635" s="141">
        <v>49761195.920000002</v>
      </c>
      <c r="BL635" s="141">
        <v>49761195.920000002</v>
      </c>
      <c r="BM635" s="141">
        <v>49761195.920000002</v>
      </c>
      <c r="BN635" s="141">
        <v>49761195.920000002</v>
      </c>
      <c r="BO635" s="141">
        <v>49761195.920000002</v>
      </c>
      <c r="BP635" s="141">
        <v>49761195.920000002</v>
      </c>
      <c r="BQ635" s="141">
        <v>49761195.920000002</v>
      </c>
      <c r="BR635" s="141">
        <v>49761195.920000002</v>
      </c>
      <c r="BU635" s="141">
        <v>49761195.920000002</v>
      </c>
    </row>
    <row r="636" spans="1:73" ht="14.4" x14ac:dyDescent="0.3">
      <c r="A636" s="160" t="s">
        <v>230</v>
      </c>
      <c r="B636" s="161">
        <v>1998</v>
      </c>
      <c r="C636" s="161">
        <v>77079880.010000005</v>
      </c>
      <c r="D636" s="161">
        <v>91334773.549999997</v>
      </c>
      <c r="E636" s="161">
        <v>91561786.370000005</v>
      </c>
      <c r="F636" s="161">
        <v>91550750.030000001</v>
      </c>
      <c r="G636" s="161">
        <v>91578170.189999998</v>
      </c>
      <c r="H636" s="161">
        <v>91582301.219999999</v>
      </c>
      <c r="I636" s="161">
        <v>91587886.280000001</v>
      </c>
      <c r="J636" s="161">
        <v>91588645.120000005</v>
      </c>
      <c r="K636" s="161">
        <v>91588645.120000005</v>
      </c>
      <c r="L636" s="161">
        <v>91588645.120000005</v>
      </c>
      <c r="M636" s="161">
        <v>91588645.120000005</v>
      </c>
      <c r="N636" s="161">
        <v>91588645.120000005</v>
      </c>
      <c r="O636" s="161">
        <v>91588645.120000005</v>
      </c>
      <c r="P636" s="161">
        <v>91588645.120000005</v>
      </c>
      <c r="Q636" s="161">
        <v>91588645.120000005</v>
      </c>
      <c r="R636" s="161">
        <v>91588645.120000005</v>
      </c>
      <c r="S636" s="161">
        <v>91588645.120000005</v>
      </c>
      <c r="T636" s="161">
        <v>91588645.120000005</v>
      </c>
      <c r="U636" s="149"/>
      <c r="V636" s="149"/>
      <c r="W636" s="149"/>
      <c r="X636" s="161">
        <v>91588645.120000005</v>
      </c>
      <c r="Y636" s="145"/>
      <c r="Z636" s="145"/>
      <c r="AX636" s="141" t="s">
        <v>230</v>
      </c>
      <c r="AY636" s="141">
        <v>1995</v>
      </c>
      <c r="AZ636" s="141">
        <v>35288248.079999998</v>
      </c>
      <c r="BA636" s="141">
        <v>53599273.289999999</v>
      </c>
      <c r="BB636" s="141">
        <v>54360101.799999997</v>
      </c>
      <c r="BC636" s="141">
        <v>54319697.75</v>
      </c>
      <c r="BD636" s="141">
        <v>54320919.939999998</v>
      </c>
      <c r="BE636" s="141">
        <v>54325599.990000002</v>
      </c>
      <c r="BF636" s="141">
        <v>54325669.770000003</v>
      </c>
      <c r="BG636" s="141">
        <v>54325669.770000003</v>
      </c>
      <c r="BH636" s="141">
        <v>54325774.030000001</v>
      </c>
      <c r="BI636" s="141">
        <v>54325774.030000001</v>
      </c>
      <c r="BJ636" s="141">
        <v>54325774.030000001</v>
      </c>
      <c r="BK636" s="141">
        <v>54325774.030000001</v>
      </c>
      <c r="BL636" s="141">
        <v>54325774.030000001</v>
      </c>
      <c r="BM636" s="141">
        <v>54325774.030000001</v>
      </c>
      <c r="BN636" s="141">
        <v>54325774.030000001</v>
      </c>
      <c r="BO636" s="141">
        <v>54325774.030000001</v>
      </c>
      <c r="BP636" s="141">
        <v>54325774.030000001</v>
      </c>
      <c r="BQ636" s="141">
        <v>54325774.030000001</v>
      </c>
      <c r="BU636" s="141">
        <v>54325774.030000001</v>
      </c>
    </row>
    <row r="637" spans="1:73" ht="14.4" x14ac:dyDescent="0.3">
      <c r="A637" s="160" t="s">
        <v>230</v>
      </c>
      <c r="B637" s="161">
        <v>1999</v>
      </c>
      <c r="C637" s="161">
        <v>108676996.19</v>
      </c>
      <c r="D637" s="161">
        <v>134732346.06</v>
      </c>
      <c r="E637" s="161">
        <v>134495881.49000001</v>
      </c>
      <c r="F637" s="161">
        <v>134590850.11000001</v>
      </c>
      <c r="G637" s="161">
        <v>134603867.44</v>
      </c>
      <c r="H637" s="161">
        <v>134603164.53</v>
      </c>
      <c r="I637" s="161">
        <v>134603539.52000001</v>
      </c>
      <c r="J637" s="161">
        <v>134604573.47999999</v>
      </c>
      <c r="K637" s="161">
        <v>134604573.47999999</v>
      </c>
      <c r="L637" s="161">
        <v>134604573.47999999</v>
      </c>
      <c r="M637" s="161">
        <v>134604573.47999999</v>
      </c>
      <c r="N637" s="161">
        <v>134604573.47999999</v>
      </c>
      <c r="O637" s="161">
        <v>134604573.47999999</v>
      </c>
      <c r="P637" s="161">
        <v>134604573.47999999</v>
      </c>
      <c r="Q637" s="161">
        <v>134604573.47999999</v>
      </c>
      <c r="R637" s="161">
        <v>134604573.47999999</v>
      </c>
      <c r="S637" s="161">
        <v>134604573.47999999</v>
      </c>
      <c r="T637" s="149"/>
      <c r="U637" s="149"/>
      <c r="V637" s="149"/>
      <c r="W637" s="149"/>
      <c r="X637" s="161">
        <v>134604573.47999999</v>
      </c>
      <c r="Y637" s="145"/>
      <c r="Z637" s="145"/>
      <c r="AX637" s="141" t="s">
        <v>230</v>
      </c>
      <c r="AY637" s="141">
        <v>1996</v>
      </c>
      <c r="AZ637" s="141">
        <v>37538412.520000003</v>
      </c>
      <c r="BA637" s="141">
        <v>42817845.490000002</v>
      </c>
      <c r="BB637" s="141">
        <v>42760516.039999999</v>
      </c>
      <c r="BC637" s="141">
        <v>42806083.960000001</v>
      </c>
      <c r="BD637" s="141">
        <v>42845452.450000003</v>
      </c>
      <c r="BE637" s="141">
        <v>42859382.25</v>
      </c>
      <c r="BF637" s="141">
        <v>42865003.740000002</v>
      </c>
      <c r="BG637" s="141">
        <v>42863696.549999997</v>
      </c>
      <c r="BH637" s="141">
        <v>42864594.210000001</v>
      </c>
      <c r="BI637" s="141">
        <v>42866188.25</v>
      </c>
      <c r="BJ637" s="141">
        <v>42866740.07</v>
      </c>
      <c r="BK637" s="141">
        <v>42866740.07</v>
      </c>
      <c r="BL637" s="141">
        <v>42866740.07</v>
      </c>
      <c r="BM637" s="141">
        <v>42866740.07</v>
      </c>
      <c r="BN637" s="141">
        <v>42866740.07</v>
      </c>
      <c r="BO637" s="141">
        <v>42866740.07</v>
      </c>
      <c r="BP637" s="141">
        <v>42866740.07</v>
      </c>
      <c r="BU637" s="141">
        <v>42866740.07</v>
      </c>
    </row>
    <row r="638" spans="1:73" ht="14.4" x14ac:dyDescent="0.3">
      <c r="A638" s="160" t="s">
        <v>230</v>
      </c>
      <c r="B638" s="161">
        <v>2000</v>
      </c>
      <c r="C638" s="161">
        <v>109960919.14</v>
      </c>
      <c r="D638" s="161">
        <v>138530961.75999999</v>
      </c>
      <c r="E638" s="161">
        <v>138685956.18000001</v>
      </c>
      <c r="F638" s="161">
        <v>138747352.07999998</v>
      </c>
      <c r="G638" s="161">
        <v>138770762.12</v>
      </c>
      <c r="H638" s="161">
        <v>138771609</v>
      </c>
      <c r="I638" s="161">
        <v>138773994</v>
      </c>
      <c r="J638" s="161">
        <v>138773994</v>
      </c>
      <c r="K638" s="161">
        <v>138773994</v>
      </c>
      <c r="L638" s="161">
        <v>138773994</v>
      </c>
      <c r="M638" s="161">
        <v>138773994</v>
      </c>
      <c r="N638" s="161">
        <v>138773994</v>
      </c>
      <c r="O638" s="161">
        <v>138773994</v>
      </c>
      <c r="P638" s="161">
        <v>138773994</v>
      </c>
      <c r="Q638" s="161">
        <v>138773994</v>
      </c>
      <c r="R638" s="161">
        <v>138773994</v>
      </c>
      <c r="S638" s="149"/>
      <c r="T638" s="149"/>
      <c r="U638" s="149"/>
      <c r="V638" s="149"/>
      <c r="W638" s="149"/>
      <c r="X638" s="161">
        <v>138773994</v>
      </c>
      <c r="Y638" s="145"/>
      <c r="Z638" s="145"/>
      <c r="AX638" s="141" t="s">
        <v>230</v>
      </c>
      <c r="AY638" s="141">
        <v>1997</v>
      </c>
      <c r="AZ638" s="141">
        <v>60926503.93</v>
      </c>
      <c r="BA638" s="141">
        <v>67118516.650000006</v>
      </c>
      <c r="BB638" s="141">
        <v>67254501.5</v>
      </c>
      <c r="BC638" s="141">
        <v>67279907.030000001</v>
      </c>
      <c r="BD638" s="141">
        <v>67280449.170000002</v>
      </c>
      <c r="BE638" s="141">
        <v>67288917.489999995</v>
      </c>
      <c r="BF638" s="141">
        <v>67290478.530000001</v>
      </c>
      <c r="BG638" s="141">
        <v>67291702.099999994</v>
      </c>
      <c r="BH638" s="141">
        <v>67291702.099999994</v>
      </c>
      <c r="BI638" s="141">
        <v>67292461.579999998</v>
      </c>
      <c r="BJ638" s="141">
        <v>67292461.579999998</v>
      </c>
      <c r="BK638" s="141">
        <v>67292461.579999998</v>
      </c>
      <c r="BL638" s="141">
        <v>67292461.579999998</v>
      </c>
      <c r="BM638" s="141">
        <v>67292461.579999998</v>
      </c>
      <c r="BN638" s="141">
        <v>67292461.579999998</v>
      </c>
      <c r="BO638" s="141">
        <v>67292461.579999998</v>
      </c>
      <c r="BU638" s="141">
        <v>67292461.579999998</v>
      </c>
    </row>
    <row r="639" spans="1:73" ht="14.4" x14ac:dyDescent="0.3">
      <c r="A639" s="160" t="s">
        <v>230</v>
      </c>
      <c r="B639" s="161">
        <v>2001</v>
      </c>
      <c r="C639" s="161">
        <v>120804830.06</v>
      </c>
      <c r="D639" s="161">
        <v>148112623.98000002</v>
      </c>
      <c r="E639" s="161">
        <v>148355646.59</v>
      </c>
      <c r="F639" s="161">
        <v>148408141.55000001</v>
      </c>
      <c r="G639" s="161">
        <v>148409956</v>
      </c>
      <c r="H639" s="161">
        <v>148411786.97</v>
      </c>
      <c r="I639" s="161">
        <v>148412528.50999999</v>
      </c>
      <c r="J639" s="161">
        <v>148412528.50999999</v>
      </c>
      <c r="K639" s="161">
        <v>148412528.50999999</v>
      </c>
      <c r="L639" s="161">
        <v>148412528.50999999</v>
      </c>
      <c r="M639" s="161">
        <v>148412528.50999999</v>
      </c>
      <c r="N639" s="161">
        <v>148412528.50999999</v>
      </c>
      <c r="O639" s="161">
        <v>148412528.50999999</v>
      </c>
      <c r="P639" s="161">
        <v>148412528.50999999</v>
      </c>
      <c r="Q639" s="161">
        <v>148412528.50999999</v>
      </c>
      <c r="R639" s="149"/>
      <c r="S639" s="149"/>
      <c r="T639" s="149"/>
      <c r="U639" s="149"/>
      <c r="V639" s="149"/>
      <c r="W639" s="149"/>
      <c r="X639" s="161">
        <v>148412528.50999999</v>
      </c>
      <c r="Y639" s="145"/>
      <c r="Z639" s="145"/>
      <c r="AX639" s="141" t="s">
        <v>230</v>
      </c>
      <c r="AY639" s="141">
        <v>1998</v>
      </c>
      <c r="AZ639" s="141">
        <v>77079880.010000005</v>
      </c>
      <c r="BA639" s="141">
        <v>91334773.549999997</v>
      </c>
      <c r="BB639" s="141">
        <v>91561786.370000005</v>
      </c>
      <c r="BC639" s="141">
        <v>91550750.030000001</v>
      </c>
      <c r="BD639" s="141">
        <v>91578170.189999998</v>
      </c>
      <c r="BE639" s="141">
        <v>91582301.219999999</v>
      </c>
      <c r="BF639" s="141">
        <v>91587886.280000001</v>
      </c>
      <c r="BG639" s="141">
        <v>91588645.120000005</v>
      </c>
      <c r="BH639" s="141">
        <v>91588645.120000005</v>
      </c>
      <c r="BI639" s="141">
        <v>91588645.120000005</v>
      </c>
      <c r="BJ639" s="141">
        <v>91588645.120000005</v>
      </c>
      <c r="BK639" s="141">
        <v>91588645.120000005</v>
      </c>
      <c r="BL639" s="141">
        <v>91588645.120000005</v>
      </c>
      <c r="BM639" s="141">
        <v>91588645.120000005</v>
      </c>
      <c r="BN639" s="141">
        <v>91588645.120000005</v>
      </c>
      <c r="BU639" s="141">
        <v>91588645.120000005</v>
      </c>
    </row>
    <row r="640" spans="1:73" ht="14.4" x14ac:dyDescent="0.3">
      <c r="A640" s="160" t="s">
        <v>230</v>
      </c>
      <c r="B640" s="161">
        <v>2002</v>
      </c>
      <c r="C640" s="161">
        <v>118032023.36</v>
      </c>
      <c r="D640" s="161">
        <v>144597683.84</v>
      </c>
      <c r="E640" s="161">
        <v>144777979.22</v>
      </c>
      <c r="F640" s="161">
        <v>144793195.39999998</v>
      </c>
      <c r="G640" s="161">
        <v>144805617.81999999</v>
      </c>
      <c r="H640" s="161">
        <v>144806793.66</v>
      </c>
      <c r="I640" s="161">
        <v>144816793.66</v>
      </c>
      <c r="J640" s="161">
        <v>144816793.66</v>
      </c>
      <c r="K640" s="161">
        <v>144816793.66</v>
      </c>
      <c r="L640" s="161">
        <v>144816793.66</v>
      </c>
      <c r="M640" s="161">
        <v>144816793.66</v>
      </c>
      <c r="N640" s="161">
        <v>144816793.66</v>
      </c>
      <c r="O640" s="161">
        <v>144816793.66</v>
      </c>
      <c r="P640" s="161">
        <v>144816793.66</v>
      </c>
      <c r="Q640" s="149"/>
      <c r="R640" s="149"/>
      <c r="S640" s="149"/>
      <c r="T640" s="149"/>
      <c r="U640" s="149"/>
      <c r="V640" s="149"/>
      <c r="W640" s="149"/>
      <c r="X640" s="161">
        <v>144816793.66</v>
      </c>
      <c r="Y640" s="145"/>
      <c r="Z640" s="145"/>
      <c r="AX640" s="141" t="s">
        <v>230</v>
      </c>
      <c r="AY640" s="141">
        <v>1999</v>
      </c>
      <c r="AZ640" s="141">
        <v>108676996.19</v>
      </c>
      <c r="BA640" s="141">
        <v>134732346.06</v>
      </c>
      <c r="BB640" s="141">
        <v>134495881.49000001</v>
      </c>
      <c r="BC640" s="141">
        <v>134590850.11000001</v>
      </c>
      <c r="BD640" s="141">
        <v>134603867.44</v>
      </c>
      <c r="BE640" s="141">
        <v>134603164.53</v>
      </c>
      <c r="BF640" s="141">
        <v>134603539.52000001</v>
      </c>
      <c r="BG640" s="141">
        <v>134604573.47999999</v>
      </c>
      <c r="BH640" s="141">
        <v>134604573.47999999</v>
      </c>
      <c r="BI640" s="141">
        <v>134604573.47999999</v>
      </c>
      <c r="BJ640" s="141">
        <v>134604573.47999999</v>
      </c>
      <c r="BK640" s="141">
        <v>134604573.47999999</v>
      </c>
      <c r="BL640" s="141">
        <v>134604573.47999999</v>
      </c>
      <c r="BM640" s="141">
        <v>134604573.47999999</v>
      </c>
      <c r="BU640" s="141">
        <v>134604573.47999999</v>
      </c>
    </row>
    <row r="641" spans="1:73" ht="14.4" x14ac:dyDescent="0.3">
      <c r="A641" s="160" t="s">
        <v>230</v>
      </c>
      <c r="B641" s="161">
        <v>2003</v>
      </c>
      <c r="C641" s="161">
        <v>109719329.27000001</v>
      </c>
      <c r="D641" s="161">
        <v>133079004.88000001</v>
      </c>
      <c r="E641" s="161">
        <v>133226454.07000001</v>
      </c>
      <c r="F641" s="161">
        <v>133274361.47000001</v>
      </c>
      <c r="G641" s="161">
        <v>133284567.04999998</v>
      </c>
      <c r="H641" s="161">
        <v>133286683</v>
      </c>
      <c r="I641" s="161">
        <v>133286859.68000001</v>
      </c>
      <c r="J641" s="161">
        <v>133286859.68000001</v>
      </c>
      <c r="K641" s="161">
        <v>133286859.68000001</v>
      </c>
      <c r="L641" s="161">
        <v>133286859.68000001</v>
      </c>
      <c r="M641" s="161">
        <v>133286859.68000001</v>
      </c>
      <c r="N641" s="161">
        <v>133286859.68000001</v>
      </c>
      <c r="O641" s="161">
        <v>133286859.68000001</v>
      </c>
      <c r="P641" s="149"/>
      <c r="Q641" s="149"/>
      <c r="R641" s="149"/>
      <c r="S641" s="149"/>
      <c r="T641" s="149"/>
      <c r="U641" s="149"/>
      <c r="V641" s="149"/>
      <c r="W641" s="149"/>
      <c r="X641" s="161">
        <v>133286859.68000001</v>
      </c>
      <c r="Y641" s="145"/>
      <c r="Z641" s="145"/>
      <c r="AX641" s="141" t="s">
        <v>230</v>
      </c>
      <c r="AY641" s="141">
        <v>2000</v>
      </c>
      <c r="AZ641" s="141">
        <v>109960919.14</v>
      </c>
      <c r="BA641" s="141">
        <v>138530961.75999999</v>
      </c>
      <c r="BB641" s="141">
        <v>138685956.18000001</v>
      </c>
      <c r="BC641" s="141">
        <v>138747352.08000001</v>
      </c>
      <c r="BD641" s="141">
        <v>138770762.12</v>
      </c>
      <c r="BE641" s="141">
        <v>138771609</v>
      </c>
      <c r="BF641" s="141">
        <v>138773994</v>
      </c>
      <c r="BG641" s="141">
        <v>138773994</v>
      </c>
      <c r="BH641" s="141">
        <v>138773994</v>
      </c>
      <c r="BI641" s="141">
        <v>138773994</v>
      </c>
      <c r="BJ641" s="141">
        <v>138773994</v>
      </c>
      <c r="BK641" s="141">
        <v>138773994</v>
      </c>
      <c r="BL641" s="141">
        <v>138773994</v>
      </c>
      <c r="BU641" s="141">
        <v>138773994</v>
      </c>
    </row>
    <row r="642" spans="1:73" ht="14.4" x14ac:dyDescent="0.3">
      <c r="A642" s="160" t="s">
        <v>230</v>
      </c>
      <c r="B642" s="161">
        <v>2004</v>
      </c>
      <c r="C642" s="161">
        <v>97567845.060000002</v>
      </c>
      <c r="D642" s="161">
        <v>116859678.59</v>
      </c>
      <c r="E642" s="161">
        <v>119069318.45</v>
      </c>
      <c r="F642" s="161">
        <v>119240061.16999999</v>
      </c>
      <c r="G642" s="161">
        <v>119255510.82000001</v>
      </c>
      <c r="H642" s="161">
        <v>119284826.00999999</v>
      </c>
      <c r="I642" s="161">
        <v>119284826.00999999</v>
      </c>
      <c r="J642" s="161">
        <v>119284826.00999999</v>
      </c>
      <c r="K642" s="161">
        <v>119284826.00999999</v>
      </c>
      <c r="L642" s="161">
        <v>119284826.00999999</v>
      </c>
      <c r="M642" s="161">
        <v>119284826.00999999</v>
      </c>
      <c r="N642" s="161">
        <v>119284826.00999999</v>
      </c>
      <c r="O642" s="149"/>
      <c r="P642" s="149"/>
      <c r="Q642" s="149"/>
      <c r="R642" s="149"/>
      <c r="S642" s="149"/>
      <c r="T642" s="149"/>
      <c r="U642" s="149"/>
      <c r="V642" s="149"/>
      <c r="W642" s="149"/>
      <c r="X642" s="161">
        <v>119284826.00999999</v>
      </c>
      <c r="Y642" s="145"/>
      <c r="Z642" s="145"/>
      <c r="AX642" s="141" t="s">
        <v>230</v>
      </c>
      <c r="AY642" s="141">
        <v>2001</v>
      </c>
      <c r="AZ642" s="141">
        <v>120804830.06</v>
      </c>
      <c r="BA642" s="141">
        <v>148112623.97999999</v>
      </c>
      <c r="BB642" s="141">
        <v>148355646.59</v>
      </c>
      <c r="BC642" s="141">
        <v>148408141.55000001</v>
      </c>
      <c r="BD642" s="141">
        <v>148409956</v>
      </c>
      <c r="BE642" s="141">
        <v>148411786.97</v>
      </c>
      <c r="BF642" s="141">
        <v>148412528.50999999</v>
      </c>
      <c r="BG642" s="141">
        <v>148412528.50999999</v>
      </c>
      <c r="BH642" s="141">
        <v>148412528.50999999</v>
      </c>
      <c r="BI642" s="141">
        <v>148412528.50999999</v>
      </c>
      <c r="BJ642" s="141">
        <v>148412528.50999999</v>
      </c>
      <c r="BK642" s="141">
        <v>148412528.50999999</v>
      </c>
      <c r="BU642" s="141">
        <v>148412528.50999999</v>
      </c>
    </row>
    <row r="643" spans="1:73" ht="14.4" x14ac:dyDescent="0.3">
      <c r="A643" s="160" t="s">
        <v>230</v>
      </c>
      <c r="B643" s="161">
        <v>2005</v>
      </c>
      <c r="C643" s="161">
        <v>78746831</v>
      </c>
      <c r="D643" s="161">
        <v>91675297.469999999</v>
      </c>
      <c r="E643" s="161">
        <v>93146618.590000004</v>
      </c>
      <c r="F643" s="161">
        <v>93168652.059999987</v>
      </c>
      <c r="G643" s="161">
        <v>93174318.659999996</v>
      </c>
      <c r="H643" s="161">
        <v>93174318.659999996</v>
      </c>
      <c r="I643" s="161">
        <v>93174318.659999996</v>
      </c>
      <c r="J643" s="161">
        <v>93174318.659999996</v>
      </c>
      <c r="K643" s="161">
        <v>93174318.659999996</v>
      </c>
      <c r="L643" s="161">
        <v>93174318.659999996</v>
      </c>
      <c r="M643" s="161">
        <v>93174318.659999996</v>
      </c>
      <c r="N643" s="149"/>
      <c r="O643" s="149"/>
      <c r="P643" s="149"/>
      <c r="Q643" s="149"/>
      <c r="R643" s="149"/>
      <c r="S643" s="149"/>
      <c r="T643" s="149"/>
      <c r="U643" s="149"/>
      <c r="V643" s="149"/>
      <c r="W643" s="149"/>
      <c r="X643" s="161">
        <v>93174318.659999996</v>
      </c>
      <c r="Y643" s="145"/>
      <c r="Z643" s="145"/>
      <c r="AX643" s="141" t="s">
        <v>230</v>
      </c>
      <c r="AY643" s="141">
        <v>2002</v>
      </c>
      <c r="AZ643" s="141">
        <v>118032023.36</v>
      </c>
      <c r="BA643" s="141">
        <v>144597683.84</v>
      </c>
      <c r="BB643" s="141">
        <v>144777979.22</v>
      </c>
      <c r="BC643" s="141">
        <v>144793195.40000001</v>
      </c>
      <c r="BD643" s="141">
        <v>144805617.81999999</v>
      </c>
      <c r="BE643" s="141">
        <v>144806793.66</v>
      </c>
      <c r="BF643" s="141">
        <v>144816793.66</v>
      </c>
      <c r="BG643" s="141">
        <v>144816793.66</v>
      </c>
      <c r="BH643" s="141">
        <v>144816793.66</v>
      </c>
      <c r="BI643" s="141">
        <v>144816793.66</v>
      </c>
      <c r="BJ643" s="141">
        <v>144816793.66</v>
      </c>
      <c r="BU643" s="141">
        <v>144816793.66</v>
      </c>
    </row>
    <row r="644" spans="1:73" ht="14.4" x14ac:dyDescent="0.3">
      <c r="A644" s="160" t="s">
        <v>230</v>
      </c>
      <c r="B644" s="161">
        <v>2006</v>
      </c>
      <c r="C644" s="161">
        <v>51970198.260000005</v>
      </c>
      <c r="D644" s="161">
        <v>62891662.380000003</v>
      </c>
      <c r="E644" s="161">
        <v>62980267.010000005</v>
      </c>
      <c r="F644" s="161">
        <v>62990616.189999998</v>
      </c>
      <c r="G644" s="161">
        <v>62996602.920000002</v>
      </c>
      <c r="H644" s="161">
        <v>62998979.269999996</v>
      </c>
      <c r="I644" s="161">
        <v>62998979.269999996</v>
      </c>
      <c r="J644" s="161">
        <v>62998979.269999996</v>
      </c>
      <c r="K644" s="161">
        <v>62998979.269999996</v>
      </c>
      <c r="L644" s="161">
        <v>62998979.269999996</v>
      </c>
      <c r="M644" s="149"/>
      <c r="N644" s="149"/>
      <c r="O644" s="149"/>
      <c r="P644" s="149"/>
      <c r="Q644" s="149"/>
      <c r="R644" s="149"/>
      <c r="S644" s="149"/>
      <c r="T644" s="149"/>
      <c r="U644" s="149"/>
      <c r="V644" s="149"/>
      <c r="W644" s="149"/>
      <c r="X644" s="161">
        <v>62998979.269999996</v>
      </c>
      <c r="Y644" s="145"/>
      <c r="Z644" s="145"/>
      <c r="AX644" s="141" t="s">
        <v>230</v>
      </c>
      <c r="AY644" s="141">
        <v>2003</v>
      </c>
      <c r="AZ644" s="141">
        <v>109719329.27</v>
      </c>
      <c r="BA644" s="141">
        <v>133079004.88</v>
      </c>
      <c r="BB644" s="141">
        <v>133226454.06999999</v>
      </c>
      <c r="BC644" s="141">
        <v>133274361.47</v>
      </c>
      <c r="BD644" s="141">
        <v>133284567.05</v>
      </c>
      <c r="BE644" s="141">
        <v>133286683</v>
      </c>
      <c r="BF644" s="141">
        <v>133286859.68000001</v>
      </c>
      <c r="BG644" s="141">
        <v>133286859.68000001</v>
      </c>
      <c r="BH644" s="141">
        <v>133286859.68000001</v>
      </c>
      <c r="BI644" s="141">
        <v>133286859.68000001</v>
      </c>
      <c r="BU644" s="141">
        <v>133286859.68000001</v>
      </c>
    </row>
    <row r="645" spans="1:73" ht="14.4" x14ac:dyDescent="0.3">
      <c r="A645" s="160" t="s">
        <v>230</v>
      </c>
      <c r="B645" s="161">
        <v>2007</v>
      </c>
      <c r="C645" s="161">
        <v>41620099.190000005</v>
      </c>
      <c r="D645" s="161">
        <v>48657148.710000001</v>
      </c>
      <c r="E645" s="161">
        <v>48773168.350000001</v>
      </c>
      <c r="F645" s="161">
        <v>48824089.509999998</v>
      </c>
      <c r="G645" s="161">
        <v>48836398.32</v>
      </c>
      <c r="H645" s="161">
        <v>48834465.630000003</v>
      </c>
      <c r="I645" s="161">
        <v>48837541.530000001</v>
      </c>
      <c r="J645" s="161">
        <v>48839181.219999999</v>
      </c>
      <c r="K645" s="161">
        <v>48842124.240000002</v>
      </c>
      <c r="L645" s="149"/>
      <c r="M645" s="149"/>
      <c r="N645" s="149"/>
      <c r="O645" s="149"/>
      <c r="P645" s="149"/>
      <c r="Q645" s="149"/>
      <c r="R645" s="149"/>
      <c r="S645" s="149"/>
      <c r="T645" s="149"/>
      <c r="U645" s="149"/>
      <c r="V645" s="149"/>
      <c r="W645" s="149"/>
      <c r="X645" s="161">
        <v>48842124.240000002</v>
      </c>
      <c r="Y645" s="145"/>
      <c r="Z645" s="145"/>
      <c r="AX645" s="141" t="s">
        <v>230</v>
      </c>
      <c r="AY645" s="141">
        <v>2004</v>
      </c>
      <c r="AZ645" s="141">
        <v>97567845.060000002</v>
      </c>
      <c r="BA645" s="141">
        <v>116859678.59</v>
      </c>
      <c r="BB645" s="141">
        <v>119069318.45</v>
      </c>
      <c r="BC645" s="141">
        <v>119240061.17</v>
      </c>
      <c r="BD645" s="141">
        <v>119255510.81999999</v>
      </c>
      <c r="BE645" s="141">
        <v>119284826.01000001</v>
      </c>
      <c r="BF645" s="141">
        <v>119284826.01000001</v>
      </c>
      <c r="BG645" s="141">
        <v>119284826.01000001</v>
      </c>
      <c r="BH645" s="141">
        <v>119284826.01000001</v>
      </c>
      <c r="BU645" s="141">
        <v>119284826.01000001</v>
      </c>
    </row>
    <row r="646" spans="1:73" ht="14.4" x14ac:dyDescent="0.3">
      <c r="A646" s="160" t="s">
        <v>230</v>
      </c>
      <c r="B646" s="161">
        <v>2008</v>
      </c>
      <c r="C646" s="161">
        <v>29021856.870000001</v>
      </c>
      <c r="D646" s="161">
        <v>35232936.859999999</v>
      </c>
      <c r="E646" s="161">
        <v>35335956.170000002</v>
      </c>
      <c r="F646" s="161">
        <v>35403610.859999999</v>
      </c>
      <c r="G646" s="161">
        <v>35408746.890000001</v>
      </c>
      <c r="H646" s="161">
        <v>35408746.890000001</v>
      </c>
      <c r="I646" s="161">
        <v>35415807.75</v>
      </c>
      <c r="J646" s="161">
        <v>35418627.969999999</v>
      </c>
      <c r="K646" s="149"/>
      <c r="L646" s="149"/>
      <c r="M646" s="149"/>
      <c r="N646" s="149"/>
      <c r="O646" s="149"/>
      <c r="P646" s="149"/>
      <c r="Q646" s="149"/>
      <c r="R646" s="149"/>
      <c r="S646" s="149"/>
      <c r="T646" s="149"/>
      <c r="U646" s="149"/>
      <c r="V646" s="149"/>
      <c r="W646" s="149"/>
      <c r="X646" s="161">
        <v>35418627.969999999</v>
      </c>
      <c r="Y646" s="145"/>
      <c r="Z646" s="145"/>
      <c r="AX646" s="141" t="s">
        <v>230</v>
      </c>
      <c r="AY646" s="141">
        <v>2005</v>
      </c>
      <c r="AZ646" s="141">
        <v>78746831</v>
      </c>
      <c r="BA646" s="141">
        <v>91675297.469999999</v>
      </c>
      <c r="BB646" s="141">
        <v>93146618.590000004</v>
      </c>
      <c r="BC646" s="141">
        <v>93168652.060000002</v>
      </c>
      <c r="BD646" s="141">
        <v>93174318.659999996</v>
      </c>
      <c r="BE646" s="141">
        <v>93174318.659999996</v>
      </c>
      <c r="BF646" s="141">
        <v>93174318.659999996</v>
      </c>
      <c r="BG646" s="141">
        <v>93174318.659999996</v>
      </c>
      <c r="BU646" s="141">
        <v>93174318.659999996</v>
      </c>
    </row>
    <row r="647" spans="1:73" ht="14.4" x14ac:dyDescent="0.3">
      <c r="A647" s="160" t="s">
        <v>230</v>
      </c>
      <c r="B647" s="161">
        <v>2009</v>
      </c>
      <c r="C647" s="161">
        <v>23337870.620000001</v>
      </c>
      <c r="D647" s="161">
        <v>27424359.43</v>
      </c>
      <c r="E647" s="161">
        <v>27525296.710000001</v>
      </c>
      <c r="F647" s="161">
        <v>27530350.23</v>
      </c>
      <c r="G647" s="161">
        <v>27533207.129999999</v>
      </c>
      <c r="H647" s="161">
        <v>27533207.129999999</v>
      </c>
      <c r="I647" s="161">
        <v>27533712.050000001</v>
      </c>
      <c r="J647" s="149"/>
      <c r="K647" s="149"/>
      <c r="L647" s="149"/>
      <c r="M647" s="149"/>
      <c r="N647" s="149"/>
      <c r="O647" s="149"/>
      <c r="P647" s="149"/>
      <c r="Q647" s="149"/>
      <c r="R647" s="149"/>
      <c r="S647" s="149"/>
      <c r="T647" s="149"/>
      <c r="U647" s="149"/>
      <c r="V647" s="149"/>
      <c r="W647" s="149"/>
      <c r="X647" s="161">
        <v>27533712.050000001</v>
      </c>
      <c r="Y647" s="145"/>
      <c r="Z647" s="145"/>
      <c r="AX647" s="141" t="s">
        <v>230</v>
      </c>
      <c r="AY647" s="141">
        <v>2006</v>
      </c>
      <c r="AZ647" s="141">
        <v>51970198.259999998</v>
      </c>
      <c r="BA647" s="141">
        <v>62891662.380000003</v>
      </c>
      <c r="BB647" s="141">
        <v>62980267.009999998</v>
      </c>
      <c r="BC647" s="141">
        <v>62990616.189999998</v>
      </c>
      <c r="BD647" s="141">
        <v>62996602.920000002</v>
      </c>
      <c r="BE647" s="141">
        <v>62998979.270000003</v>
      </c>
      <c r="BF647" s="141">
        <v>62998979.270000003</v>
      </c>
      <c r="BU647" s="141">
        <v>62998979.270000003</v>
      </c>
    </row>
    <row r="648" spans="1:73" ht="14.4" x14ac:dyDescent="0.3">
      <c r="A648" s="160" t="s">
        <v>230</v>
      </c>
      <c r="B648" s="161">
        <v>2010</v>
      </c>
      <c r="C648" s="161">
        <v>15957197.83</v>
      </c>
      <c r="D648" s="161">
        <v>18964767.759999998</v>
      </c>
      <c r="E648" s="161">
        <v>19007075.599999998</v>
      </c>
      <c r="F648" s="161">
        <v>19007075.599999998</v>
      </c>
      <c r="G648" s="161">
        <v>19008344.879999999</v>
      </c>
      <c r="H648" s="161">
        <v>19008344.879999999</v>
      </c>
      <c r="I648" s="149"/>
      <c r="J648" s="149"/>
      <c r="K648" s="149"/>
      <c r="L648" s="149"/>
      <c r="M648" s="149"/>
      <c r="N648" s="149"/>
      <c r="O648" s="149"/>
      <c r="P648" s="149"/>
      <c r="Q648" s="149"/>
      <c r="R648" s="149"/>
      <c r="S648" s="149"/>
      <c r="T648" s="149"/>
      <c r="U648" s="149"/>
      <c r="V648" s="149"/>
      <c r="W648" s="149"/>
      <c r="X648" s="161">
        <v>19008344.879999999</v>
      </c>
      <c r="Y648" s="145"/>
      <c r="Z648" s="145"/>
      <c r="AX648" s="141" t="s">
        <v>230</v>
      </c>
      <c r="AY648" s="141">
        <v>2007</v>
      </c>
      <c r="AZ648" s="141">
        <v>41620099.189999998</v>
      </c>
      <c r="BA648" s="141">
        <v>48657148.710000001</v>
      </c>
      <c r="BB648" s="141">
        <v>48773168.350000001</v>
      </c>
      <c r="BC648" s="141">
        <v>48824089.509999998</v>
      </c>
      <c r="BD648" s="141">
        <v>48836398.32</v>
      </c>
      <c r="BE648" s="141">
        <v>48834465.630000003</v>
      </c>
      <c r="BU648" s="141">
        <v>48834465.630000003</v>
      </c>
    </row>
    <row r="649" spans="1:73" ht="14.4" x14ac:dyDescent="0.3">
      <c r="A649" s="160" t="s">
        <v>230</v>
      </c>
      <c r="B649" s="161">
        <v>2011</v>
      </c>
      <c r="C649" s="161">
        <v>13290929.710000001</v>
      </c>
      <c r="D649" s="161">
        <v>15846227.68</v>
      </c>
      <c r="E649" s="161">
        <v>15864761.809999999</v>
      </c>
      <c r="F649" s="161">
        <v>15869129.960000001</v>
      </c>
      <c r="G649" s="161">
        <v>15873446.870000001</v>
      </c>
      <c r="H649" s="149"/>
      <c r="I649" s="149"/>
      <c r="J649" s="149"/>
      <c r="K649" s="149"/>
      <c r="L649" s="149"/>
      <c r="M649" s="149"/>
      <c r="N649" s="149"/>
      <c r="O649" s="149"/>
      <c r="P649" s="149"/>
      <c r="Q649" s="149"/>
      <c r="R649" s="149"/>
      <c r="S649" s="149"/>
      <c r="T649" s="149"/>
      <c r="U649" s="149"/>
      <c r="V649" s="149"/>
      <c r="W649" s="149"/>
      <c r="X649" s="161">
        <v>15873446.870000001</v>
      </c>
      <c r="Y649" s="145"/>
      <c r="Z649" s="145"/>
      <c r="AX649" s="141" t="s">
        <v>230</v>
      </c>
      <c r="AY649" s="141">
        <v>2008</v>
      </c>
      <c r="AZ649" s="141">
        <v>29021856.870000001</v>
      </c>
      <c r="BA649" s="141">
        <v>35232936.859999999</v>
      </c>
      <c r="BB649" s="141">
        <v>35335956.170000002</v>
      </c>
      <c r="BC649" s="141">
        <v>35403610.859999999</v>
      </c>
      <c r="BD649" s="141">
        <v>35408746.890000001</v>
      </c>
      <c r="BU649" s="141">
        <v>35408746.890000001</v>
      </c>
    </row>
    <row r="650" spans="1:73" ht="14.4" x14ac:dyDescent="0.3">
      <c r="A650" s="160" t="s">
        <v>230</v>
      </c>
      <c r="B650" s="161">
        <v>2012</v>
      </c>
      <c r="C650" s="161">
        <v>14298906.170000002</v>
      </c>
      <c r="D650" s="161">
        <v>19292348.020000003</v>
      </c>
      <c r="E650" s="161">
        <v>19316360.630000003</v>
      </c>
      <c r="F650" s="161">
        <v>19320902.020000003</v>
      </c>
      <c r="G650" s="149"/>
      <c r="H650" s="149"/>
      <c r="I650" s="149"/>
      <c r="J650" s="149"/>
      <c r="K650" s="149"/>
      <c r="L650" s="149"/>
      <c r="M650" s="149"/>
      <c r="N650" s="149"/>
      <c r="O650" s="149"/>
      <c r="P650" s="149"/>
      <c r="Q650" s="149"/>
      <c r="R650" s="149"/>
      <c r="S650" s="149"/>
      <c r="T650" s="149"/>
      <c r="U650" s="149"/>
      <c r="V650" s="149"/>
      <c r="W650" s="149"/>
      <c r="X650" s="161">
        <v>19320902.020000003</v>
      </c>
      <c r="Y650" s="145"/>
      <c r="Z650" s="145"/>
      <c r="AX650" s="141" t="s">
        <v>230</v>
      </c>
      <c r="AY650" s="141">
        <v>2009</v>
      </c>
      <c r="AZ650" s="141">
        <v>23337870.620000001</v>
      </c>
      <c r="BA650" s="141">
        <v>27424359.43</v>
      </c>
      <c r="BB650" s="141">
        <v>27525296.710000001</v>
      </c>
      <c r="BC650" s="141">
        <v>27530350.23</v>
      </c>
      <c r="BU650" s="141">
        <v>27530350.23</v>
      </c>
    </row>
    <row r="651" spans="1:73" ht="14.4" x14ac:dyDescent="0.3">
      <c r="A651" s="160" t="s">
        <v>230</v>
      </c>
      <c r="B651" s="161">
        <v>2013</v>
      </c>
      <c r="C651" s="161">
        <v>16157677.669999998</v>
      </c>
      <c r="D651" s="161">
        <v>21660475.73</v>
      </c>
      <c r="E651" s="161">
        <v>21723993.5</v>
      </c>
      <c r="F651" s="149"/>
      <c r="G651" s="149"/>
      <c r="H651" s="149"/>
      <c r="I651" s="149"/>
      <c r="J651" s="149"/>
      <c r="K651" s="149"/>
      <c r="L651" s="149"/>
      <c r="M651" s="149"/>
      <c r="N651" s="149"/>
      <c r="O651" s="149"/>
      <c r="P651" s="149"/>
      <c r="Q651" s="149"/>
      <c r="R651" s="149"/>
      <c r="S651" s="149"/>
      <c r="T651" s="149"/>
      <c r="U651" s="149"/>
      <c r="V651" s="149"/>
      <c r="W651" s="149"/>
      <c r="X651" s="161">
        <v>21723993.5</v>
      </c>
      <c r="Y651" s="145"/>
      <c r="Z651" s="145"/>
      <c r="AX651" s="141" t="s">
        <v>230</v>
      </c>
      <c r="AY651" s="141">
        <v>2010</v>
      </c>
      <c r="AZ651" s="141">
        <v>15957197.83</v>
      </c>
      <c r="BA651" s="141">
        <v>18964767.760000002</v>
      </c>
      <c r="BB651" s="141">
        <v>19007075.600000001</v>
      </c>
      <c r="BU651" s="141">
        <v>19007075.600000001</v>
      </c>
    </row>
    <row r="652" spans="1:73" ht="14.4" x14ac:dyDescent="0.3">
      <c r="A652" s="160" t="s">
        <v>230</v>
      </c>
      <c r="B652" s="161">
        <v>2014</v>
      </c>
      <c r="C652" s="161">
        <v>17393262.999999996</v>
      </c>
      <c r="D652" s="161">
        <v>23595632.710000005</v>
      </c>
      <c r="E652" s="149"/>
      <c r="F652" s="149"/>
      <c r="G652" s="149"/>
      <c r="H652" s="149"/>
      <c r="I652" s="149"/>
      <c r="J652" s="149"/>
      <c r="K652" s="149"/>
      <c r="L652" s="149"/>
      <c r="M652" s="149"/>
      <c r="N652" s="149"/>
      <c r="O652" s="149"/>
      <c r="P652" s="149"/>
      <c r="Q652" s="149"/>
      <c r="R652" s="149"/>
      <c r="S652" s="149"/>
      <c r="T652" s="149"/>
      <c r="U652" s="149"/>
      <c r="V652" s="149"/>
      <c r="W652" s="149"/>
      <c r="X652" s="161">
        <v>23595632.710000005</v>
      </c>
      <c r="Y652" s="145"/>
      <c r="Z652" s="145"/>
      <c r="AX652" s="141" t="s">
        <v>230</v>
      </c>
      <c r="AY652" s="141">
        <v>2011</v>
      </c>
      <c r="AZ652" s="141">
        <v>13290929.710000001</v>
      </c>
      <c r="BA652" s="141">
        <v>15846227.68</v>
      </c>
      <c r="BU652" s="141">
        <v>15846227.68</v>
      </c>
    </row>
    <row r="653" spans="1:73" ht="14.4" x14ac:dyDescent="0.3">
      <c r="A653" s="160" t="s">
        <v>230</v>
      </c>
      <c r="B653" s="161">
        <v>2015</v>
      </c>
      <c r="C653" s="161">
        <v>17279069.959999993</v>
      </c>
      <c r="D653" s="149"/>
      <c r="E653" s="149"/>
      <c r="F653" s="149"/>
      <c r="G653" s="149"/>
      <c r="H653" s="149"/>
      <c r="I653" s="149"/>
      <c r="J653" s="149"/>
      <c r="K653" s="149"/>
      <c r="L653" s="149"/>
      <c r="M653" s="149"/>
      <c r="N653" s="149"/>
      <c r="O653" s="149"/>
      <c r="P653" s="149"/>
      <c r="Q653" s="149"/>
      <c r="R653" s="149"/>
      <c r="S653" s="149"/>
      <c r="T653" s="149"/>
      <c r="U653" s="149"/>
      <c r="V653" s="149"/>
      <c r="W653" s="149"/>
      <c r="X653" s="161">
        <v>17279069.959999993</v>
      </c>
      <c r="Y653" s="145"/>
      <c r="Z653" s="145"/>
      <c r="AX653" s="141" t="s">
        <v>230</v>
      </c>
      <c r="AY653" s="141">
        <v>2012</v>
      </c>
      <c r="AZ653" s="141">
        <v>14298906.17</v>
      </c>
      <c r="BU653" s="141">
        <v>14298906.17</v>
      </c>
    </row>
    <row r="654" spans="1:73" ht="14.4" x14ac:dyDescent="0.3">
      <c r="A654" s="160" t="s">
        <v>6</v>
      </c>
      <c r="B654" s="161">
        <v>1995</v>
      </c>
      <c r="C654" s="161">
        <v>543795.72000000009</v>
      </c>
      <c r="D654" s="161">
        <v>11207340.560000001</v>
      </c>
      <c r="E654" s="161">
        <v>15463548.58</v>
      </c>
      <c r="F654" s="161">
        <v>10941247.810000001</v>
      </c>
      <c r="G654" s="161">
        <v>9892940.9100000001</v>
      </c>
      <c r="H654" s="161">
        <v>10185674.200000001</v>
      </c>
      <c r="I654" s="161">
        <v>10297590.01</v>
      </c>
      <c r="J654" s="161">
        <v>10557215.84</v>
      </c>
      <c r="K654" s="161">
        <v>10612460.369999999</v>
      </c>
      <c r="L654" s="161">
        <v>10250544.189999999</v>
      </c>
      <c r="M654" s="161">
        <v>10039715.68</v>
      </c>
      <c r="N654" s="161">
        <v>10078598.34</v>
      </c>
      <c r="O654" s="161">
        <v>10079233.1</v>
      </c>
      <c r="P654" s="161">
        <v>10087281.130000001</v>
      </c>
      <c r="Q654" s="161">
        <v>10084688.65</v>
      </c>
      <c r="R654" s="161">
        <v>10090296.949999999</v>
      </c>
      <c r="S654" s="161">
        <v>10116998.699999999</v>
      </c>
      <c r="T654" s="161">
        <v>10124229.16</v>
      </c>
      <c r="U654" s="161">
        <v>10119912.09</v>
      </c>
      <c r="V654" s="161">
        <v>10119912.09</v>
      </c>
      <c r="W654" s="161">
        <v>10119912.09</v>
      </c>
      <c r="X654" s="161">
        <v>10119912.09</v>
      </c>
      <c r="Y654" s="145"/>
      <c r="Z654" s="145"/>
      <c r="AX654" s="141" t="s">
        <v>6</v>
      </c>
      <c r="AY654" s="141">
        <v>1992</v>
      </c>
      <c r="AZ654" s="141">
        <v>285951641.33999997</v>
      </c>
      <c r="BA654" s="141">
        <v>309040749.42000002</v>
      </c>
      <c r="BB654" s="141">
        <v>339035878.24000001</v>
      </c>
      <c r="BC654" s="141">
        <v>347093837.33999997</v>
      </c>
      <c r="BD654" s="141">
        <v>353091872.05000001</v>
      </c>
      <c r="BE654" s="141">
        <v>345847974.63999999</v>
      </c>
      <c r="BF654" s="141">
        <v>347823750.82999998</v>
      </c>
      <c r="BG654" s="141">
        <v>348342951.51999998</v>
      </c>
      <c r="BH654" s="141">
        <v>350159049.89999998</v>
      </c>
      <c r="BI654" s="141">
        <v>350182316.45999998</v>
      </c>
      <c r="BJ654" s="141">
        <v>351177316.63999999</v>
      </c>
      <c r="BK654" s="141">
        <v>352641588.56</v>
      </c>
      <c r="BL654" s="141">
        <v>354908541.94</v>
      </c>
      <c r="BM654" s="141">
        <v>355814483.37</v>
      </c>
      <c r="BN654" s="141">
        <v>355089912.68000001</v>
      </c>
      <c r="BO654" s="141">
        <v>356314695.99000001</v>
      </c>
      <c r="BP654" s="141">
        <v>355811897.37</v>
      </c>
      <c r="BQ654" s="141">
        <v>357574873.75</v>
      </c>
      <c r="BR654" s="141">
        <v>357373930.05000001</v>
      </c>
      <c r="BS654" s="141">
        <v>357981545.73000002</v>
      </c>
      <c r="BT654" s="141">
        <v>358214993.12</v>
      </c>
      <c r="BU654" s="141">
        <v>358214993.12</v>
      </c>
    </row>
    <row r="655" spans="1:73" ht="14.4" x14ac:dyDescent="0.3">
      <c r="A655" s="160" t="s">
        <v>6</v>
      </c>
      <c r="B655" s="161">
        <v>1996</v>
      </c>
      <c r="C655" s="161">
        <v>6092869.6399999997</v>
      </c>
      <c r="D655" s="161">
        <v>10152264.32</v>
      </c>
      <c r="E655" s="161">
        <v>12816364.640000001</v>
      </c>
      <c r="F655" s="161">
        <v>13479012.560000001</v>
      </c>
      <c r="G655" s="161">
        <v>13773094.129999999</v>
      </c>
      <c r="H655" s="161">
        <v>14246696.640000001</v>
      </c>
      <c r="I655" s="161">
        <v>14059621.15</v>
      </c>
      <c r="J655" s="161">
        <v>14756963</v>
      </c>
      <c r="K655" s="161">
        <v>14872103.93</v>
      </c>
      <c r="L655" s="161">
        <v>14792975.91</v>
      </c>
      <c r="M655" s="161">
        <v>14807795.300000001</v>
      </c>
      <c r="N655" s="161">
        <v>14131187.23</v>
      </c>
      <c r="O655" s="161">
        <v>13982306.219999999</v>
      </c>
      <c r="P655" s="161">
        <v>13805059.119999999</v>
      </c>
      <c r="Q655" s="161">
        <v>13850400.350000001</v>
      </c>
      <c r="R655" s="161">
        <v>13887235.930000002</v>
      </c>
      <c r="S655" s="161">
        <v>13954970.889999999</v>
      </c>
      <c r="T655" s="161">
        <v>13908488.49</v>
      </c>
      <c r="U655" s="161">
        <v>13909139.49</v>
      </c>
      <c r="V655" s="161">
        <v>13943694.99</v>
      </c>
      <c r="W655" s="149"/>
      <c r="X655" s="161">
        <v>13943694.99</v>
      </c>
      <c r="Y655" s="145"/>
      <c r="Z655" s="145"/>
      <c r="AX655" s="141" t="s">
        <v>6</v>
      </c>
      <c r="AY655" s="141">
        <v>1993</v>
      </c>
      <c r="AZ655" s="141">
        <v>2984895.48</v>
      </c>
      <c r="BA655" s="141">
        <v>35157305.590000004</v>
      </c>
      <c r="BB655" s="141">
        <v>39155432.829999998</v>
      </c>
      <c r="BC655" s="141">
        <v>44573300.649999999</v>
      </c>
      <c r="BD655" s="141">
        <v>37086974.880000003</v>
      </c>
      <c r="BE655" s="141">
        <v>40997326.369999997</v>
      </c>
      <c r="BF655" s="141">
        <v>38870110.850000001</v>
      </c>
      <c r="BG655" s="141">
        <v>39234041.649999999</v>
      </c>
      <c r="BH655" s="141">
        <v>39310140.359999999</v>
      </c>
      <c r="BI655" s="141">
        <v>39036344.460000001</v>
      </c>
      <c r="BJ655" s="141">
        <v>40102744.759999998</v>
      </c>
      <c r="BK655" s="141">
        <v>40156783.950000003</v>
      </c>
      <c r="BL655" s="141">
        <v>40236310.899999999</v>
      </c>
      <c r="BM655" s="141">
        <v>39812790.25</v>
      </c>
      <c r="BN655" s="141">
        <v>39629225.479999997</v>
      </c>
      <c r="BO655" s="141">
        <v>39649521.329999998</v>
      </c>
      <c r="BP655" s="141">
        <v>39649521.329999998</v>
      </c>
      <c r="BQ655" s="141">
        <v>39709521.329999998</v>
      </c>
      <c r="BR655" s="141">
        <v>39685169.200000003</v>
      </c>
      <c r="BS655" s="141">
        <v>39685169.200000003</v>
      </c>
      <c r="BU655" s="141">
        <v>39685169.200000003</v>
      </c>
    </row>
    <row r="656" spans="1:73" ht="14.4" x14ac:dyDescent="0.3">
      <c r="A656" s="160" t="s">
        <v>6</v>
      </c>
      <c r="B656" s="161">
        <v>1997</v>
      </c>
      <c r="C656" s="161">
        <v>4682831.25</v>
      </c>
      <c r="D656" s="161">
        <v>7569616.4000000004</v>
      </c>
      <c r="E656" s="161">
        <v>9021767.6500000004</v>
      </c>
      <c r="F656" s="161">
        <v>9156666.2599999998</v>
      </c>
      <c r="G656" s="161">
        <v>9607223.9299999997</v>
      </c>
      <c r="H656" s="161">
        <v>10150830.599999998</v>
      </c>
      <c r="I656" s="161">
        <v>9503680.0300000012</v>
      </c>
      <c r="J656" s="161">
        <v>9530221.9199999981</v>
      </c>
      <c r="K656" s="161">
        <v>9552758.1999999974</v>
      </c>
      <c r="L656" s="161">
        <v>9058345.629999999</v>
      </c>
      <c r="M656" s="161">
        <v>9046456.3999999966</v>
      </c>
      <c r="N656" s="161">
        <v>9047806.7999999989</v>
      </c>
      <c r="O656" s="161">
        <v>8990144.3900000006</v>
      </c>
      <c r="P656" s="161">
        <v>8919164.9699999988</v>
      </c>
      <c r="Q656" s="161">
        <v>8736696.1399999987</v>
      </c>
      <c r="R656" s="161">
        <v>8740441.8899999987</v>
      </c>
      <c r="S656" s="161">
        <v>8290413.209999999</v>
      </c>
      <c r="T656" s="161">
        <v>8290413.209999999</v>
      </c>
      <c r="U656" s="161">
        <v>8290413.209999999</v>
      </c>
      <c r="V656" s="149"/>
      <c r="W656" s="149"/>
      <c r="X656" s="161">
        <v>8290413.209999999</v>
      </c>
      <c r="Y656" s="145"/>
      <c r="Z656" s="145"/>
      <c r="AX656" s="141" t="s">
        <v>6</v>
      </c>
      <c r="AY656" s="141">
        <v>1994</v>
      </c>
      <c r="AZ656" s="141">
        <v>977005.85</v>
      </c>
      <c r="BA656" s="141">
        <v>18424700.190000001</v>
      </c>
      <c r="BB656" s="141">
        <v>29469921.760000002</v>
      </c>
      <c r="BC656" s="141">
        <v>34708137.82</v>
      </c>
      <c r="BD656" s="141">
        <v>35557713.380000003</v>
      </c>
      <c r="BE656" s="141">
        <v>36712194.789999999</v>
      </c>
      <c r="BF656" s="141">
        <v>41995565.969999999</v>
      </c>
      <c r="BG656" s="141">
        <v>41763088.25</v>
      </c>
      <c r="BH656" s="141">
        <v>42357502.399999999</v>
      </c>
      <c r="BI656" s="141">
        <v>41211883.090000004</v>
      </c>
      <c r="BJ656" s="141">
        <v>41252727.469999999</v>
      </c>
      <c r="BK656" s="141">
        <v>41257546.770000003</v>
      </c>
      <c r="BL656" s="141">
        <v>41719686.799999997</v>
      </c>
      <c r="BM656" s="141">
        <v>41727259.189999998</v>
      </c>
      <c r="BN656" s="141">
        <v>41784437.859999999</v>
      </c>
      <c r="BO656" s="141">
        <v>41797693.420000002</v>
      </c>
      <c r="BP656" s="141">
        <v>41802646.159999996</v>
      </c>
      <c r="BQ656" s="141">
        <v>41805056.240000002</v>
      </c>
      <c r="BR656" s="141">
        <v>41819941.490000002</v>
      </c>
      <c r="BU656" s="141">
        <v>41819941.490000002</v>
      </c>
    </row>
    <row r="657" spans="1:73" ht="14.4" x14ac:dyDescent="0.3">
      <c r="A657" s="160" t="s">
        <v>6</v>
      </c>
      <c r="B657" s="161">
        <v>1998</v>
      </c>
      <c r="C657" s="161">
        <v>-246869.5700000003</v>
      </c>
      <c r="D657" s="161">
        <v>-829197.91000000387</v>
      </c>
      <c r="E657" s="161">
        <v>-1137076.0900000036</v>
      </c>
      <c r="F657" s="161">
        <v>-1337301.0200000033</v>
      </c>
      <c r="G657" s="161">
        <v>-1461109.799999997</v>
      </c>
      <c r="H657" s="161">
        <v>-1855448.8399999999</v>
      </c>
      <c r="I657" s="161">
        <v>-1916193.6900000013</v>
      </c>
      <c r="J657" s="161">
        <v>-1965581.7399999984</v>
      </c>
      <c r="K657" s="161">
        <v>-2003593.9100000001</v>
      </c>
      <c r="L657" s="161">
        <v>-2017502.320000004</v>
      </c>
      <c r="M657" s="161">
        <v>-2022817.3500000015</v>
      </c>
      <c r="N657" s="161">
        <v>-2024311.8000000007</v>
      </c>
      <c r="O657" s="161">
        <v>-2066197.6999999955</v>
      </c>
      <c r="P657" s="161">
        <v>-2066197.6999999993</v>
      </c>
      <c r="Q657" s="161">
        <v>-2057449.0299999975</v>
      </c>
      <c r="R657" s="161">
        <v>-1971596.5599999987</v>
      </c>
      <c r="S657" s="161">
        <v>-1848638.0299999975</v>
      </c>
      <c r="T657" s="161">
        <v>-511637.8200000003</v>
      </c>
      <c r="U657" s="149"/>
      <c r="V657" s="149"/>
      <c r="W657" s="149"/>
      <c r="X657" s="161">
        <v>-511637.8200000003</v>
      </c>
      <c r="Y657" s="145"/>
      <c r="Z657" s="145"/>
      <c r="AX657" s="141" t="s">
        <v>6</v>
      </c>
      <c r="AY657" s="141">
        <v>1995</v>
      </c>
      <c r="AZ657" s="141">
        <v>543795.72</v>
      </c>
      <c r="BA657" s="141">
        <v>11207340.560000001</v>
      </c>
      <c r="BB657" s="141">
        <v>15463548.58</v>
      </c>
      <c r="BC657" s="141">
        <v>10941247.810000001</v>
      </c>
      <c r="BD657" s="141">
        <v>9892940.9100000001</v>
      </c>
      <c r="BE657" s="141">
        <v>10185674.199999999</v>
      </c>
      <c r="BF657" s="141">
        <v>10297590.01</v>
      </c>
      <c r="BG657" s="141">
        <v>10557215.84</v>
      </c>
      <c r="BH657" s="141">
        <v>10612460.369999999</v>
      </c>
      <c r="BI657" s="141">
        <v>10250544.189999999</v>
      </c>
      <c r="BJ657" s="141">
        <v>10039715.68</v>
      </c>
      <c r="BK657" s="141">
        <v>10078598.34</v>
      </c>
      <c r="BL657" s="141">
        <v>10079233.1</v>
      </c>
      <c r="BM657" s="141">
        <v>10087281.130000001</v>
      </c>
      <c r="BN657" s="141">
        <v>10084688.65</v>
      </c>
      <c r="BO657" s="141">
        <v>10090296.949999999</v>
      </c>
      <c r="BP657" s="141">
        <v>10116998.699999999</v>
      </c>
      <c r="BQ657" s="141">
        <v>10124229.16</v>
      </c>
      <c r="BU657" s="141">
        <v>10124229.16</v>
      </c>
    </row>
    <row r="658" spans="1:73" ht="14.4" x14ac:dyDescent="0.3">
      <c r="A658" s="160" t="s">
        <v>6</v>
      </c>
      <c r="B658" s="161">
        <v>1999</v>
      </c>
      <c r="C658" s="161">
        <v>-34369.540000000969</v>
      </c>
      <c r="D658" s="161">
        <v>-494020.95000000298</v>
      </c>
      <c r="E658" s="161">
        <v>-864789.6400000006</v>
      </c>
      <c r="F658" s="161">
        <v>-1096549.5</v>
      </c>
      <c r="G658" s="161">
        <v>-1219876.1199999973</v>
      </c>
      <c r="H658" s="161">
        <v>-1246898.5399999991</v>
      </c>
      <c r="I658" s="161">
        <v>-1258902.7199999988</v>
      </c>
      <c r="J658" s="161">
        <v>-1292000.1799999997</v>
      </c>
      <c r="K658" s="161">
        <v>-1293407.6400000006</v>
      </c>
      <c r="L658" s="161">
        <v>-1306775.9300000072</v>
      </c>
      <c r="M658" s="161">
        <v>-1329676.5400000066</v>
      </c>
      <c r="N658" s="161">
        <v>-1329834.0300000012</v>
      </c>
      <c r="O658" s="161">
        <v>-1329834.0300000012</v>
      </c>
      <c r="P658" s="161">
        <v>-2941366.7599999905</v>
      </c>
      <c r="Q658" s="161">
        <v>-3929234.2599999905</v>
      </c>
      <c r="R658" s="161">
        <v>-4114374.4600000083</v>
      </c>
      <c r="S658" s="161">
        <v>-20630532.460000008</v>
      </c>
      <c r="T658" s="149"/>
      <c r="U658" s="149"/>
      <c r="V658" s="149"/>
      <c r="W658" s="149"/>
      <c r="X658" s="161">
        <v>-20630532.460000008</v>
      </c>
      <c r="Y658" s="145"/>
      <c r="Z658" s="145"/>
      <c r="AX658" s="141" t="s">
        <v>6</v>
      </c>
      <c r="AY658" s="141">
        <v>1996</v>
      </c>
      <c r="AZ658" s="141">
        <v>6092869.6399999997</v>
      </c>
      <c r="BA658" s="141">
        <v>10152264.32</v>
      </c>
      <c r="BB658" s="141">
        <v>12816364.640000001</v>
      </c>
      <c r="BC658" s="141">
        <v>13479012.560000001</v>
      </c>
      <c r="BD658" s="141">
        <v>13773094.130000001</v>
      </c>
      <c r="BE658" s="141">
        <v>14246696.640000001</v>
      </c>
      <c r="BF658" s="141">
        <v>14059621.15</v>
      </c>
      <c r="BG658" s="141">
        <v>14756963</v>
      </c>
      <c r="BH658" s="141">
        <v>14872103.93</v>
      </c>
      <c r="BI658" s="141">
        <v>14792975.91</v>
      </c>
      <c r="BJ658" s="141">
        <v>14807795.300000001</v>
      </c>
      <c r="BK658" s="141">
        <v>14131187.23</v>
      </c>
      <c r="BL658" s="141">
        <v>13982306.220000001</v>
      </c>
      <c r="BM658" s="141">
        <v>13805059.119999999</v>
      </c>
      <c r="BN658" s="141">
        <v>13850400.35</v>
      </c>
      <c r="BO658" s="141">
        <v>13887235.93</v>
      </c>
      <c r="BP658" s="141">
        <v>13954970.890000001</v>
      </c>
      <c r="BU658" s="141">
        <v>13954970.890000001</v>
      </c>
    </row>
    <row r="659" spans="1:73" ht="14.4" x14ac:dyDescent="0.3">
      <c r="A659" s="160" t="s">
        <v>6</v>
      </c>
      <c r="B659" s="161">
        <v>2000</v>
      </c>
      <c r="C659" s="161">
        <v>-127956.8900000006</v>
      </c>
      <c r="D659" s="161">
        <v>-1008992.9600000009</v>
      </c>
      <c r="E659" s="161">
        <v>-3240684.4899999946</v>
      </c>
      <c r="F659" s="161">
        <v>-4216352.3200000077</v>
      </c>
      <c r="G659" s="161">
        <v>-4303505.1099999994</v>
      </c>
      <c r="H659" s="161">
        <v>-4517304.1300000101</v>
      </c>
      <c r="I659" s="161">
        <v>-4678363.0199999958</v>
      </c>
      <c r="J659" s="161">
        <v>-4726181.3900000006</v>
      </c>
      <c r="K659" s="161">
        <v>-4745504.4300000072</v>
      </c>
      <c r="L659" s="161">
        <v>-4766027.3999999911</v>
      </c>
      <c r="M659" s="161">
        <v>-4775729.0399999917</v>
      </c>
      <c r="N659" s="161">
        <v>-4803542.2900000066</v>
      </c>
      <c r="O659" s="161">
        <v>-4877872.7699999958</v>
      </c>
      <c r="P659" s="161">
        <v>-5780021.0699999928</v>
      </c>
      <c r="Q659" s="161">
        <v>-5784203.3800000101</v>
      </c>
      <c r="R659" s="161">
        <v>-5779650.4800000042</v>
      </c>
      <c r="S659" s="149"/>
      <c r="T659" s="149"/>
      <c r="U659" s="149"/>
      <c r="V659" s="149"/>
      <c r="W659" s="149"/>
      <c r="X659" s="161">
        <v>-5779650.4800000042</v>
      </c>
      <c r="Y659" s="145"/>
      <c r="Z659" s="145"/>
      <c r="AX659" s="141" t="s">
        <v>6</v>
      </c>
      <c r="AY659" s="141">
        <v>1997</v>
      </c>
      <c r="AZ659" s="141">
        <v>4682831.25</v>
      </c>
      <c r="BA659" s="141">
        <v>7569616.4000000004</v>
      </c>
      <c r="BB659" s="141">
        <v>9021767.6500000004</v>
      </c>
      <c r="BC659" s="141">
        <v>9156666.2599999998</v>
      </c>
      <c r="BD659" s="141">
        <v>9607223.9299999997</v>
      </c>
      <c r="BE659" s="141">
        <v>10150830.6</v>
      </c>
      <c r="BF659" s="141">
        <v>9503680.0299999993</v>
      </c>
      <c r="BG659" s="141">
        <v>9530221.9199999999</v>
      </c>
      <c r="BH659" s="141">
        <v>9552758.1999999993</v>
      </c>
      <c r="BI659" s="141">
        <v>9058345.6300000008</v>
      </c>
      <c r="BJ659" s="141">
        <v>9046456.4000000004</v>
      </c>
      <c r="BK659" s="141">
        <v>9047806.8000000007</v>
      </c>
      <c r="BL659" s="141">
        <v>8990144.3900000006</v>
      </c>
      <c r="BM659" s="141">
        <v>8919164.9700000007</v>
      </c>
      <c r="BN659" s="141">
        <v>8736696.1400000006</v>
      </c>
      <c r="BO659" s="141">
        <v>8740441.8900000006</v>
      </c>
      <c r="BU659" s="141">
        <v>8740441.8900000006</v>
      </c>
    </row>
    <row r="660" spans="1:73" ht="14.4" x14ac:dyDescent="0.3">
      <c r="A660" s="160" t="s">
        <v>6</v>
      </c>
      <c r="B660" s="161">
        <v>2001</v>
      </c>
      <c r="C660" s="161">
        <v>-223100.51000000164</v>
      </c>
      <c r="D660" s="161">
        <v>-698671.02000000328</v>
      </c>
      <c r="E660" s="161">
        <v>-971641.31000000238</v>
      </c>
      <c r="F660" s="161">
        <v>-1680072.3900000006</v>
      </c>
      <c r="G660" s="161">
        <v>-1946915.1899999976</v>
      </c>
      <c r="H660" s="161">
        <v>-2036750.4899999946</v>
      </c>
      <c r="I660" s="161">
        <v>-2051772.1599999964</v>
      </c>
      <c r="J660" s="161">
        <v>-2056174.75</v>
      </c>
      <c r="K660" s="161">
        <v>-2135672.1899999976</v>
      </c>
      <c r="L660" s="161">
        <v>-2242286.2099999934</v>
      </c>
      <c r="M660" s="161">
        <v>-2317230.2600000054</v>
      </c>
      <c r="N660" s="161">
        <v>-1590136.9599999934</v>
      </c>
      <c r="O660" s="161">
        <v>-1245234.2800000012</v>
      </c>
      <c r="P660" s="161">
        <v>-1216375.0300000012</v>
      </c>
      <c r="Q660" s="161">
        <v>-1193326.5500000119</v>
      </c>
      <c r="R660" s="149"/>
      <c r="S660" s="149"/>
      <c r="T660" s="149"/>
      <c r="U660" s="149"/>
      <c r="V660" s="149"/>
      <c r="W660" s="149"/>
      <c r="X660" s="161">
        <v>-1193326.5500000119</v>
      </c>
      <c r="Y660" s="145"/>
      <c r="Z660" s="145"/>
      <c r="AX660" s="141" t="s">
        <v>6</v>
      </c>
      <c r="AY660" s="141">
        <v>1998</v>
      </c>
      <c r="AZ660" s="141">
        <v>-246869.57</v>
      </c>
      <c r="BA660" s="141">
        <v>-829197.91000000399</v>
      </c>
      <c r="BB660" s="141">
        <v>-1137076.0900000001</v>
      </c>
      <c r="BC660" s="141">
        <v>-1337301.02</v>
      </c>
      <c r="BD660" s="141">
        <v>-1461109.8</v>
      </c>
      <c r="BE660" s="141">
        <v>-1855448.84</v>
      </c>
      <c r="BF660" s="141">
        <v>-1916193.69</v>
      </c>
      <c r="BG660" s="141">
        <v>-1965581.74</v>
      </c>
      <c r="BH660" s="141">
        <v>-2003593.91</v>
      </c>
      <c r="BI660" s="141">
        <v>-2017502.32</v>
      </c>
      <c r="BJ660" s="141">
        <v>-2022817.35</v>
      </c>
      <c r="BK660" s="141">
        <v>-2024311.8</v>
      </c>
      <c r="BL660" s="141">
        <v>-2066197.7</v>
      </c>
      <c r="BM660" s="141">
        <v>-2066197.7</v>
      </c>
      <c r="BN660" s="141">
        <v>-2057449.03</v>
      </c>
      <c r="BU660" s="141">
        <v>-2057449.03</v>
      </c>
    </row>
    <row r="661" spans="1:73" ht="14.4" x14ac:dyDescent="0.3">
      <c r="A661" s="160" t="s">
        <v>6</v>
      </c>
      <c r="B661" s="161">
        <v>2002</v>
      </c>
      <c r="C661" s="161">
        <v>-106735.40000000037</v>
      </c>
      <c r="D661" s="161">
        <v>-622653.01999999955</v>
      </c>
      <c r="E661" s="161">
        <v>-1115825.2300000042</v>
      </c>
      <c r="F661" s="161">
        <v>-1432680.6099999994</v>
      </c>
      <c r="G661" s="161">
        <v>-1675413.6400000006</v>
      </c>
      <c r="H661" s="161">
        <v>-1869593.1499999985</v>
      </c>
      <c r="I661" s="161">
        <v>-1907434.9900000095</v>
      </c>
      <c r="J661" s="161">
        <v>-1968885.9800000042</v>
      </c>
      <c r="K661" s="161">
        <v>-2058488.2099999934</v>
      </c>
      <c r="L661" s="161">
        <v>-2061740.4600000083</v>
      </c>
      <c r="M661" s="161">
        <v>-7781469.9600000083</v>
      </c>
      <c r="N661" s="161">
        <v>-7767420.3200000077</v>
      </c>
      <c r="O661" s="161">
        <v>-8096170.3299999982</v>
      </c>
      <c r="P661" s="161">
        <v>-8003921.9899999946</v>
      </c>
      <c r="Q661" s="149"/>
      <c r="R661" s="149"/>
      <c r="S661" s="149"/>
      <c r="T661" s="149"/>
      <c r="U661" s="149"/>
      <c r="V661" s="149"/>
      <c r="W661" s="149"/>
      <c r="X661" s="161">
        <v>-8003921.9899999946</v>
      </c>
      <c r="Y661" s="145"/>
      <c r="Z661" s="145"/>
      <c r="AX661" s="141" t="s">
        <v>6</v>
      </c>
      <c r="AY661" s="141">
        <v>1999</v>
      </c>
      <c r="AZ661" s="141">
        <v>-34369.540000000998</v>
      </c>
      <c r="BA661" s="141">
        <v>-494020.95000000298</v>
      </c>
      <c r="BB661" s="141">
        <v>-864789.64000000095</v>
      </c>
      <c r="BC661" s="141">
        <v>-1096549.5</v>
      </c>
      <c r="BD661" s="141">
        <v>-1219876.1200000001</v>
      </c>
      <c r="BE661" s="141">
        <v>-1246898.54</v>
      </c>
      <c r="BF661" s="141">
        <v>-1258902.72</v>
      </c>
      <c r="BG661" s="141">
        <v>-1292000.18</v>
      </c>
      <c r="BH661" s="141">
        <v>-1293407.6399999999</v>
      </c>
      <c r="BI661" s="141">
        <v>-1306775.9300000099</v>
      </c>
      <c r="BJ661" s="141">
        <v>-1329676.54000001</v>
      </c>
      <c r="BK661" s="141">
        <v>-1329834.03</v>
      </c>
      <c r="BL661" s="141">
        <v>-1329834.03</v>
      </c>
      <c r="BM661" s="141">
        <v>-2941366.75999999</v>
      </c>
      <c r="BU661" s="141">
        <v>-2941366.75999999</v>
      </c>
    </row>
    <row r="662" spans="1:73" ht="14.4" x14ac:dyDescent="0.3">
      <c r="A662" s="160" t="s">
        <v>6</v>
      </c>
      <c r="B662" s="161">
        <v>2003</v>
      </c>
      <c r="C662" s="161">
        <v>-248240.59999999776</v>
      </c>
      <c r="D662" s="161">
        <v>-1143893.0199999958</v>
      </c>
      <c r="E662" s="161">
        <v>-1639736.5899999887</v>
      </c>
      <c r="F662" s="161">
        <v>-2205282.3100000024</v>
      </c>
      <c r="G662" s="161">
        <v>-2336252.0100000054</v>
      </c>
      <c r="H662" s="161">
        <v>-2418793.7399999946</v>
      </c>
      <c r="I662" s="161">
        <v>-2619921.150000006</v>
      </c>
      <c r="J662" s="161">
        <v>-2696629.8699999899</v>
      </c>
      <c r="K662" s="161">
        <v>-2710167.8700000048</v>
      </c>
      <c r="L662" s="161">
        <v>-2928734.8400000036</v>
      </c>
      <c r="M662" s="161">
        <v>-6614090.3799999952</v>
      </c>
      <c r="N662" s="161">
        <v>-6574939.75</v>
      </c>
      <c r="O662" s="161">
        <v>-6580634.1499999911</v>
      </c>
      <c r="P662" s="149"/>
      <c r="Q662" s="149"/>
      <c r="R662" s="149"/>
      <c r="S662" s="149"/>
      <c r="T662" s="149"/>
      <c r="U662" s="149"/>
      <c r="V662" s="149"/>
      <c r="W662" s="149"/>
      <c r="X662" s="161">
        <v>-6580634.1499999911</v>
      </c>
      <c r="Y662" s="145"/>
      <c r="Z662" s="145"/>
      <c r="AX662" s="141" t="s">
        <v>6</v>
      </c>
      <c r="AY662" s="141">
        <v>2000</v>
      </c>
      <c r="AZ662" s="141">
        <v>-127956.890000001</v>
      </c>
      <c r="BA662" s="141">
        <v>-1008992.96</v>
      </c>
      <c r="BB662" s="141">
        <v>-3240684.48999999</v>
      </c>
      <c r="BC662" s="141">
        <v>-4216352.3200000096</v>
      </c>
      <c r="BD662" s="141">
        <v>-4303505.1100000003</v>
      </c>
      <c r="BE662" s="141">
        <v>-4517304.1300000101</v>
      </c>
      <c r="BF662" s="141">
        <v>-4678363.0199999996</v>
      </c>
      <c r="BG662" s="141">
        <v>-4726181.3899999997</v>
      </c>
      <c r="BH662" s="141">
        <v>-4745504.4300000099</v>
      </c>
      <c r="BI662" s="141">
        <v>-4766027.3999999901</v>
      </c>
      <c r="BJ662" s="141">
        <v>-4775729.0399999898</v>
      </c>
      <c r="BK662" s="141">
        <v>-4803542.2900000103</v>
      </c>
      <c r="BL662" s="141">
        <v>-4877872.7699999996</v>
      </c>
      <c r="BU662" s="141">
        <v>-4877872.7699999996</v>
      </c>
    </row>
    <row r="663" spans="1:73" ht="14.4" x14ac:dyDescent="0.3">
      <c r="A663" s="160" t="s">
        <v>6</v>
      </c>
      <c r="B663" s="161">
        <v>2004</v>
      </c>
      <c r="C663" s="161">
        <v>-16004.649999999965</v>
      </c>
      <c r="D663" s="161">
        <v>-74602.719999999739</v>
      </c>
      <c r="E663" s="161">
        <v>-143582.03000000026</v>
      </c>
      <c r="F663" s="161">
        <v>-581498.01999999955</v>
      </c>
      <c r="G663" s="161">
        <v>-627326.5</v>
      </c>
      <c r="H663" s="161">
        <v>-663007.95999999717</v>
      </c>
      <c r="I663" s="161">
        <v>-663007.96000000089</v>
      </c>
      <c r="J663" s="161">
        <v>-663101.96000000089</v>
      </c>
      <c r="K663" s="161">
        <v>-876669.28000000119</v>
      </c>
      <c r="L663" s="161">
        <v>-4943341.8999999985</v>
      </c>
      <c r="M663" s="161">
        <v>-4907716.929999996</v>
      </c>
      <c r="N663" s="161">
        <v>-4906174.6699999981</v>
      </c>
      <c r="O663" s="149"/>
      <c r="P663" s="149"/>
      <c r="Q663" s="149"/>
      <c r="R663" s="149"/>
      <c r="S663" s="149"/>
      <c r="T663" s="149"/>
      <c r="U663" s="149"/>
      <c r="V663" s="149"/>
      <c r="W663" s="149"/>
      <c r="X663" s="161">
        <v>-4906174.6699999981</v>
      </c>
      <c r="Y663" s="145"/>
      <c r="Z663" s="145"/>
      <c r="AX663" s="141" t="s">
        <v>6</v>
      </c>
      <c r="AY663" s="141">
        <v>2001</v>
      </c>
      <c r="AZ663" s="141">
        <v>-223100.51000000199</v>
      </c>
      <c r="BA663" s="141">
        <v>-698671.02000000305</v>
      </c>
      <c r="BB663" s="141">
        <v>-971641.31000000203</v>
      </c>
      <c r="BC663" s="141">
        <v>-1680072.39</v>
      </c>
      <c r="BD663" s="141">
        <v>-1946915.19</v>
      </c>
      <c r="BE663" s="141">
        <v>-2036750.48999999</v>
      </c>
      <c r="BF663" s="141">
        <v>-2051772.16</v>
      </c>
      <c r="BG663" s="141">
        <v>-2056174.75</v>
      </c>
      <c r="BH663" s="141">
        <v>-2135672.19</v>
      </c>
      <c r="BI663" s="141">
        <v>-2242286.2099999902</v>
      </c>
      <c r="BJ663" s="141">
        <v>-2317230.26000001</v>
      </c>
      <c r="BK663" s="141">
        <v>-1590136.95999999</v>
      </c>
      <c r="BU663" s="141">
        <v>-1590136.95999999</v>
      </c>
    </row>
    <row r="664" spans="1:73" ht="14.4" x14ac:dyDescent="0.3">
      <c r="A664" s="160" t="s">
        <v>6</v>
      </c>
      <c r="B664" s="161">
        <v>2005</v>
      </c>
      <c r="C664" s="161">
        <v>0</v>
      </c>
      <c r="D664" s="161">
        <v>-60364.990000002086</v>
      </c>
      <c r="E664" s="161">
        <v>-200940.15999999642</v>
      </c>
      <c r="F664" s="161">
        <v>-251656.67000000179</v>
      </c>
      <c r="G664" s="161">
        <v>-280546.92000000179</v>
      </c>
      <c r="H664" s="161">
        <v>-316073.54000000656</v>
      </c>
      <c r="I664" s="161">
        <v>-331835.91999999434</v>
      </c>
      <c r="J664" s="161">
        <v>260328.16000000387</v>
      </c>
      <c r="K664" s="161">
        <v>-2864386.8100000024</v>
      </c>
      <c r="L664" s="161">
        <v>123344.23999999464</v>
      </c>
      <c r="M664" s="161">
        <v>136879.99999999255</v>
      </c>
      <c r="N664" s="149"/>
      <c r="O664" s="149"/>
      <c r="P664" s="149"/>
      <c r="Q664" s="149"/>
      <c r="R664" s="149"/>
      <c r="S664" s="149"/>
      <c r="T664" s="149"/>
      <c r="U664" s="149"/>
      <c r="V664" s="149"/>
      <c r="W664" s="149"/>
      <c r="X664" s="161">
        <v>136879.99999999255</v>
      </c>
      <c r="Y664" s="145"/>
      <c r="Z664" s="145"/>
      <c r="AX664" s="141" t="s">
        <v>6</v>
      </c>
      <c r="AY664" s="141">
        <v>2002</v>
      </c>
      <c r="AZ664" s="141">
        <v>-106735.4</v>
      </c>
      <c r="BA664" s="141">
        <v>-622653.02</v>
      </c>
      <c r="BB664" s="141">
        <v>-1115825.23</v>
      </c>
      <c r="BC664" s="141">
        <v>-1432680.61</v>
      </c>
      <c r="BD664" s="141">
        <v>-1675413.64</v>
      </c>
      <c r="BE664" s="141">
        <v>-1869593.15</v>
      </c>
      <c r="BF664" s="141">
        <v>-1907434.99000001</v>
      </c>
      <c r="BG664" s="141">
        <v>-1968885.98</v>
      </c>
      <c r="BH664" s="141">
        <v>-2058488.20999999</v>
      </c>
      <c r="BI664" s="141">
        <v>-2061740.46000001</v>
      </c>
      <c r="BJ664" s="141">
        <v>-7781469.9600000102</v>
      </c>
      <c r="BU664" s="141">
        <v>-7781469.9600000102</v>
      </c>
    </row>
    <row r="665" spans="1:73" ht="14.4" x14ac:dyDescent="0.3">
      <c r="A665" s="160" t="s">
        <v>6</v>
      </c>
      <c r="B665" s="161">
        <v>2006</v>
      </c>
      <c r="C665" s="161">
        <v>-37523.029999999984</v>
      </c>
      <c r="D665" s="161">
        <v>-58244.980000000098</v>
      </c>
      <c r="E665" s="161">
        <v>-61255.840000000084</v>
      </c>
      <c r="F665" s="161">
        <v>-71132.479999999981</v>
      </c>
      <c r="G665" s="161">
        <v>-71173.479999999981</v>
      </c>
      <c r="H665" s="161">
        <v>-71590.780000000028</v>
      </c>
      <c r="I665" s="161">
        <v>-64170.780000000028</v>
      </c>
      <c r="J665" s="161">
        <v>-64616.89000000013</v>
      </c>
      <c r="K665" s="161">
        <v>-66591.89000000013</v>
      </c>
      <c r="L665" s="161">
        <v>334205.60999999987</v>
      </c>
      <c r="M665" s="149"/>
      <c r="N665" s="149"/>
      <c r="O665" s="149"/>
      <c r="P665" s="149"/>
      <c r="Q665" s="149"/>
      <c r="R665" s="149"/>
      <c r="S665" s="149"/>
      <c r="T665" s="149"/>
      <c r="U665" s="149"/>
      <c r="V665" s="149"/>
      <c r="W665" s="149"/>
      <c r="X665" s="161">
        <v>334205.60999999987</v>
      </c>
      <c r="Y665" s="145"/>
      <c r="Z665" s="145"/>
      <c r="AX665" s="141" t="s">
        <v>6</v>
      </c>
      <c r="AY665" s="141">
        <v>2003</v>
      </c>
      <c r="AZ665" s="141">
        <v>-248240.599999998</v>
      </c>
      <c r="BA665" s="141">
        <v>-1143893.02</v>
      </c>
      <c r="BB665" s="141">
        <v>-1639736.5899999901</v>
      </c>
      <c r="BC665" s="141">
        <v>-2205282.31</v>
      </c>
      <c r="BD665" s="141">
        <v>-2336252.01000001</v>
      </c>
      <c r="BE665" s="141">
        <v>-2418793.73999999</v>
      </c>
      <c r="BF665" s="141">
        <v>-2619921.1500000102</v>
      </c>
      <c r="BG665" s="141">
        <v>-2696629.8699999899</v>
      </c>
      <c r="BH665" s="141">
        <v>-2710167.87</v>
      </c>
      <c r="BI665" s="141">
        <v>-2928734.84</v>
      </c>
      <c r="BU665" s="141">
        <v>-2928734.84</v>
      </c>
    </row>
    <row r="666" spans="1:73" ht="14.4" x14ac:dyDescent="0.3">
      <c r="A666" s="160" t="s">
        <v>6</v>
      </c>
      <c r="B666" s="161">
        <v>2007</v>
      </c>
      <c r="C666" s="161">
        <v>0</v>
      </c>
      <c r="D666" s="161">
        <v>-42706.789999999804</v>
      </c>
      <c r="E666" s="161">
        <v>-69632.010000000009</v>
      </c>
      <c r="F666" s="161">
        <v>-79867.860000000102</v>
      </c>
      <c r="G666" s="161">
        <v>-98486.860000000102</v>
      </c>
      <c r="H666" s="161">
        <v>8544.8500000000931</v>
      </c>
      <c r="I666" s="161">
        <v>-1249288.7200000002</v>
      </c>
      <c r="J666" s="161">
        <v>-99453.709999999963</v>
      </c>
      <c r="K666" s="161">
        <v>555191.29</v>
      </c>
      <c r="L666" s="149"/>
      <c r="M666" s="149"/>
      <c r="N666" s="149"/>
      <c r="O666" s="149"/>
      <c r="P666" s="149"/>
      <c r="Q666" s="149"/>
      <c r="R666" s="149"/>
      <c r="S666" s="149"/>
      <c r="T666" s="149"/>
      <c r="U666" s="149"/>
      <c r="V666" s="149"/>
      <c r="W666" s="149"/>
      <c r="X666" s="161">
        <v>555191.29</v>
      </c>
      <c r="Y666" s="145"/>
      <c r="Z666" s="145"/>
      <c r="AX666" s="141" t="s">
        <v>6</v>
      </c>
      <c r="AY666" s="141">
        <v>2004</v>
      </c>
      <c r="AZ666" s="141">
        <v>-16004.65</v>
      </c>
      <c r="BA666" s="141">
        <v>-74602.719999999696</v>
      </c>
      <c r="BB666" s="141">
        <v>-143582.03</v>
      </c>
      <c r="BC666" s="141">
        <v>-581498.02</v>
      </c>
      <c r="BD666" s="141">
        <v>-627326.5</v>
      </c>
      <c r="BE666" s="141">
        <v>-663007.95999999705</v>
      </c>
      <c r="BF666" s="141">
        <v>-663007.96000000101</v>
      </c>
      <c r="BG666" s="141">
        <v>-663101.96000000101</v>
      </c>
      <c r="BH666" s="141">
        <v>-876669.28000000096</v>
      </c>
      <c r="BU666" s="141">
        <v>-876669.28000000096</v>
      </c>
    </row>
    <row r="667" spans="1:73" ht="14.4" x14ac:dyDescent="0.3">
      <c r="A667" s="160" t="s">
        <v>6</v>
      </c>
      <c r="B667" s="161">
        <v>2008</v>
      </c>
      <c r="C667" s="161">
        <v>-6062.4999999999854</v>
      </c>
      <c r="D667" s="161">
        <v>-15410.989999999991</v>
      </c>
      <c r="E667" s="161">
        <v>-26599.960000000079</v>
      </c>
      <c r="F667" s="161">
        <v>-34679.959999999963</v>
      </c>
      <c r="G667" s="161">
        <v>578513.37000000011</v>
      </c>
      <c r="H667" s="161">
        <v>710988.57000000007</v>
      </c>
      <c r="I667" s="161">
        <v>832437.41000000015</v>
      </c>
      <c r="J667" s="161">
        <v>732819.35000000009</v>
      </c>
      <c r="K667" s="149"/>
      <c r="L667" s="149"/>
      <c r="M667" s="149"/>
      <c r="N667" s="149"/>
      <c r="O667" s="149"/>
      <c r="P667" s="149"/>
      <c r="Q667" s="149"/>
      <c r="R667" s="149"/>
      <c r="S667" s="149"/>
      <c r="T667" s="149"/>
      <c r="U667" s="149"/>
      <c r="V667" s="149"/>
      <c r="W667" s="149"/>
      <c r="X667" s="161">
        <v>732819.35000000009</v>
      </c>
      <c r="Y667" s="145"/>
      <c r="Z667" s="145"/>
      <c r="AX667" s="141" t="s">
        <v>6</v>
      </c>
      <c r="AY667" s="141">
        <v>2005</v>
      </c>
      <c r="AZ667" s="141">
        <v>0</v>
      </c>
      <c r="BA667" s="141">
        <v>-60364.990000002101</v>
      </c>
      <c r="BB667" s="141">
        <v>-200940.15999999599</v>
      </c>
      <c r="BC667" s="141">
        <v>-251656.67000000199</v>
      </c>
      <c r="BD667" s="141">
        <v>-280546.92000000202</v>
      </c>
      <c r="BE667" s="141">
        <v>-316073.54000000702</v>
      </c>
      <c r="BF667" s="141">
        <v>-331835.91999999399</v>
      </c>
      <c r="BG667" s="141">
        <v>260328.16000000399</v>
      </c>
      <c r="BU667" s="141">
        <v>260328.16000000399</v>
      </c>
    </row>
    <row r="668" spans="1:73" ht="14.4" x14ac:dyDescent="0.3">
      <c r="A668" s="160" t="s">
        <v>6</v>
      </c>
      <c r="B668" s="161">
        <v>2009</v>
      </c>
      <c r="C668" s="161">
        <v>-12513.330000000075</v>
      </c>
      <c r="D668" s="161">
        <v>-126852.37999999989</v>
      </c>
      <c r="E668" s="161">
        <v>-315129.76000000024</v>
      </c>
      <c r="F668" s="161">
        <v>491720.99000000022</v>
      </c>
      <c r="G668" s="161">
        <v>1212359.6999999997</v>
      </c>
      <c r="H668" s="161">
        <v>1875672.74</v>
      </c>
      <c r="I668" s="161">
        <v>2402128.7699999996</v>
      </c>
      <c r="J668" s="149"/>
      <c r="K668" s="149"/>
      <c r="L668" s="149"/>
      <c r="M668" s="149"/>
      <c r="N668" s="149"/>
      <c r="O668" s="149"/>
      <c r="P668" s="149"/>
      <c r="Q668" s="149"/>
      <c r="R668" s="149"/>
      <c r="S668" s="149"/>
      <c r="T668" s="149"/>
      <c r="U668" s="149"/>
      <c r="V668" s="149"/>
      <c r="W668" s="149"/>
      <c r="X668" s="161">
        <v>2402128.7699999996</v>
      </c>
      <c r="Y668" s="145"/>
      <c r="Z668" s="145"/>
      <c r="AX668" s="141" t="s">
        <v>6</v>
      </c>
      <c r="AY668" s="141">
        <v>2006</v>
      </c>
      <c r="AZ668" s="141">
        <v>-37523.03</v>
      </c>
      <c r="BA668" s="141">
        <v>-58244.980000000098</v>
      </c>
      <c r="BB668" s="141">
        <v>-61255.840000000098</v>
      </c>
      <c r="BC668" s="141">
        <v>-71132.479999999996</v>
      </c>
      <c r="BD668" s="141">
        <v>-71173.48</v>
      </c>
      <c r="BE668" s="141">
        <v>-71590.78</v>
      </c>
      <c r="BF668" s="141">
        <v>-64170.78</v>
      </c>
      <c r="BU668" s="141">
        <v>-64170.78</v>
      </c>
    </row>
    <row r="669" spans="1:73" ht="14.4" x14ac:dyDescent="0.3">
      <c r="A669" s="160" t="s">
        <v>6</v>
      </c>
      <c r="B669" s="161">
        <v>2010</v>
      </c>
      <c r="C669" s="161">
        <v>-10990.830000000075</v>
      </c>
      <c r="D669" s="161">
        <v>-12532.030000000028</v>
      </c>
      <c r="E669" s="161">
        <v>423856.42999999982</v>
      </c>
      <c r="F669" s="161">
        <v>322177.38000000012</v>
      </c>
      <c r="G669" s="161">
        <v>255918.54000000004</v>
      </c>
      <c r="H669" s="161">
        <v>474406.33999999985</v>
      </c>
      <c r="I669" s="149"/>
      <c r="J669" s="149"/>
      <c r="K669" s="149"/>
      <c r="L669" s="149"/>
      <c r="M669" s="149"/>
      <c r="N669" s="149"/>
      <c r="O669" s="149"/>
      <c r="P669" s="149"/>
      <c r="Q669" s="149"/>
      <c r="R669" s="149"/>
      <c r="S669" s="149"/>
      <c r="T669" s="149"/>
      <c r="U669" s="149"/>
      <c r="V669" s="149"/>
      <c r="W669" s="149"/>
      <c r="X669" s="161">
        <v>474406.33999999985</v>
      </c>
      <c r="Y669" s="145"/>
      <c r="Z669" s="145"/>
      <c r="AX669" s="141" t="s">
        <v>6</v>
      </c>
      <c r="AY669" s="141">
        <v>2007</v>
      </c>
      <c r="AZ669" s="141">
        <v>0</v>
      </c>
      <c r="BA669" s="141">
        <v>-42706.789999999797</v>
      </c>
      <c r="BB669" s="141">
        <v>-69632.009999999995</v>
      </c>
      <c r="BC669" s="141">
        <v>-79867.860000000102</v>
      </c>
      <c r="BD669" s="141">
        <v>-98486.860000000102</v>
      </c>
      <c r="BE669" s="141">
        <v>8544.8500000000895</v>
      </c>
      <c r="BU669" s="141">
        <v>8544.8500000000895</v>
      </c>
    </row>
    <row r="670" spans="1:73" ht="14.4" x14ac:dyDescent="0.3">
      <c r="A670" s="160" t="s">
        <v>6</v>
      </c>
      <c r="B670" s="161">
        <v>2011</v>
      </c>
      <c r="C670" s="161">
        <v>-1022.5600000000049</v>
      </c>
      <c r="D670" s="161">
        <v>676177.98</v>
      </c>
      <c r="E670" s="161">
        <v>699886.48</v>
      </c>
      <c r="F670" s="161">
        <v>701091.15999999992</v>
      </c>
      <c r="G670" s="161">
        <v>707620.74</v>
      </c>
      <c r="H670" s="149"/>
      <c r="I670" s="149"/>
      <c r="J670" s="149"/>
      <c r="K670" s="149"/>
      <c r="L670" s="149"/>
      <c r="M670" s="149"/>
      <c r="N670" s="149"/>
      <c r="O670" s="149"/>
      <c r="P670" s="149"/>
      <c r="Q670" s="149"/>
      <c r="R670" s="149"/>
      <c r="S670" s="149"/>
      <c r="T670" s="149"/>
      <c r="U670" s="149"/>
      <c r="V670" s="149"/>
      <c r="W670" s="149"/>
      <c r="X670" s="161">
        <v>707620.74</v>
      </c>
      <c r="Y670" s="145"/>
      <c r="Z670" s="145"/>
      <c r="AX670" s="141" t="s">
        <v>6</v>
      </c>
      <c r="AY670" s="141">
        <v>2008</v>
      </c>
      <c r="AZ670" s="141">
        <v>-6062.49999999999</v>
      </c>
      <c r="BA670" s="141">
        <v>-15410.99</v>
      </c>
      <c r="BB670" s="141">
        <v>-26599.96</v>
      </c>
      <c r="BC670" s="141">
        <v>-34679.96</v>
      </c>
      <c r="BD670" s="141">
        <v>578513.37</v>
      </c>
      <c r="BU670" s="141">
        <v>578513.37</v>
      </c>
    </row>
    <row r="671" spans="1:73" ht="14.4" x14ac:dyDescent="0.3">
      <c r="A671" s="160" t="s">
        <v>6</v>
      </c>
      <c r="B671" s="161">
        <v>2012</v>
      </c>
      <c r="C671" s="161">
        <v>6210.5</v>
      </c>
      <c r="D671" s="161">
        <v>611559.96</v>
      </c>
      <c r="E671" s="161">
        <v>3104825.9099999997</v>
      </c>
      <c r="F671" s="161">
        <v>3489747.48</v>
      </c>
      <c r="G671" s="149"/>
      <c r="H671" s="149"/>
      <c r="I671" s="149"/>
      <c r="J671" s="149"/>
      <c r="K671" s="149"/>
      <c r="L671" s="149"/>
      <c r="M671" s="149"/>
      <c r="N671" s="149"/>
      <c r="O671" s="149"/>
      <c r="P671" s="149"/>
      <c r="Q671" s="149"/>
      <c r="R671" s="149"/>
      <c r="S671" s="149"/>
      <c r="T671" s="149"/>
      <c r="U671" s="149"/>
      <c r="V671" s="149"/>
      <c r="W671" s="149"/>
      <c r="X671" s="161">
        <v>3489747.48</v>
      </c>
      <c r="Y671" s="145"/>
      <c r="Z671" s="145"/>
      <c r="AX671" s="141" t="s">
        <v>6</v>
      </c>
      <c r="AY671" s="141">
        <v>2009</v>
      </c>
      <c r="AZ671" s="141">
        <v>-12513.3300000001</v>
      </c>
      <c r="BA671" s="141">
        <v>-126852.38</v>
      </c>
      <c r="BB671" s="141">
        <v>-315129.76</v>
      </c>
      <c r="BC671" s="141">
        <v>491720.99</v>
      </c>
      <c r="BU671" s="141">
        <v>491720.99</v>
      </c>
    </row>
    <row r="672" spans="1:73" ht="14.4" x14ac:dyDescent="0.3">
      <c r="A672" s="160" t="s">
        <v>6</v>
      </c>
      <c r="B672" s="161">
        <v>2013</v>
      </c>
      <c r="C672" s="161">
        <v>3569541.9</v>
      </c>
      <c r="D672" s="161">
        <v>1438495.6</v>
      </c>
      <c r="E672" s="161">
        <v>10162077.470000001</v>
      </c>
      <c r="F672" s="149"/>
      <c r="G672" s="149"/>
      <c r="H672" s="149"/>
      <c r="I672" s="149"/>
      <c r="J672" s="149"/>
      <c r="K672" s="149"/>
      <c r="L672" s="149"/>
      <c r="M672" s="149"/>
      <c r="N672" s="149"/>
      <c r="O672" s="149"/>
      <c r="P672" s="149"/>
      <c r="Q672" s="149"/>
      <c r="R672" s="149"/>
      <c r="S672" s="149"/>
      <c r="T672" s="149"/>
      <c r="U672" s="149"/>
      <c r="V672" s="149"/>
      <c r="W672" s="149"/>
      <c r="X672" s="161">
        <v>10162077.470000001</v>
      </c>
      <c r="Y672" s="145"/>
      <c r="Z672" s="145"/>
      <c r="AX672" s="141" t="s">
        <v>6</v>
      </c>
      <c r="AY672" s="141">
        <v>2010</v>
      </c>
      <c r="AZ672" s="141">
        <v>-10990.8300000001</v>
      </c>
      <c r="BA672" s="141">
        <v>-12532.029999999901</v>
      </c>
      <c r="BB672" s="141">
        <v>423856.43</v>
      </c>
      <c r="BU672" s="141">
        <v>423856.43</v>
      </c>
    </row>
    <row r="673" spans="1:73" ht="14.4" x14ac:dyDescent="0.3">
      <c r="A673" s="160" t="s">
        <v>6</v>
      </c>
      <c r="B673" s="161">
        <v>2014</v>
      </c>
      <c r="C673" s="161">
        <v>180783.94</v>
      </c>
      <c r="D673" s="161">
        <v>5204011.47</v>
      </c>
      <c r="E673" s="149"/>
      <c r="F673" s="149"/>
      <c r="G673" s="149"/>
      <c r="H673" s="149"/>
      <c r="I673" s="149"/>
      <c r="J673" s="149"/>
      <c r="K673" s="149"/>
      <c r="L673" s="149"/>
      <c r="M673" s="149"/>
      <c r="N673" s="149"/>
      <c r="O673" s="149"/>
      <c r="P673" s="149"/>
      <c r="Q673" s="149"/>
      <c r="R673" s="149"/>
      <c r="S673" s="149"/>
      <c r="T673" s="149"/>
      <c r="U673" s="149"/>
      <c r="V673" s="149"/>
      <c r="W673" s="149"/>
      <c r="X673" s="161">
        <v>5204011.47</v>
      </c>
      <c r="Y673" s="145"/>
      <c r="Z673" s="145"/>
      <c r="AX673" s="141" t="s">
        <v>6</v>
      </c>
      <c r="AY673" s="141">
        <v>2011</v>
      </c>
      <c r="AZ673" s="141">
        <v>-1022.56</v>
      </c>
      <c r="BA673" s="141">
        <v>676177.98</v>
      </c>
      <c r="BU673" s="141">
        <v>676177.98</v>
      </c>
    </row>
    <row r="674" spans="1:73" ht="14.4" x14ac:dyDescent="0.3">
      <c r="A674" s="160" t="s">
        <v>6</v>
      </c>
      <c r="B674" s="161">
        <v>2015</v>
      </c>
      <c r="C674" s="161">
        <v>1649002.24</v>
      </c>
      <c r="D674" s="149"/>
      <c r="E674" s="149"/>
      <c r="F674" s="149"/>
      <c r="G674" s="149"/>
      <c r="H674" s="149"/>
      <c r="I674" s="149"/>
      <c r="J674" s="149"/>
      <c r="K674" s="149"/>
      <c r="L674" s="149"/>
      <c r="M674" s="149"/>
      <c r="N674" s="149"/>
      <c r="O674" s="149"/>
      <c r="P674" s="149"/>
      <c r="Q674" s="149"/>
      <c r="R674" s="149"/>
      <c r="S674" s="149"/>
      <c r="T674" s="149"/>
      <c r="U674" s="149"/>
      <c r="V674" s="149"/>
      <c r="W674" s="149"/>
      <c r="X674" s="161">
        <v>1649002.24</v>
      </c>
      <c r="Y674" s="145"/>
      <c r="Z674" s="145"/>
      <c r="AX674" s="141" t="s">
        <v>6</v>
      </c>
      <c r="AY674" s="141">
        <v>2012</v>
      </c>
      <c r="AZ674" s="141">
        <v>6210.5</v>
      </c>
      <c r="BU674" s="141">
        <v>6210.5</v>
      </c>
    </row>
    <row r="675" spans="1:73" ht="14.4" x14ac:dyDescent="0.3">
      <c r="A675" s="160" t="s">
        <v>7</v>
      </c>
      <c r="B675" s="161">
        <v>1995</v>
      </c>
      <c r="C675" s="161">
        <v>20252.11</v>
      </c>
      <c r="D675" s="161">
        <v>266608.33999999997</v>
      </c>
      <c r="E675" s="161">
        <v>1083552.44</v>
      </c>
      <c r="F675" s="161">
        <v>1634679.76</v>
      </c>
      <c r="G675" s="161">
        <v>1902311.79</v>
      </c>
      <c r="H675" s="161">
        <v>2052321.4</v>
      </c>
      <c r="I675" s="161">
        <v>2704910.42</v>
      </c>
      <c r="J675" s="161">
        <v>3227077.7699999996</v>
      </c>
      <c r="K675" s="161">
        <v>3181314.34</v>
      </c>
      <c r="L675" s="161">
        <v>3251935.44</v>
      </c>
      <c r="M675" s="161">
        <v>3640302.18</v>
      </c>
      <c r="N675" s="161">
        <v>3831633.0100000002</v>
      </c>
      <c r="O675" s="161">
        <v>4806222.84</v>
      </c>
      <c r="P675" s="161">
        <v>4830562.91</v>
      </c>
      <c r="Q675" s="161">
        <v>4880272.34</v>
      </c>
      <c r="R675" s="161">
        <v>5414555.3200000003</v>
      </c>
      <c r="S675" s="161">
        <v>5584207.9500000002</v>
      </c>
      <c r="T675" s="161">
        <v>5837335.29</v>
      </c>
      <c r="U675" s="161">
        <v>5931409.6500000004</v>
      </c>
      <c r="V675" s="161">
        <v>5985109</v>
      </c>
      <c r="W675" s="161">
        <v>6291523.29</v>
      </c>
      <c r="X675" s="161">
        <v>6291523.29</v>
      </c>
      <c r="Y675" s="145"/>
      <c r="Z675" s="145"/>
      <c r="AX675" s="141" t="s">
        <v>7</v>
      </c>
      <c r="AY675" s="141">
        <v>1992</v>
      </c>
      <c r="AZ675" s="141">
        <v>85038240</v>
      </c>
      <c r="BA675" s="141">
        <v>110490191.91</v>
      </c>
      <c r="BB675" s="141">
        <v>133829618.45</v>
      </c>
      <c r="BC675" s="141">
        <v>161591027.77000001</v>
      </c>
      <c r="BD675" s="141">
        <v>202608436.28</v>
      </c>
      <c r="BE675" s="141">
        <v>250693850.47999999</v>
      </c>
      <c r="BF675" s="141">
        <v>302292681.54000002</v>
      </c>
      <c r="BG675" s="141">
        <v>333521201.91000003</v>
      </c>
      <c r="BH675" s="141">
        <v>353282468.26999998</v>
      </c>
      <c r="BI675" s="141">
        <v>385781537.63999999</v>
      </c>
      <c r="BJ675" s="141">
        <v>401053997.99000001</v>
      </c>
      <c r="BK675" s="141">
        <v>417877240.00999999</v>
      </c>
      <c r="BL675" s="141">
        <v>432939617.67000002</v>
      </c>
      <c r="BM675" s="141">
        <v>458145788.31</v>
      </c>
      <c r="BN675" s="141">
        <v>502964667.11000001</v>
      </c>
      <c r="BO675" s="141">
        <v>528085079.93000001</v>
      </c>
      <c r="BP675" s="141">
        <v>550173759.02999997</v>
      </c>
      <c r="BQ675" s="141">
        <v>559381233.32000005</v>
      </c>
      <c r="BR675" s="141">
        <v>575797730.66999996</v>
      </c>
      <c r="BS675" s="141">
        <v>592997791.27999997</v>
      </c>
      <c r="BT675" s="141">
        <v>612013828.46000004</v>
      </c>
      <c r="BU675" s="141">
        <v>612013828.46000004</v>
      </c>
    </row>
    <row r="676" spans="1:73" ht="14.4" x14ac:dyDescent="0.3">
      <c r="A676" s="160" t="s">
        <v>7</v>
      </c>
      <c r="B676" s="161">
        <v>1996</v>
      </c>
      <c r="C676" s="161">
        <v>93433.65</v>
      </c>
      <c r="D676" s="161">
        <v>85224.34</v>
      </c>
      <c r="E676" s="161">
        <v>117042.57</v>
      </c>
      <c r="F676" s="161">
        <v>172402.91999999998</v>
      </c>
      <c r="G676" s="161">
        <v>214602.13</v>
      </c>
      <c r="H676" s="161">
        <v>366079.41000000003</v>
      </c>
      <c r="I676" s="161">
        <v>552379.26</v>
      </c>
      <c r="J676" s="161">
        <v>840844.32000000007</v>
      </c>
      <c r="K676" s="161">
        <v>1255385.54</v>
      </c>
      <c r="L676" s="161">
        <v>1679249.5499999998</v>
      </c>
      <c r="M676" s="161">
        <v>2159080.2400000002</v>
      </c>
      <c r="N676" s="161">
        <v>3441709.2800000003</v>
      </c>
      <c r="O676" s="161">
        <v>3838557.64</v>
      </c>
      <c r="P676" s="161">
        <v>3940521.34</v>
      </c>
      <c r="Q676" s="161">
        <v>4034202.07</v>
      </c>
      <c r="R676" s="161">
        <v>4131996.06</v>
      </c>
      <c r="S676" s="161">
        <v>4205091.66</v>
      </c>
      <c r="T676" s="161">
        <v>4326250.2200000007</v>
      </c>
      <c r="U676" s="161">
        <v>4571406.1500000004</v>
      </c>
      <c r="V676" s="161">
        <v>5280892.0299999993</v>
      </c>
      <c r="W676" s="149"/>
      <c r="X676" s="161">
        <v>5280892.0299999993</v>
      </c>
      <c r="Y676" s="145"/>
      <c r="Z676" s="145"/>
      <c r="AX676" s="141" t="s">
        <v>7</v>
      </c>
      <c r="AY676" s="141">
        <v>1993</v>
      </c>
      <c r="AZ676" s="141">
        <v>6772</v>
      </c>
      <c r="BA676" s="141">
        <v>75104.78</v>
      </c>
      <c r="BB676" s="141">
        <v>132025.23000000001</v>
      </c>
      <c r="BC676" s="141">
        <v>1584920.06</v>
      </c>
      <c r="BD676" s="141">
        <v>3598123.09</v>
      </c>
      <c r="BE676" s="141">
        <v>4105655.69</v>
      </c>
      <c r="BF676" s="141">
        <v>4290955.5</v>
      </c>
      <c r="BG676" s="141">
        <v>4967759.91</v>
      </c>
      <c r="BH676" s="141">
        <v>6189241.6799999997</v>
      </c>
      <c r="BI676" s="141">
        <v>7039063.04</v>
      </c>
      <c r="BJ676" s="141">
        <v>7396846.71</v>
      </c>
      <c r="BK676" s="141">
        <v>7757334.21</v>
      </c>
      <c r="BL676" s="141">
        <v>8313392.4000000004</v>
      </c>
      <c r="BM676" s="141">
        <v>8878612.5999999996</v>
      </c>
      <c r="BN676" s="141">
        <v>10375538.57</v>
      </c>
      <c r="BO676" s="141">
        <v>11065275.57</v>
      </c>
      <c r="BP676" s="141">
        <v>11399058.01</v>
      </c>
      <c r="BQ676" s="141">
        <v>11684608.25</v>
      </c>
      <c r="BR676" s="141">
        <v>11968885.869999999</v>
      </c>
      <c r="BS676" s="141">
        <v>13041068.75</v>
      </c>
      <c r="BU676" s="141">
        <v>13041068.75</v>
      </c>
    </row>
    <row r="677" spans="1:73" ht="14.4" x14ac:dyDescent="0.3">
      <c r="A677" s="160" t="s">
        <v>7</v>
      </c>
      <c r="B677" s="161">
        <v>1997</v>
      </c>
      <c r="C677" s="161">
        <v>32094.39</v>
      </c>
      <c r="D677" s="161">
        <v>32875.129999999997</v>
      </c>
      <c r="E677" s="161">
        <v>34448.68</v>
      </c>
      <c r="F677" s="161">
        <v>59889.16</v>
      </c>
      <c r="G677" s="161">
        <v>76814.33</v>
      </c>
      <c r="H677" s="161">
        <v>97620.36</v>
      </c>
      <c r="I677" s="161">
        <v>179198.84999999998</v>
      </c>
      <c r="J677" s="161">
        <v>471052.63</v>
      </c>
      <c r="K677" s="161">
        <v>850269.07</v>
      </c>
      <c r="L677" s="161">
        <v>1235159.75</v>
      </c>
      <c r="M677" s="161">
        <v>6584275.4600000009</v>
      </c>
      <c r="N677" s="161">
        <v>7065704.2800000003</v>
      </c>
      <c r="O677" s="161">
        <v>7034984.4700000007</v>
      </c>
      <c r="P677" s="161">
        <v>7188904.9199999999</v>
      </c>
      <c r="Q677" s="161">
        <v>7369385.6899999995</v>
      </c>
      <c r="R677" s="161">
        <v>7535622.2799999993</v>
      </c>
      <c r="S677" s="161">
        <v>8378266.6600000001</v>
      </c>
      <c r="T677" s="161">
        <v>8463766.5299999993</v>
      </c>
      <c r="U677" s="161">
        <v>8469943.3300000001</v>
      </c>
      <c r="V677" s="149"/>
      <c r="W677" s="149"/>
      <c r="X677" s="161">
        <v>8469943.3300000001</v>
      </c>
      <c r="Y677" s="145"/>
      <c r="Z677" s="145"/>
      <c r="AX677" s="141" t="s">
        <v>7</v>
      </c>
      <c r="AY677" s="141">
        <v>1994</v>
      </c>
      <c r="AZ677" s="141">
        <v>27129.19</v>
      </c>
      <c r="BA677" s="141">
        <v>95889.06</v>
      </c>
      <c r="BB677" s="141">
        <v>918790.82</v>
      </c>
      <c r="BC677" s="141">
        <v>1422417.53</v>
      </c>
      <c r="BD677" s="141">
        <v>1885939.51</v>
      </c>
      <c r="BE677" s="141">
        <v>2327978.81</v>
      </c>
      <c r="BF677" s="141">
        <v>3074124.14</v>
      </c>
      <c r="BG677" s="141">
        <v>3928369.61</v>
      </c>
      <c r="BH677" s="141">
        <v>4140104.56</v>
      </c>
      <c r="BI677" s="141">
        <v>5173925</v>
      </c>
      <c r="BJ677" s="141">
        <v>5691299.2599999998</v>
      </c>
      <c r="BK677" s="141">
        <v>6073400.7599999998</v>
      </c>
      <c r="BL677" s="141">
        <v>6316029.9299999997</v>
      </c>
      <c r="BM677" s="141">
        <v>7296557.6699999999</v>
      </c>
      <c r="BN677" s="141">
        <v>7752526.9000000004</v>
      </c>
      <c r="BO677" s="141">
        <v>7878220.1100000003</v>
      </c>
      <c r="BP677" s="141">
        <v>7920314.6600000001</v>
      </c>
      <c r="BQ677" s="141">
        <v>8132553.6500000004</v>
      </c>
      <c r="BR677" s="141">
        <v>8375033.1699999999</v>
      </c>
      <c r="BU677" s="141">
        <v>8375033.1699999999</v>
      </c>
    </row>
    <row r="678" spans="1:73" ht="14.4" x14ac:dyDescent="0.3">
      <c r="A678" s="160" t="s">
        <v>7</v>
      </c>
      <c r="B678" s="161">
        <v>1998</v>
      </c>
      <c r="C678" s="161">
        <v>0</v>
      </c>
      <c r="D678" s="161">
        <v>0</v>
      </c>
      <c r="E678" s="161">
        <v>484.9</v>
      </c>
      <c r="F678" s="161">
        <v>21062.010000000002</v>
      </c>
      <c r="G678" s="161">
        <v>71774.83</v>
      </c>
      <c r="H678" s="161">
        <v>168205.01</v>
      </c>
      <c r="I678" s="161">
        <v>378623.01999999996</v>
      </c>
      <c r="J678" s="161">
        <v>713985.56</v>
      </c>
      <c r="K678" s="161">
        <v>794435.41999999993</v>
      </c>
      <c r="L678" s="161">
        <v>901316.42</v>
      </c>
      <c r="M678" s="161">
        <v>1145743.1000000001</v>
      </c>
      <c r="N678" s="161">
        <v>1449772.0899999999</v>
      </c>
      <c r="O678" s="161">
        <v>1634193.3699999999</v>
      </c>
      <c r="P678" s="161">
        <v>1802936.78</v>
      </c>
      <c r="Q678" s="161">
        <v>1920267.17</v>
      </c>
      <c r="R678" s="161">
        <v>2264598.7400000002</v>
      </c>
      <c r="S678" s="161">
        <v>2351361.63</v>
      </c>
      <c r="T678" s="161">
        <v>2440859.81</v>
      </c>
      <c r="U678" s="149"/>
      <c r="V678" s="149"/>
      <c r="W678" s="149"/>
      <c r="X678" s="161">
        <v>2440859.81</v>
      </c>
      <c r="Y678" s="145"/>
      <c r="Z678" s="145"/>
      <c r="AX678" s="141" t="s">
        <v>7</v>
      </c>
      <c r="AY678" s="141">
        <v>1995</v>
      </c>
      <c r="AZ678" s="141">
        <v>20252.11</v>
      </c>
      <c r="BA678" s="141">
        <v>266608.34000000003</v>
      </c>
      <c r="BB678" s="141">
        <v>1083552.44</v>
      </c>
      <c r="BC678" s="141">
        <v>1634679.76</v>
      </c>
      <c r="BD678" s="141">
        <v>1902311.79</v>
      </c>
      <c r="BE678" s="141">
        <v>2052321.4</v>
      </c>
      <c r="BF678" s="141">
        <v>2704910.42</v>
      </c>
      <c r="BG678" s="141">
        <v>3227077.77</v>
      </c>
      <c r="BH678" s="141">
        <v>3181314.34</v>
      </c>
      <c r="BI678" s="141">
        <v>3251935.44</v>
      </c>
      <c r="BJ678" s="141">
        <v>3640302.18</v>
      </c>
      <c r="BK678" s="141">
        <v>3831633.01</v>
      </c>
      <c r="BL678" s="141">
        <v>4806222.84</v>
      </c>
      <c r="BM678" s="141">
        <v>4830562.91</v>
      </c>
      <c r="BN678" s="141">
        <v>4880272.34</v>
      </c>
      <c r="BO678" s="141">
        <v>5414555.3200000003</v>
      </c>
      <c r="BP678" s="141">
        <v>5584207.9500000002</v>
      </c>
      <c r="BQ678" s="141">
        <v>5837335.29</v>
      </c>
      <c r="BU678" s="141">
        <v>5837335.29</v>
      </c>
    </row>
    <row r="679" spans="1:73" ht="14.4" x14ac:dyDescent="0.3">
      <c r="A679" s="160" t="s">
        <v>7</v>
      </c>
      <c r="B679" s="161">
        <v>1999</v>
      </c>
      <c r="C679" s="161">
        <v>0</v>
      </c>
      <c r="D679" s="161">
        <v>17.07</v>
      </c>
      <c r="E679" s="161">
        <v>32857.22</v>
      </c>
      <c r="F679" s="161">
        <v>192669.21000000002</v>
      </c>
      <c r="G679" s="161">
        <v>892540.58000000007</v>
      </c>
      <c r="H679" s="161">
        <v>2253427.14</v>
      </c>
      <c r="I679" s="161">
        <v>2162243.11</v>
      </c>
      <c r="J679" s="161">
        <v>2606995.4800000004</v>
      </c>
      <c r="K679" s="161">
        <v>2837147.51</v>
      </c>
      <c r="L679" s="161">
        <v>3312207.7</v>
      </c>
      <c r="M679" s="161">
        <v>3614719.63</v>
      </c>
      <c r="N679" s="161">
        <v>3804114.25</v>
      </c>
      <c r="O679" s="161">
        <v>4022409.29</v>
      </c>
      <c r="P679" s="161">
        <v>4278673.08</v>
      </c>
      <c r="Q679" s="161">
        <v>4516261.95</v>
      </c>
      <c r="R679" s="161">
        <v>4563335.67</v>
      </c>
      <c r="S679" s="161">
        <v>4626299.33</v>
      </c>
      <c r="T679" s="149"/>
      <c r="U679" s="149"/>
      <c r="V679" s="149"/>
      <c r="W679" s="149"/>
      <c r="X679" s="161">
        <v>4626299.33</v>
      </c>
      <c r="Y679" s="145"/>
      <c r="Z679" s="145"/>
      <c r="AX679" s="141" t="s">
        <v>7</v>
      </c>
      <c r="AY679" s="141">
        <v>1996</v>
      </c>
      <c r="AZ679" s="141">
        <v>93433.65</v>
      </c>
      <c r="BA679" s="141">
        <v>85224.34</v>
      </c>
      <c r="BB679" s="141">
        <v>117042.57</v>
      </c>
      <c r="BC679" s="141">
        <v>172402.92</v>
      </c>
      <c r="BD679" s="141">
        <v>213927.05</v>
      </c>
      <c r="BE679" s="141">
        <v>365404.33</v>
      </c>
      <c r="BF679" s="141">
        <v>551704.18000000005</v>
      </c>
      <c r="BG679" s="141">
        <v>840169.24</v>
      </c>
      <c r="BH679" s="141">
        <v>1254710.46</v>
      </c>
      <c r="BI679" s="141">
        <v>1678574.47</v>
      </c>
      <c r="BJ679" s="141">
        <v>2158405.16</v>
      </c>
      <c r="BK679" s="141">
        <v>3441034.2</v>
      </c>
      <c r="BL679" s="141">
        <v>3837882.56</v>
      </c>
      <c r="BM679" s="141">
        <v>3939846.26</v>
      </c>
      <c r="BN679" s="141">
        <v>4033526.99</v>
      </c>
      <c r="BO679" s="141">
        <v>4131320.98</v>
      </c>
      <c r="BP679" s="141">
        <v>4204416.58</v>
      </c>
      <c r="BU679" s="141">
        <v>4204416.58</v>
      </c>
    </row>
    <row r="680" spans="1:73" ht="14.4" x14ac:dyDescent="0.3">
      <c r="A680" s="160" t="s">
        <v>7</v>
      </c>
      <c r="B680" s="161">
        <v>2000</v>
      </c>
      <c r="C680" s="161">
        <v>0</v>
      </c>
      <c r="D680" s="161">
        <v>676.06</v>
      </c>
      <c r="E680" s="161">
        <v>112100.18</v>
      </c>
      <c r="F680" s="161">
        <v>400324.45</v>
      </c>
      <c r="G680" s="161">
        <v>754269.95</v>
      </c>
      <c r="H680" s="161">
        <v>1065498.8</v>
      </c>
      <c r="I680" s="161">
        <v>1631919.1800000002</v>
      </c>
      <c r="J680" s="161">
        <v>1790405.4300000002</v>
      </c>
      <c r="K680" s="161">
        <v>3410266.54</v>
      </c>
      <c r="L680" s="161">
        <v>4192534.8200000003</v>
      </c>
      <c r="M680" s="161">
        <v>4535856.9399999995</v>
      </c>
      <c r="N680" s="161">
        <v>5308745.79</v>
      </c>
      <c r="O680" s="161">
        <v>5632606.8799999999</v>
      </c>
      <c r="P680" s="161">
        <v>6113781.5700000003</v>
      </c>
      <c r="Q680" s="161">
        <v>6586462.1500000004</v>
      </c>
      <c r="R680" s="161">
        <v>6697826.4900000002</v>
      </c>
      <c r="S680" s="149"/>
      <c r="T680" s="149"/>
      <c r="U680" s="149"/>
      <c r="V680" s="149"/>
      <c r="W680" s="149"/>
      <c r="X680" s="161">
        <v>6697826.4900000002</v>
      </c>
      <c r="Y680" s="145"/>
      <c r="Z680" s="145"/>
      <c r="AX680" s="141" t="s">
        <v>7</v>
      </c>
      <c r="AY680" s="141">
        <v>1997</v>
      </c>
      <c r="AZ680" s="141">
        <v>32094.39</v>
      </c>
      <c r="BA680" s="141">
        <v>32875.129999999997</v>
      </c>
      <c r="BB680" s="141">
        <v>33020.33</v>
      </c>
      <c r="BC680" s="141">
        <v>55020.33</v>
      </c>
      <c r="BD680" s="141">
        <v>66677.960000000006</v>
      </c>
      <c r="BE680" s="141">
        <v>68638.94</v>
      </c>
      <c r="BF680" s="141">
        <v>149488.47</v>
      </c>
      <c r="BG680" s="141">
        <v>438571.21</v>
      </c>
      <c r="BH680" s="141">
        <v>803009.83</v>
      </c>
      <c r="BI680" s="141">
        <v>1176149.0900000001</v>
      </c>
      <c r="BJ680" s="141">
        <v>6524219.9000000004</v>
      </c>
      <c r="BK680" s="141">
        <v>7041241.4400000004</v>
      </c>
      <c r="BL680" s="141">
        <v>7011895.2300000004</v>
      </c>
      <c r="BM680" s="141">
        <v>7165868.6200000001</v>
      </c>
      <c r="BN680" s="141">
        <v>7346349.3899999997</v>
      </c>
      <c r="BO680" s="141">
        <v>7512585.9800000004</v>
      </c>
      <c r="BU680" s="141">
        <v>7512585.9800000004</v>
      </c>
    </row>
    <row r="681" spans="1:73" ht="14.4" x14ac:dyDescent="0.3">
      <c r="A681" s="160" t="s">
        <v>7</v>
      </c>
      <c r="B681" s="161">
        <v>2001</v>
      </c>
      <c r="C681" s="161">
        <v>0</v>
      </c>
      <c r="D681" s="161">
        <v>0</v>
      </c>
      <c r="E681" s="161">
        <v>1635.48</v>
      </c>
      <c r="F681" s="161">
        <v>69750.31</v>
      </c>
      <c r="G681" s="161">
        <v>251348.98</v>
      </c>
      <c r="H681" s="161">
        <v>801072.17</v>
      </c>
      <c r="I681" s="161">
        <v>1441853.39</v>
      </c>
      <c r="J681" s="161">
        <v>2642089.84</v>
      </c>
      <c r="K681" s="161">
        <v>3858613.8200000003</v>
      </c>
      <c r="L681" s="161">
        <v>4729448.8099999996</v>
      </c>
      <c r="M681" s="161">
        <v>9422692.379999999</v>
      </c>
      <c r="N681" s="161">
        <v>9825756.3599999994</v>
      </c>
      <c r="O681" s="161">
        <v>10983960.73</v>
      </c>
      <c r="P681" s="161">
        <v>10871427.24</v>
      </c>
      <c r="Q681" s="161">
        <v>11215791.640000001</v>
      </c>
      <c r="R681" s="149"/>
      <c r="S681" s="149"/>
      <c r="T681" s="149"/>
      <c r="U681" s="149"/>
      <c r="V681" s="149"/>
      <c r="W681" s="149"/>
      <c r="X681" s="161">
        <v>11215791.640000001</v>
      </c>
      <c r="Y681" s="145"/>
      <c r="Z681" s="145"/>
      <c r="AX681" s="141" t="s">
        <v>7</v>
      </c>
      <c r="AY681" s="141">
        <v>1998</v>
      </c>
      <c r="AZ681" s="141">
        <v>0</v>
      </c>
      <c r="BA681" s="141">
        <v>0</v>
      </c>
      <c r="BB681" s="141">
        <v>484.9</v>
      </c>
      <c r="BC681" s="141">
        <v>21062.01</v>
      </c>
      <c r="BD681" s="141">
        <v>71774.83</v>
      </c>
      <c r="BE681" s="141">
        <v>168205.01</v>
      </c>
      <c r="BF681" s="141">
        <v>378623.02</v>
      </c>
      <c r="BG681" s="141">
        <v>713985.56</v>
      </c>
      <c r="BH681" s="141">
        <v>794435.42</v>
      </c>
      <c r="BI681" s="141">
        <v>901316.42</v>
      </c>
      <c r="BJ681" s="141">
        <v>1145743.1000000001</v>
      </c>
      <c r="BK681" s="141">
        <v>1449395.56</v>
      </c>
      <c r="BL681" s="141">
        <v>1633816.84</v>
      </c>
      <c r="BM681" s="141">
        <v>1802560.25</v>
      </c>
      <c r="BN681" s="141">
        <v>1919890.64</v>
      </c>
      <c r="BU681" s="141">
        <v>1919890.64</v>
      </c>
    </row>
    <row r="682" spans="1:73" ht="14.4" x14ac:dyDescent="0.3">
      <c r="A682" s="160" t="s">
        <v>7</v>
      </c>
      <c r="B682" s="161">
        <v>2002</v>
      </c>
      <c r="C682" s="161">
        <v>12.8</v>
      </c>
      <c r="D682" s="161">
        <v>33890.230000000003</v>
      </c>
      <c r="E682" s="161">
        <v>152394.01999999999</v>
      </c>
      <c r="F682" s="161">
        <v>443384.52</v>
      </c>
      <c r="G682" s="161">
        <v>651650.55000000005</v>
      </c>
      <c r="H682" s="161">
        <v>1092909.3700000001</v>
      </c>
      <c r="I682" s="161">
        <v>1492112.93</v>
      </c>
      <c r="J682" s="161">
        <v>1718165.1800000002</v>
      </c>
      <c r="K682" s="161">
        <v>2560999.4900000002</v>
      </c>
      <c r="L682" s="161">
        <v>2729549.1</v>
      </c>
      <c r="M682" s="161">
        <v>2918998.39</v>
      </c>
      <c r="N682" s="161">
        <v>3362978.81</v>
      </c>
      <c r="O682" s="161">
        <v>3838582.55</v>
      </c>
      <c r="P682" s="161">
        <v>3887281.57</v>
      </c>
      <c r="Q682" s="149"/>
      <c r="R682" s="149"/>
      <c r="S682" s="149"/>
      <c r="T682" s="149"/>
      <c r="U682" s="149"/>
      <c r="V682" s="149"/>
      <c r="W682" s="149"/>
      <c r="X682" s="161">
        <v>3887281.57</v>
      </c>
      <c r="Y682" s="145"/>
      <c r="Z682" s="145"/>
      <c r="AX682" s="141" t="s">
        <v>7</v>
      </c>
      <c r="AY682" s="141">
        <v>1999</v>
      </c>
      <c r="AZ682" s="141">
        <v>0</v>
      </c>
      <c r="BA682" s="141">
        <v>17.07</v>
      </c>
      <c r="BB682" s="141">
        <v>32857.22</v>
      </c>
      <c r="BC682" s="141">
        <v>190987.89</v>
      </c>
      <c r="BD682" s="141">
        <v>892540.58</v>
      </c>
      <c r="BE682" s="141">
        <v>2253427.14</v>
      </c>
      <c r="BF682" s="141">
        <v>2162243.11</v>
      </c>
      <c r="BG682" s="141">
        <v>2606995.48</v>
      </c>
      <c r="BH682" s="141">
        <v>2837147.51</v>
      </c>
      <c r="BI682" s="141">
        <v>3312207.7</v>
      </c>
      <c r="BJ682" s="141">
        <v>3614719.63</v>
      </c>
      <c r="BK682" s="141">
        <v>3804114.25</v>
      </c>
      <c r="BL682" s="141">
        <v>4022409.29</v>
      </c>
      <c r="BM682" s="141">
        <v>4278673.08</v>
      </c>
      <c r="BU682" s="141">
        <v>4278673.08</v>
      </c>
    </row>
    <row r="683" spans="1:73" ht="14.4" x14ac:dyDescent="0.3">
      <c r="A683" s="160" t="s">
        <v>7</v>
      </c>
      <c r="B683" s="161">
        <v>2003</v>
      </c>
      <c r="C683" s="161">
        <v>37074.5</v>
      </c>
      <c r="D683" s="161">
        <v>143618.73000000001</v>
      </c>
      <c r="E683" s="161">
        <v>302759.28999999998</v>
      </c>
      <c r="F683" s="161">
        <v>521289.61</v>
      </c>
      <c r="G683" s="161">
        <v>1115682.02</v>
      </c>
      <c r="H683" s="161">
        <v>1762982.9200000002</v>
      </c>
      <c r="I683" s="161">
        <v>4918510.6100000003</v>
      </c>
      <c r="J683" s="161">
        <v>4470991.8900000006</v>
      </c>
      <c r="K683" s="161">
        <v>4514105.9800000004</v>
      </c>
      <c r="L683" s="161">
        <v>4540555.08</v>
      </c>
      <c r="M683" s="161">
        <v>4594298.13</v>
      </c>
      <c r="N683" s="161">
        <v>4632149.82</v>
      </c>
      <c r="O683" s="161">
        <v>4655783.1999999993</v>
      </c>
      <c r="P683" s="149"/>
      <c r="Q683" s="149"/>
      <c r="R683" s="149"/>
      <c r="S683" s="149"/>
      <c r="T683" s="149"/>
      <c r="U683" s="149"/>
      <c r="V683" s="149"/>
      <c r="W683" s="149"/>
      <c r="X683" s="161">
        <v>4655783.1999999993</v>
      </c>
      <c r="Y683" s="145"/>
      <c r="Z683" s="145"/>
      <c r="AX683" s="141" t="s">
        <v>7</v>
      </c>
      <c r="AY683" s="141">
        <v>2000</v>
      </c>
      <c r="AZ683" s="141">
        <v>0</v>
      </c>
      <c r="BA683" s="141">
        <v>676.06</v>
      </c>
      <c r="BB683" s="141">
        <v>112100.18</v>
      </c>
      <c r="BC683" s="141">
        <v>400324.45</v>
      </c>
      <c r="BD683" s="141">
        <v>754269.95</v>
      </c>
      <c r="BE683" s="141">
        <v>1065498.8</v>
      </c>
      <c r="BF683" s="141">
        <v>1631919.18</v>
      </c>
      <c r="BG683" s="141">
        <v>1790405.43</v>
      </c>
      <c r="BH683" s="141">
        <v>3410266.54</v>
      </c>
      <c r="BI683" s="141">
        <v>4192534.82</v>
      </c>
      <c r="BJ683" s="141">
        <v>4535856.9400000004</v>
      </c>
      <c r="BK683" s="141">
        <v>5308745.79</v>
      </c>
      <c r="BL683" s="141">
        <v>5632606.8799999999</v>
      </c>
      <c r="BU683" s="141">
        <v>5632606.8799999999</v>
      </c>
    </row>
    <row r="684" spans="1:73" ht="14.4" x14ac:dyDescent="0.3">
      <c r="A684" s="160" t="s">
        <v>7</v>
      </c>
      <c r="B684" s="161">
        <v>2004</v>
      </c>
      <c r="C684" s="161">
        <v>0</v>
      </c>
      <c r="D684" s="161">
        <v>86009.57</v>
      </c>
      <c r="E684" s="161">
        <v>319586.17</v>
      </c>
      <c r="F684" s="161">
        <v>492166.25</v>
      </c>
      <c r="G684" s="161">
        <v>744784.37</v>
      </c>
      <c r="H684" s="161">
        <v>1272828.44</v>
      </c>
      <c r="I684" s="161">
        <v>2353966.69</v>
      </c>
      <c r="J684" s="161">
        <v>2661801.27</v>
      </c>
      <c r="K684" s="161">
        <v>3478016.02</v>
      </c>
      <c r="L684" s="161">
        <v>3547166.8</v>
      </c>
      <c r="M684" s="161">
        <v>3561186.31</v>
      </c>
      <c r="N684" s="161">
        <v>3577708.86</v>
      </c>
      <c r="O684" s="149"/>
      <c r="P684" s="149"/>
      <c r="Q684" s="149"/>
      <c r="R684" s="149"/>
      <c r="S684" s="149"/>
      <c r="T684" s="149"/>
      <c r="U684" s="149"/>
      <c r="V684" s="149"/>
      <c r="W684" s="149"/>
      <c r="X684" s="161">
        <v>3577708.86</v>
      </c>
      <c r="Y684" s="145"/>
      <c r="Z684" s="145"/>
      <c r="AX684" s="141" t="s">
        <v>7</v>
      </c>
      <c r="AY684" s="141">
        <v>2001</v>
      </c>
      <c r="AZ684" s="141">
        <v>0</v>
      </c>
      <c r="BA684" s="141">
        <v>0</v>
      </c>
      <c r="BB684" s="141">
        <v>1635.48</v>
      </c>
      <c r="BC684" s="141">
        <v>69750.31</v>
      </c>
      <c r="BD684" s="141">
        <v>246316.69</v>
      </c>
      <c r="BE684" s="141">
        <v>777105.71</v>
      </c>
      <c r="BF684" s="141">
        <v>1402847.71</v>
      </c>
      <c r="BG684" s="141">
        <v>2567653.13</v>
      </c>
      <c r="BH684" s="141">
        <v>3240048.57</v>
      </c>
      <c r="BI684" s="141">
        <v>4106779.64</v>
      </c>
      <c r="BJ684" s="141">
        <v>8800023.2100000009</v>
      </c>
      <c r="BK684" s="141">
        <v>9203087.1899999995</v>
      </c>
      <c r="BU684" s="141">
        <v>9203087.1899999995</v>
      </c>
    </row>
    <row r="685" spans="1:73" ht="14.4" x14ac:dyDescent="0.3">
      <c r="A685" s="160" t="s">
        <v>7</v>
      </c>
      <c r="B685" s="161">
        <v>2005</v>
      </c>
      <c r="C685" s="161">
        <v>37810.54</v>
      </c>
      <c r="D685" s="161">
        <v>468315.06999999995</v>
      </c>
      <c r="E685" s="161">
        <v>1636849.73</v>
      </c>
      <c r="F685" s="161">
        <v>7424514.4700000007</v>
      </c>
      <c r="G685" s="161">
        <v>9528277.7800000012</v>
      </c>
      <c r="H685" s="161">
        <v>14857498.84</v>
      </c>
      <c r="I685" s="161">
        <v>15961782.989999998</v>
      </c>
      <c r="J685" s="161">
        <v>17384362.23</v>
      </c>
      <c r="K685" s="161">
        <v>17590552.759999998</v>
      </c>
      <c r="L685" s="161">
        <v>18058085.350000001</v>
      </c>
      <c r="M685" s="161">
        <v>18135130.509999998</v>
      </c>
      <c r="N685" s="149"/>
      <c r="O685" s="149"/>
      <c r="P685" s="149"/>
      <c r="Q685" s="149"/>
      <c r="R685" s="149"/>
      <c r="S685" s="149"/>
      <c r="T685" s="149"/>
      <c r="U685" s="149"/>
      <c r="V685" s="149"/>
      <c r="W685" s="149"/>
      <c r="X685" s="161">
        <v>18135130.509999998</v>
      </c>
      <c r="Y685" s="145"/>
      <c r="Z685" s="145"/>
      <c r="AX685" s="141" t="s">
        <v>7</v>
      </c>
      <c r="AY685" s="141">
        <v>2002</v>
      </c>
      <c r="AZ685" s="141">
        <v>12.8</v>
      </c>
      <c r="BA685" s="141">
        <v>33890.230000000003</v>
      </c>
      <c r="BB685" s="141">
        <v>152394.01999999999</v>
      </c>
      <c r="BC685" s="141">
        <v>443384.52</v>
      </c>
      <c r="BD685" s="141">
        <v>651650.55000000005</v>
      </c>
      <c r="BE685" s="141">
        <v>1092909.3700000001</v>
      </c>
      <c r="BF685" s="141">
        <v>1492112.93</v>
      </c>
      <c r="BG685" s="141">
        <v>1718165.18</v>
      </c>
      <c r="BH685" s="141">
        <v>2560999.4900000002</v>
      </c>
      <c r="BI685" s="141">
        <v>2729549.1</v>
      </c>
      <c r="BJ685" s="141">
        <v>2918998.39</v>
      </c>
      <c r="BU685" s="141">
        <v>2918998.39</v>
      </c>
    </row>
    <row r="686" spans="1:73" ht="14.4" x14ac:dyDescent="0.3">
      <c r="A686" s="160" t="s">
        <v>7</v>
      </c>
      <c r="B686" s="161">
        <v>2006</v>
      </c>
      <c r="C686" s="161">
        <v>0</v>
      </c>
      <c r="D686" s="161">
        <v>18123.37</v>
      </c>
      <c r="E686" s="161">
        <v>69538.48</v>
      </c>
      <c r="F686" s="161">
        <v>153154.23999999999</v>
      </c>
      <c r="G686" s="161">
        <v>681884.3899999999</v>
      </c>
      <c r="H686" s="161">
        <v>729180.7</v>
      </c>
      <c r="I686" s="161">
        <v>2017613.8899999997</v>
      </c>
      <c r="J686" s="161">
        <v>2001314.4900000002</v>
      </c>
      <c r="K686" s="161">
        <v>1956522.44</v>
      </c>
      <c r="L686" s="161">
        <v>1980932.1199999996</v>
      </c>
      <c r="M686" s="149"/>
      <c r="N686" s="149"/>
      <c r="O686" s="149"/>
      <c r="P686" s="149"/>
      <c r="Q686" s="149"/>
      <c r="R686" s="149"/>
      <c r="S686" s="149"/>
      <c r="T686" s="149"/>
      <c r="U686" s="149"/>
      <c r="V686" s="149"/>
      <c r="W686" s="149"/>
      <c r="X686" s="161">
        <v>1980932.1199999996</v>
      </c>
      <c r="Y686" s="145"/>
      <c r="Z686" s="145"/>
      <c r="AX686" s="141" t="s">
        <v>7</v>
      </c>
      <c r="AY686" s="141">
        <v>2003</v>
      </c>
      <c r="AZ686" s="141">
        <v>37074.5</v>
      </c>
      <c r="BA686" s="141">
        <v>143618.73000000001</v>
      </c>
      <c r="BB686" s="141">
        <v>302759.28999999998</v>
      </c>
      <c r="BC686" s="141">
        <v>521289.61</v>
      </c>
      <c r="BD686" s="141">
        <v>1115682.02</v>
      </c>
      <c r="BE686" s="141">
        <v>1746802.21</v>
      </c>
      <c r="BF686" s="141">
        <v>4881425.01</v>
      </c>
      <c r="BG686" s="141">
        <v>4408721.2300000004</v>
      </c>
      <c r="BH686" s="141">
        <v>4451793.58</v>
      </c>
      <c r="BI686" s="141">
        <v>4478242.68</v>
      </c>
      <c r="BU686" s="141">
        <v>4478242.68</v>
      </c>
    </row>
    <row r="687" spans="1:73" ht="14.4" x14ac:dyDescent="0.3">
      <c r="A687" s="160" t="s">
        <v>7</v>
      </c>
      <c r="B687" s="161">
        <v>2007</v>
      </c>
      <c r="C687" s="161">
        <v>0</v>
      </c>
      <c r="D687" s="161">
        <v>8409.4</v>
      </c>
      <c r="E687" s="161">
        <v>99336.75</v>
      </c>
      <c r="F687" s="161">
        <v>193036.87</v>
      </c>
      <c r="G687" s="161">
        <v>391503.66000000003</v>
      </c>
      <c r="H687" s="161">
        <v>2475525.5</v>
      </c>
      <c r="I687" s="161">
        <v>2782402.44</v>
      </c>
      <c r="J687" s="161">
        <v>2870576.85</v>
      </c>
      <c r="K687" s="161">
        <v>3132382.39</v>
      </c>
      <c r="L687" s="149"/>
      <c r="M687" s="149"/>
      <c r="N687" s="149"/>
      <c r="O687" s="149"/>
      <c r="P687" s="149"/>
      <c r="Q687" s="149"/>
      <c r="R687" s="149"/>
      <c r="S687" s="149"/>
      <c r="T687" s="149"/>
      <c r="U687" s="149"/>
      <c r="V687" s="149"/>
      <c r="W687" s="149"/>
      <c r="X687" s="161">
        <v>3132382.39</v>
      </c>
      <c r="Y687" s="145"/>
      <c r="Z687" s="145"/>
      <c r="AX687" s="141" t="s">
        <v>7</v>
      </c>
      <c r="AY687" s="141">
        <v>2004</v>
      </c>
      <c r="AZ687" s="141">
        <v>0</v>
      </c>
      <c r="BA687" s="141">
        <v>86009.57</v>
      </c>
      <c r="BB687" s="141">
        <v>319586.17</v>
      </c>
      <c r="BC687" s="141">
        <v>492166.25</v>
      </c>
      <c r="BD687" s="141">
        <v>744784.37</v>
      </c>
      <c r="BE687" s="141">
        <v>1272828.44</v>
      </c>
      <c r="BF687" s="141">
        <v>2353966.69</v>
      </c>
      <c r="BG687" s="141">
        <v>2661801.27</v>
      </c>
      <c r="BH687" s="141">
        <v>3478016.02</v>
      </c>
      <c r="BU687" s="141">
        <v>3478016.02</v>
      </c>
    </row>
    <row r="688" spans="1:73" ht="14.4" x14ac:dyDescent="0.3">
      <c r="A688" s="160" t="s">
        <v>7</v>
      </c>
      <c r="B688" s="161">
        <v>2008</v>
      </c>
      <c r="C688" s="161">
        <v>0</v>
      </c>
      <c r="D688" s="161">
        <v>0</v>
      </c>
      <c r="E688" s="161">
        <v>591.02</v>
      </c>
      <c r="F688" s="161">
        <v>750.42</v>
      </c>
      <c r="G688" s="161">
        <v>6739.9</v>
      </c>
      <c r="H688" s="161">
        <v>6739.9</v>
      </c>
      <c r="I688" s="161">
        <v>6739.9</v>
      </c>
      <c r="J688" s="161">
        <v>7619.85</v>
      </c>
      <c r="K688" s="149"/>
      <c r="L688" s="149"/>
      <c r="M688" s="149"/>
      <c r="N688" s="149"/>
      <c r="O688" s="149"/>
      <c r="P688" s="149"/>
      <c r="Q688" s="149"/>
      <c r="R688" s="149"/>
      <c r="S688" s="149"/>
      <c r="T688" s="149"/>
      <c r="U688" s="149"/>
      <c r="V688" s="149"/>
      <c r="W688" s="149"/>
      <c r="X688" s="161">
        <v>7619.85</v>
      </c>
      <c r="Y688" s="145"/>
      <c r="Z688" s="145"/>
      <c r="AX688" s="141" t="s">
        <v>7</v>
      </c>
      <c r="AY688" s="141">
        <v>2005</v>
      </c>
      <c r="AZ688" s="141">
        <v>37810.54</v>
      </c>
      <c r="BA688" s="141">
        <v>468315.07</v>
      </c>
      <c r="BB688" s="141">
        <v>1636849.73</v>
      </c>
      <c r="BC688" s="141">
        <v>7424514.4699999997</v>
      </c>
      <c r="BD688" s="141">
        <v>9528277.7799999993</v>
      </c>
      <c r="BE688" s="141">
        <v>14857498.84</v>
      </c>
      <c r="BF688" s="141">
        <v>15961782.99</v>
      </c>
      <c r="BG688" s="141">
        <v>17384362.23</v>
      </c>
      <c r="BU688" s="141">
        <v>17384362.23</v>
      </c>
    </row>
    <row r="689" spans="1:73" ht="14.4" x14ac:dyDescent="0.3">
      <c r="A689" s="160" t="s">
        <v>7</v>
      </c>
      <c r="B689" s="161">
        <v>2009</v>
      </c>
      <c r="C689" s="161">
        <v>0</v>
      </c>
      <c r="D689" s="161">
        <v>0</v>
      </c>
      <c r="E689" s="161">
        <v>0</v>
      </c>
      <c r="F689" s="161">
        <v>0</v>
      </c>
      <c r="G689" s="161">
        <v>0</v>
      </c>
      <c r="H689" s="161">
        <v>-1946.82</v>
      </c>
      <c r="I689" s="161">
        <v>-14074.8</v>
      </c>
      <c r="J689" s="149"/>
      <c r="K689" s="149"/>
      <c r="L689" s="149"/>
      <c r="M689" s="149"/>
      <c r="N689" s="149"/>
      <c r="O689" s="149"/>
      <c r="P689" s="149"/>
      <c r="Q689" s="149"/>
      <c r="R689" s="149"/>
      <c r="S689" s="149"/>
      <c r="T689" s="149"/>
      <c r="U689" s="149"/>
      <c r="V689" s="149"/>
      <c r="W689" s="149"/>
      <c r="X689" s="161">
        <v>-14074.8</v>
      </c>
      <c r="Y689" s="145"/>
      <c r="Z689" s="145"/>
      <c r="AX689" s="141" t="s">
        <v>7</v>
      </c>
      <c r="AY689" s="141">
        <v>2006</v>
      </c>
      <c r="AZ689" s="141">
        <v>0</v>
      </c>
      <c r="BA689" s="141">
        <v>18123.37</v>
      </c>
      <c r="BB689" s="141">
        <v>69538.48</v>
      </c>
      <c r="BC689" s="141">
        <v>153154.23999999999</v>
      </c>
      <c r="BD689" s="141">
        <v>681884.39</v>
      </c>
      <c r="BE689" s="141">
        <v>729180.7</v>
      </c>
      <c r="BF689" s="141">
        <v>2017233.89</v>
      </c>
      <c r="BU689" s="141">
        <v>2017233.89</v>
      </c>
    </row>
    <row r="690" spans="1:73" ht="14.4" x14ac:dyDescent="0.3">
      <c r="A690" s="160" t="s">
        <v>7</v>
      </c>
      <c r="B690" s="161">
        <v>2010</v>
      </c>
      <c r="C690" s="161">
        <v>0</v>
      </c>
      <c r="D690" s="161">
        <v>0</v>
      </c>
      <c r="E690" s="161">
        <v>0</v>
      </c>
      <c r="F690" s="161">
        <v>1370.16</v>
      </c>
      <c r="G690" s="161">
        <v>1370.16</v>
      </c>
      <c r="H690" s="161">
        <v>1370.16</v>
      </c>
      <c r="I690" s="149"/>
      <c r="J690" s="149"/>
      <c r="K690" s="149"/>
      <c r="L690" s="149"/>
      <c r="M690" s="149"/>
      <c r="N690" s="149"/>
      <c r="O690" s="149"/>
      <c r="P690" s="149"/>
      <c r="Q690" s="149"/>
      <c r="R690" s="149"/>
      <c r="S690" s="149"/>
      <c r="T690" s="149"/>
      <c r="U690" s="149"/>
      <c r="V690" s="149"/>
      <c r="W690" s="149"/>
      <c r="X690" s="161">
        <v>1370.16</v>
      </c>
      <c r="Y690" s="145"/>
      <c r="Z690" s="145"/>
      <c r="AX690" s="141" t="s">
        <v>7</v>
      </c>
      <c r="AY690" s="141">
        <v>2007</v>
      </c>
      <c r="AZ690" s="141">
        <v>0</v>
      </c>
      <c r="BA690" s="141">
        <v>8409.4</v>
      </c>
      <c r="BB690" s="141">
        <v>99336.75</v>
      </c>
      <c r="BC690" s="141">
        <v>193036.87</v>
      </c>
      <c r="BD690" s="141">
        <v>391503.66</v>
      </c>
      <c r="BE690" s="141">
        <v>2475525.5</v>
      </c>
      <c r="BU690" s="141">
        <v>2475525.5</v>
      </c>
    </row>
    <row r="691" spans="1:73" ht="14.4" x14ac:dyDescent="0.3">
      <c r="A691" s="160" t="s">
        <v>7</v>
      </c>
      <c r="B691" s="161">
        <v>2011</v>
      </c>
      <c r="C691" s="161">
        <v>0</v>
      </c>
      <c r="D691" s="161">
        <v>0</v>
      </c>
      <c r="E691" s="161">
        <v>5124.54</v>
      </c>
      <c r="F691" s="161">
        <v>5259.54</v>
      </c>
      <c r="G691" s="161">
        <v>5259.54</v>
      </c>
      <c r="H691" s="149"/>
      <c r="I691" s="149"/>
      <c r="J691" s="149"/>
      <c r="K691" s="149"/>
      <c r="L691" s="149"/>
      <c r="M691" s="149"/>
      <c r="N691" s="149"/>
      <c r="O691" s="149"/>
      <c r="P691" s="149"/>
      <c r="Q691" s="149"/>
      <c r="R691" s="149"/>
      <c r="S691" s="149"/>
      <c r="T691" s="149"/>
      <c r="U691" s="149"/>
      <c r="V691" s="149"/>
      <c r="W691" s="149"/>
      <c r="X691" s="161">
        <v>5259.54</v>
      </c>
      <c r="Y691" s="145"/>
      <c r="Z691" s="145"/>
      <c r="AX691" s="141" t="s">
        <v>7</v>
      </c>
      <c r="AY691" s="141">
        <v>2008</v>
      </c>
      <c r="AZ691" s="141">
        <v>0</v>
      </c>
      <c r="BA691" s="141">
        <v>0</v>
      </c>
      <c r="BB691" s="141">
        <v>591.02</v>
      </c>
      <c r="BC691" s="141">
        <v>750.42</v>
      </c>
      <c r="BD691" s="141">
        <v>6739.9</v>
      </c>
      <c r="BU691" s="141">
        <v>6739.9</v>
      </c>
    </row>
    <row r="692" spans="1:73" ht="14.4" x14ac:dyDescent="0.3">
      <c r="A692" s="160" t="s">
        <v>7</v>
      </c>
      <c r="B692" s="161">
        <v>2012</v>
      </c>
      <c r="C692" s="161">
        <v>0</v>
      </c>
      <c r="D692" s="161">
        <v>0</v>
      </c>
      <c r="E692" s="161">
        <v>0</v>
      </c>
      <c r="F692" s="161">
        <v>0</v>
      </c>
      <c r="G692" s="149"/>
      <c r="H692" s="149"/>
      <c r="I692" s="149"/>
      <c r="J692" s="149"/>
      <c r="K692" s="149"/>
      <c r="L692" s="149"/>
      <c r="M692" s="149"/>
      <c r="N692" s="149"/>
      <c r="O692" s="149"/>
      <c r="P692" s="149"/>
      <c r="Q692" s="149"/>
      <c r="R692" s="149"/>
      <c r="S692" s="149"/>
      <c r="T692" s="149"/>
      <c r="U692" s="149"/>
      <c r="V692" s="149"/>
      <c r="W692" s="149"/>
      <c r="X692" s="161">
        <v>0</v>
      </c>
      <c r="Y692" s="145"/>
      <c r="Z692" s="145"/>
      <c r="AX692" s="141" t="s">
        <v>7</v>
      </c>
      <c r="AY692" s="141">
        <v>2009</v>
      </c>
      <c r="AZ692" s="141">
        <v>0</v>
      </c>
      <c r="BA692" s="141">
        <v>0</v>
      </c>
      <c r="BB692" s="141">
        <v>0</v>
      </c>
      <c r="BC692" s="141">
        <v>0</v>
      </c>
      <c r="BU692" s="141">
        <v>0</v>
      </c>
    </row>
    <row r="693" spans="1:73" ht="14.4" x14ac:dyDescent="0.3">
      <c r="A693" s="160" t="s">
        <v>7</v>
      </c>
      <c r="B693" s="161">
        <v>2013</v>
      </c>
      <c r="C693" s="161">
        <v>0</v>
      </c>
      <c r="D693" s="161">
        <v>0</v>
      </c>
      <c r="E693" s="161">
        <v>0</v>
      </c>
      <c r="F693" s="149"/>
      <c r="G693" s="149"/>
      <c r="H693" s="149"/>
      <c r="I693" s="149"/>
      <c r="J693" s="149"/>
      <c r="K693" s="149"/>
      <c r="L693" s="149"/>
      <c r="M693" s="149"/>
      <c r="N693" s="149"/>
      <c r="O693" s="149"/>
      <c r="P693" s="149"/>
      <c r="Q693" s="149"/>
      <c r="R693" s="149"/>
      <c r="S693" s="149"/>
      <c r="T693" s="149"/>
      <c r="U693" s="149"/>
      <c r="V693" s="149"/>
      <c r="W693" s="149"/>
      <c r="X693" s="161">
        <v>0</v>
      </c>
      <c r="Y693" s="145"/>
      <c r="Z693" s="145"/>
      <c r="AX693" s="141" t="s">
        <v>7</v>
      </c>
      <c r="AY693" s="141">
        <v>2010</v>
      </c>
      <c r="AZ693" s="141">
        <v>0</v>
      </c>
      <c r="BA693" s="141">
        <v>0</v>
      </c>
      <c r="BB693" s="141">
        <v>0</v>
      </c>
      <c r="BU693" s="141">
        <v>0</v>
      </c>
    </row>
    <row r="694" spans="1:73" ht="14.4" x14ac:dyDescent="0.3">
      <c r="A694" s="160" t="s">
        <v>7</v>
      </c>
      <c r="B694" s="161">
        <v>2014</v>
      </c>
      <c r="C694" s="161">
        <v>0</v>
      </c>
      <c r="D694" s="161">
        <v>0</v>
      </c>
      <c r="E694" s="149"/>
      <c r="F694" s="149"/>
      <c r="G694" s="149"/>
      <c r="H694" s="149"/>
      <c r="I694" s="149"/>
      <c r="J694" s="149"/>
      <c r="K694" s="149"/>
      <c r="L694" s="149"/>
      <c r="M694" s="149"/>
      <c r="N694" s="149"/>
      <c r="O694" s="149"/>
      <c r="P694" s="149"/>
      <c r="Q694" s="149"/>
      <c r="R694" s="149"/>
      <c r="S694" s="149"/>
      <c r="T694" s="149"/>
      <c r="U694" s="149"/>
      <c r="V694" s="149"/>
      <c r="W694" s="149"/>
      <c r="X694" s="161">
        <v>0</v>
      </c>
      <c r="Y694" s="145"/>
      <c r="Z694" s="145"/>
      <c r="AX694" s="141" t="s">
        <v>7</v>
      </c>
      <c r="AY694" s="141">
        <v>2011</v>
      </c>
      <c r="AZ694" s="141">
        <v>0</v>
      </c>
      <c r="BA694" s="141">
        <v>0</v>
      </c>
      <c r="BU694" s="141">
        <v>0</v>
      </c>
    </row>
    <row r="695" spans="1:73" ht="14.4" x14ac:dyDescent="0.3">
      <c r="A695" s="160" t="s">
        <v>7</v>
      </c>
      <c r="B695" s="161">
        <v>2015</v>
      </c>
      <c r="C695" s="161">
        <v>0</v>
      </c>
      <c r="D695" s="149"/>
      <c r="E695" s="149"/>
      <c r="F695" s="149"/>
      <c r="G695" s="149"/>
      <c r="H695" s="149"/>
      <c r="I695" s="149"/>
      <c r="J695" s="149"/>
      <c r="K695" s="149"/>
      <c r="L695" s="149"/>
      <c r="M695" s="149"/>
      <c r="N695" s="149"/>
      <c r="O695" s="149"/>
      <c r="P695" s="149"/>
      <c r="Q695" s="149"/>
      <c r="R695" s="149"/>
      <c r="S695" s="149"/>
      <c r="T695" s="149"/>
      <c r="U695" s="149"/>
      <c r="V695" s="149"/>
      <c r="W695" s="149"/>
      <c r="X695" s="161">
        <v>0</v>
      </c>
      <c r="Y695" s="145"/>
      <c r="Z695" s="145"/>
      <c r="AX695" s="141" t="s">
        <v>7</v>
      </c>
      <c r="AY695" s="141">
        <v>2012</v>
      </c>
      <c r="AZ695" s="141">
        <v>0</v>
      </c>
      <c r="BU695" s="141">
        <v>0</v>
      </c>
    </row>
    <row r="696" spans="1:73" ht="14.4" x14ac:dyDescent="0.3">
      <c r="A696" s="160" t="s">
        <v>258</v>
      </c>
      <c r="B696" s="161">
        <v>1995</v>
      </c>
      <c r="C696" s="161">
        <v>444708715.87</v>
      </c>
      <c r="D696" s="161">
        <v>683026460.61000001</v>
      </c>
      <c r="E696" s="161">
        <v>774037176</v>
      </c>
      <c r="F696" s="161">
        <v>839582787.20000005</v>
      </c>
      <c r="G696" s="161">
        <v>872402352.39999998</v>
      </c>
      <c r="H696" s="161">
        <v>885371991.27999997</v>
      </c>
      <c r="I696" s="161">
        <v>893794974.36000001</v>
      </c>
      <c r="J696" s="161">
        <v>898440880.29999995</v>
      </c>
      <c r="K696" s="161">
        <v>900328403.92000008</v>
      </c>
      <c r="L696" s="161">
        <v>901154005.42000008</v>
      </c>
      <c r="M696" s="161">
        <v>901896338.07999992</v>
      </c>
      <c r="N696" s="161">
        <v>902277042.63999999</v>
      </c>
      <c r="O696" s="161">
        <v>902716539.75999999</v>
      </c>
      <c r="P696" s="161">
        <v>902807617.80999994</v>
      </c>
      <c r="Q696" s="161">
        <v>902926538.81999993</v>
      </c>
      <c r="R696" s="161">
        <v>903192856.22000003</v>
      </c>
      <c r="S696" s="161">
        <v>903216382.43999994</v>
      </c>
      <c r="T696" s="161">
        <v>903244648.35000002</v>
      </c>
      <c r="U696" s="161">
        <v>903299876.61000001</v>
      </c>
      <c r="V696" s="161">
        <v>903535889.37</v>
      </c>
      <c r="W696" s="161">
        <v>903566787.69000006</v>
      </c>
      <c r="X696" s="161">
        <v>903566787.69000006</v>
      </c>
      <c r="Y696" s="145"/>
      <c r="Z696" s="145"/>
      <c r="AX696" s="141" t="s">
        <v>8</v>
      </c>
      <c r="AY696" s="141">
        <v>1992</v>
      </c>
      <c r="AZ696" s="141">
        <v>101319912.23999999</v>
      </c>
      <c r="BA696" s="141">
        <v>72868002.670000002</v>
      </c>
      <c r="BB696" s="141">
        <v>110990126.37</v>
      </c>
      <c r="BC696" s="141">
        <v>159970588.94</v>
      </c>
      <c r="BD696" s="141">
        <v>210855335.03</v>
      </c>
      <c r="BE696" s="141">
        <v>262639630.72999999</v>
      </c>
      <c r="BF696" s="141">
        <v>319916210.79000002</v>
      </c>
      <c r="BG696" s="141">
        <v>415098250.85000002</v>
      </c>
      <c r="BH696" s="141">
        <v>525201727.92000002</v>
      </c>
      <c r="BI696" s="141">
        <v>658178976.47000003</v>
      </c>
      <c r="BJ696" s="141">
        <v>739877155.44000006</v>
      </c>
      <c r="BK696" s="141">
        <v>864631934.74000001</v>
      </c>
      <c r="BL696" s="141">
        <v>945538242.21000004</v>
      </c>
      <c r="BM696" s="141">
        <v>1092932411.1099999</v>
      </c>
      <c r="BN696" s="141">
        <v>1242145607.9400001</v>
      </c>
      <c r="BO696" s="141">
        <v>1351018719.4400001</v>
      </c>
      <c r="BP696" s="141">
        <v>1486648221</v>
      </c>
      <c r="BQ696" s="141">
        <v>1604457466.4100001</v>
      </c>
      <c r="BR696" s="141">
        <v>1675148658.9200001</v>
      </c>
      <c r="BS696" s="141">
        <v>1827920172.6099999</v>
      </c>
      <c r="BT696" s="141">
        <v>1875743647.4400001</v>
      </c>
      <c r="BU696" s="141">
        <v>1875743647.4400001</v>
      </c>
    </row>
    <row r="697" spans="1:73" ht="14.4" x14ac:dyDescent="0.3">
      <c r="A697" s="160" t="s">
        <v>258</v>
      </c>
      <c r="B697" s="161">
        <v>1996</v>
      </c>
      <c r="C697" s="161">
        <v>594618999.33000004</v>
      </c>
      <c r="D697" s="161">
        <v>843549769.12</v>
      </c>
      <c r="E697" s="161">
        <v>941983593.26000011</v>
      </c>
      <c r="F697" s="161">
        <v>1001463992.37</v>
      </c>
      <c r="G697" s="161">
        <v>1033183789.4599999</v>
      </c>
      <c r="H697" s="161">
        <v>1054401740.9299998</v>
      </c>
      <c r="I697" s="161">
        <v>1065478373.5700002</v>
      </c>
      <c r="J697" s="161">
        <v>1069439117.0799999</v>
      </c>
      <c r="K697" s="161">
        <v>1073285553.37</v>
      </c>
      <c r="L697" s="161">
        <v>1074569083.6799998</v>
      </c>
      <c r="M697" s="161">
        <v>1075977464.8699999</v>
      </c>
      <c r="N697" s="161">
        <v>1077010664.3999999</v>
      </c>
      <c r="O697" s="161">
        <v>1077412299.9400001</v>
      </c>
      <c r="P697" s="161">
        <v>1078991380.1500001</v>
      </c>
      <c r="Q697" s="161">
        <v>1079264929.3299999</v>
      </c>
      <c r="R697" s="161">
        <v>1079645040.5900002</v>
      </c>
      <c r="S697" s="161">
        <v>1079834656.3900001</v>
      </c>
      <c r="T697" s="161">
        <v>1080085091.95</v>
      </c>
      <c r="U697" s="161">
        <v>1080252799.0899999</v>
      </c>
      <c r="V697" s="161">
        <v>1080513723.9299998</v>
      </c>
      <c r="W697" s="149"/>
      <c r="X697" s="161">
        <v>1080513723.9299998</v>
      </c>
      <c r="Y697" s="145"/>
      <c r="Z697" s="145"/>
      <c r="AX697" s="141" t="s">
        <v>8</v>
      </c>
      <c r="AY697" s="141">
        <v>1993</v>
      </c>
      <c r="AZ697" s="141">
        <v>13274.44</v>
      </c>
      <c r="BA697" s="141">
        <v>56651.12</v>
      </c>
      <c r="BB697" s="141">
        <v>68778.86</v>
      </c>
      <c r="BC697" s="141">
        <v>92037.49</v>
      </c>
      <c r="BD697" s="141">
        <v>145056.68</v>
      </c>
      <c r="BE697" s="141">
        <v>166487.63</v>
      </c>
      <c r="BF697" s="141">
        <v>263678.28000000003</v>
      </c>
      <c r="BG697" s="141">
        <v>364754.69</v>
      </c>
      <c r="BH697" s="141">
        <v>787629.87</v>
      </c>
      <c r="BI697" s="141">
        <v>1190264.3</v>
      </c>
      <c r="BJ697" s="141">
        <v>1970924.16</v>
      </c>
      <c r="BK697" s="141">
        <v>2307918.15</v>
      </c>
      <c r="BL697" s="141">
        <v>2961008.71</v>
      </c>
      <c r="BM697" s="141">
        <v>3847044.14</v>
      </c>
      <c r="BN697" s="141">
        <v>4249382.13</v>
      </c>
      <c r="BO697" s="141">
        <v>4972571.2</v>
      </c>
      <c r="BP697" s="141">
        <v>5315890.8</v>
      </c>
      <c r="BQ697" s="141">
        <v>6015283.3499999996</v>
      </c>
      <c r="BR697" s="141">
        <v>7789321</v>
      </c>
      <c r="BS697" s="141">
        <v>8177199.8600000003</v>
      </c>
      <c r="BU697" s="141">
        <v>8177199.8600000003</v>
      </c>
    </row>
    <row r="698" spans="1:73" ht="14.4" x14ac:dyDescent="0.3">
      <c r="A698" s="160" t="s">
        <v>258</v>
      </c>
      <c r="B698" s="161">
        <v>1997</v>
      </c>
      <c r="C698" s="161">
        <v>564546103.76999998</v>
      </c>
      <c r="D698" s="161">
        <v>791498426.67999995</v>
      </c>
      <c r="E698" s="161">
        <v>899108441.63</v>
      </c>
      <c r="F698" s="161">
        <v>946650665.29999995</v>
      </c>
      <c r="G698" s="161">
        <v>983147544.54999995</v>
      </c>
      <c r="H698" s="161">
        <v>1002283046.12</v>
      </c>
      <c r="I698" s="161">
        <v>1010443016.8</v>
      </c>
      <c r="J698" s="161">
        <v>1014454558.9200001</v>
      </c>
      <c r="K698" s="161">
        <v>1016894654.64</v>
      </c>
      <c r="L698" s="161">
        <v>1019625250.86</v>
      </c>
      <c r="M698" s="161">
        <v>1020976389.4599999</v>
      </c>
      <c r="N698" s="161">
        <v>1022077042.92</v>
      </c>
      <c r="O698" s="161">
        <v>1023162847.9399999</v>
      </c>
      <c r="P698" s="161">
        <v>1024843846.09</v>
      </c>
      <c r="Q698" s="161">
        <v>1025348632.0400001</v>
      </c>
      <c r="R698" s="161">
        <v>1025680928.3099999</v>
      </c>
      <c r="S698" s="161">
        <v>1026187248.7099999</v>
      </c>
      <c r="T698" s="161">
        <v>1027331219.76</v>
      </c>
      <c r="U698" s="161">
        <v>1027961637.9300001</v>
      </c>
      <c r="V698" s="149"/>
      <c r="W698" s="149"/>
      <c r="X698" s="161">
        <v>1027961637.9300001</v>
      </c>
      <c r="Y698" s="145"/>
      <c r="Z698" s="145"/>
      <c r="AX698" s="141" t="s">
        <v>8</v>
      </c>
      <c r="AY698" s="141">
        <v>1994</v>
      </c>
      <c r="AZ698" s="141">
        <v>7572</v>
      </c>
      <c r="BA698" s="141">
        <v>213775.76</v>
      </c>
      <c r="BB698" s="141">
        <v>220949.68</v>
      </c>
      <c r="BC698" s="141">
        <v>271820.17</v>
      </c>
      <c r="BD698" s="141">
        <v>283633.27</v>
      </c>
      <c r="BE698" s="141">
        <v>291958.34999999998</v>
      </c>
      <c r="BF698" s="141">
        <v>442731.62</v>
      </c>
      <c r="BG698" s="141">
        <v>542237.06999999995</v>
      </c>
      <c r="BH698" s="141">
        <v>705929.31</v>
      </c>
      <c r="BI698" s="141">
        <v>1410306.7</v>
      </c>
      <c r="BJ698" s="141">
        <v>2009886.01</v>
      </c>
      <c r="BK698" s="141">
        <v>2858813.14</v>
      </c>
      <c r="BL698" s="141">
        <v>2097097.12</v>
      </c>
      <c r="BM698" s="141">
        <v>2584002.4</v>
      </c>
      <c r="BN698" s="141">
        <v>3162873.72</v>
      </c>
      <c r="BO698" s="141">
        <v>3841984.9</v>
      </c>
      <c r="BP698" s="141">
        <v>4912101.68</v>
      </c>
      <c r="BQ698" s="141">
        <v>5824540.0199999996</v>
      </c>
      <c r="BR698" s="141">
        <v>6419198.0700000003</v>
      </c>
      <c r="BU698" s="141">
        <v>6419198.0700000003</v>
      </c>
    </row>
    <row r="699" spans="1:73" ht="14.4" x14ac:dyDescent="0.3">
      <c r="A699" s="160" t="s">
        <v>258</v>
      </c>
      <c r="B699" s="161">
        <v>1998</v>
      </c>
      <c r="C699" s="161">
        <v>660784041.22000003</v>
      </c>
      <c r="D699" s="161">
        <v>914569898.10000002</v>
      </c>
      <c r="E699" s="161">
        <v>992161798.07000005</v>
      </c>
      <c r="F699" s="161">
        <v>1060342916.0699999</v>
      </c>
      <c r="G699" s="161">
        <v>1104080868.04</v>
      </c>
      <c r="H699" s="161">
        <v>1122031579.4100001</v>
      </c>
      <c r="I699" s="161">
        <v>1130760035.24</v>
      </c>
      <c r="J699" s="161">
        <v>1133037597.72</v>
      </c>
      <c r="K699" s="161">
        <v>1135034615.4399998</v>
      </c>
      <c r="L699" s="161">
        <v>1135883196.1299999</v>
      </c>
      <c r="M699" s="161">
        <v>1138054664.0599999</v>
      </c>
      <c r="N699" s="161">
        <v>1138926497.3800001</v>
      </c>
      <c r="O699" s="161">
        <v>1139257251.03</v>
      </c>
      <c r="P699" s="161">
        <v>1140091612.5799999</v>
      </c>
      <c r="Q699" s="161">
        <v>1140260992.5899999</v>
      </c>
      <c r="R699" s="161">
        <v>1140525881.8299999</v>
      </c>
      <c r="S699" s="161">
        <v>1140727105.0200002</v>
      </c>
      <c r="T699" s="161">
        <v>1140965209.55</v>
      </c>
      <c r="U699" s="149"/>
      <c r="V699" s="149"/>
      <c r="W699" s="149"/>
      <c r="X699" s="161">
        <v>1140965209.55</v>
      </c>
      <c r="Y699" s="145"/>
      <c r="Z699" s="145"/>
      <c r="AX699" s="141" t="s">
        <v>8</v>
      </c>
      <c r="AY699" s="141">
        <v>1995</v>
      </c>
      <c r="AZ699" s="141">
        <v>174045.04</v>
      </c>
      <c r="BA699" s="141">
        <v>206233.56</v>
      </c>
      <c r="BB699" s="141">
        <v>210596.1</v>
      </c>
      <c r="BC699" s="141">
        <v>216046.87</v>
      </c>
      <c r="BD699" s="141">
        <v>273638.17</v>
      </c>
      <c r="BE699" s="141">
        <v>349182.63</v>
      </c>
      <c r="BF699" s="141">
        <v>477719.23</v>
      </c>
      <c r="BG699" s="141">
        <v>683750.78</v>
      </c>
      <c r="BH699" s="141">
        <v>1146733.51</v>
      </c>
      <c r="BI699" s="141">
        <v>1659085.21</v>
      </c>
      <c r="BJ699" s="141">
        <v>2482182.84</v>
      </c>
      <c r="BK699" s="141">
        <v>3405689.27</v>
      </c>
      <c r="BL699" s="141">
        <v>4136208.02</v>
      </c>
      <c r="BM699" s="141">
        <v>4694208.93</v>
      </c>
      <c r="BN699" s="141">
        <v>5722006.0499999998</v>
      </c>
      <c r="BO699" s="141">
        <v>6892830.2400000002</v>
      </c>
      <c r="BP699" s="141">
        <v>8587954.6400000006</v>
      </c>
      <c r="BQ699" s="141">
        <v>9256691.0700000003</v>
      </c>
      <c r="BU699" s="141">
        <v>9256691.0700000003</v>
      </c>
    </row>
    <row r="700" spans="1:73" ht="14.4" x14ac:dyDescent="0.3">
      <c r="A700" s="160" t="s">
        <v>258</v>
      </c>
      <c r="B700" s="161">
        <v>1999</v>
      </c>
      <c r="C700" s="161">
        <v>650146424.29999995</v>
      </c>
      <c r="D700" s="161">
        <v>780818904.06999993</v>
      </c>
      <c r="E700" s="161">
        <v>870351346.13</v>
      </c>
      <c r="F700" s="161">
        <v>919365386.56000018</v>
      </c>
      <c r="G700" s="161">
        <v>948063652.88999999</v>
      </c>
      <c r="H700" s="161">
        <v>965367577.81999993</v>
      </c>
      <c r="I700" s="161">
        <v>969304148.61000013</v>
      </c>
      <c r="J700" s="161">
        <v>972908780.33999991</v>
      </c>
      <c r="K700" s="161">
        <v>974854112.51000011</v>
      </c>
      <c r="L700" s="161">
        <v>975944639.82000005</v>
      </c>
      <c r="M700" s="161">
        <v>976445937.51000011</v>
      </c>
      <c r="N700" s="161">
        <v>977662841.1099999</v>
      </c>
      <c r="O700" s="161">
        <v>978108233.14999998</v>
      </c>
      <c r="P700" s="161">
        <v>978799155.39999998</v>
      </c>
      <c r="Q700" s="161">
        <v>979184885.29000008</v>
      </c>
      <c r="R700" s="161">
        <v>979372298.10000002</v>
      </c>
      <c r="S700" s="161">
        <v>979386604.93000007</v>
      </c>
      <c r="T700" s="149"/>
      <c r="U700" s="149"/>
      <c r="V700" s="149"/>
      <c r="W700" s="149"/>
      <c r="X700" s="161">
        <v>979386604.93000007</v>
      </c>
      <c r="Y700" s="145"/>
      <c r="Z700" s="145"/>
      <c r="AX700" s="141" t="s">
        <v>8</v>
      </c>
      <c r="AY700" s="141">
        <v>1996</v>
      </c>
      <c r="AZ700" s="141">
        <v>295193.38</v>
      </c>
      <c r="BA700" s="141">
        <v>304370.83</v>
      </c>
      <c r="BB700" s="141">
        <v>318697.58</v>
      </c>
      <c r="BC700" s="141">
        <v>340130.5</v>
      </c>
      <c r="BD700" s="141">
        <v>367747.3</v>
      </c>
      <c r="BE700" s="141">
        <v>445178.82</v>
      </c>
      <c r="BF700" s="141">
        <v>697473.28</v>
      </c>
      <c r="BG700" s="141">
        <v>1494996.13</v>
      </c>
      <c r="BH700" s="141">
        <v>2310201.69</v>
      </c>
      <c r="BI700" s="141">
        <v>3141816.09</v>
      </c>
      <c r="BJ700" s="141">
        <v>4088852.78</v>
      </c>
      <c r="BK700" s="141">
        <v>4459304.4000000004</v>
      </c>
      <c r="BL700" s="141">
        <v>5121681.68</v>
      </c>
      <c r="BM700" s="141">
        <v>6007559.4000000004</v>
      </c>
      <c r="BN700" s="141">
        <v>6919443.9900000002</v>
      </c>
      <c r="BO700" s="141">
        <v>9243065.6400000006</v>
      </c>
      <c r="BP700" s="141">
        <v>9801491.7400000002</v>
      </c>
      <c r="BU700" s="141">
        <v>9801491.7400000002</v>
      </c>
    </row>
    <row r="701" spans="1:73" ht="14.4" x14ac:dyDescent="0.3">
      <c r="A701" s="160" t="s">
        <v>258</v>
      </c>
      <c r="B701" s="161">
        <v>2000</v>
      </c>
      <c r="C701" s="161">
        <v>1330232.7100000381</v>
      </c>
      <c r="D701" s="161">
        <v>17081995.509999752</v>
      </c>
      <c r="E701" s="161">
        <v>27413759.460000038</v>
      </c>
      <c r="F701" s="161">
        <v>29106472.420000076</v>
      </c>
      <c r="G701" s="161">
        <v>29496617.460000038</v>
      </c>
      <c r="H701" s="161">
        <v>29881682.74000001</v>
      </c>
      <c r="I701" s="161">
        <v>29866346.379999876</v>
      </c>
      <c r="J701" s="161">
        <v>29868297.890000105</v>
      </c>
      <c r="K701" s="161">
        <v>29872700.49000001</v>
      </c>
      <c r="L701" s="161">
        <v>29877342.49000001</v>
      </c>
      <c r="M701" s="161">
        <v>29861343.869999886</v>
      </c>
      <c r="N701" s="161">
        <v>29914287.200000048</v>
      </c>
      <c r="O701" s="161">
        <v>29916073.589999914</v>
      </c>
      <c r="P701" s="161">
        <v>29912170.350000143</v>
      </c>
      <c r="Q701" s="161">
        <v>29906792.900000095</v>
      </c>
      <c r="R701" s="161">
        <v>29906803.909999847</v>
      </c>
      <c r="S701" s="149"/>
      <c r="T701" s="149"/>
      <c r="U701" s="149"/>
      <c r="V701" s="149"/>
      <c r="W701" s="149"/>
      <c r="X701" s="161">
        <v>29906803.909999847</v>
      </c>
      <c r="Y701" s="145"/>
      <c r="Z701" s="145"/>
      <c r="AX701" s="141" t="s">
        <v>8</v>
      </c>
      <c r="AY701" s="141">
        <v>1997</v>
      </c>
      <c r="AZ701" s="141">
        <v>4054.77</v>
      </c>
      <c r="BA701" s="141">
        <v>11142.96</v>
      </c>
      <c r="BB701" s="141">
        <v>74397.39</v>
      </c>
      <c r="BC701" s="141">
        <v>243157.95</v>
      </c>
      <c r="BD701" s="141">
        <v>479818.76</v>
      </c>
      <c r="BE701" s="141">
        <v>683402.59</v>
      </c>
      <c r="BF701" s="141">
        <v>1235989.26</v>
      </c>
      <c r="BG701" s="141">
        <v>1446885.25</v>
      </c>
      <c r="BH701" s="141">
        <v>2076625.75</v>
      </c>
      <c r="BI701" s="141">
        <v>2805881.43</v>
      </c>
      <c r="BJ701" s="141">
        <v>3231772.23</v>
      </c>
      <c r="BK701" s="141">
        <v>4098890.74</v>
      </c>
      <c r="BL701" s="141">
        <v>4812429.3499999996</v>
      </c>
      <c r="BM701" s="141">
        <v>5844255.3799999999</v>
      </c>
      <c r="BN701" s="141">
        <v>7279530.2199999997</v>
      </c>
      <c r="BO701" s="141">
        <v>7864314.46</v>
      </c>
      <c r="BU701" s="141">
        <v>7864314.46</v>
      </c>
    </row>
    <row r="702" spans="1:73" ht="14.4" x14ac:dyDescent="0.3">
      <c r="A702" s="160" t="s">
        <v>258</v>
      </c>
      <c r="B702" s="161">
        <v>2001</v>
      </c>
      <c r="C702" s="161">
        <v>678745.46000003815</v>
      </c>
      <c r="D702" s="161">
        <v>5116962.4400000572</v>
      </c>
      <c r="E702" s="161">
        <v>11139370.690000057</v>
      </c>
      <c r="F702" s="161">
        <v>12563384.779999971</v>
      </c>
      <c r="G702" s="161">
        <v>13166805.430000067</v>
      </c>
      <c r="H702" s="161">
        <v>13493609.769999981</v>
      </c>
      <c r="I702" s="161">
        <v>13611677.370000124</v>
      </c>
      <c r="J702" s="161">
        <v>13657354.079999924</v>
      </c>
      <c r="K702" s="161">
        <v>13662056.420000076</v>
      </c>
      <c r="L702" s="161">
        <v>13628687.880000114</v>
      </c>
      <c r="M702" s="161">
        <v>13641732</v>
      </c>
      <c r="N702" s="161">
        <v>13651414.310000181</v>
      </c>
      <c r="O702" s="161">
        <v>13652351.310000181</v>
      </c>
      <c r="P702" s="161">
        <v>13651991.310000181</v>
      </c>
      <c r="Q702" s="161">
        <v>13650665.25999999</v>
      </c>
      <c r="R702" s="149"/>
      <c r="S702" s="149"/>
      <c r="T702" s="149"/>
      <c r="U702" s="149"/>
      <c r="V702" s="149"/>
      <c r="W702" s="149"/>
      <c r="X702" s="161">
        <v>13650665.25999999</v>
      </c>
      <c r="Y702" s="145"/>
      <c r="Z702" s="145"/>
      <c r="AX702" s="141" t="s">
        <v>8</v>
      </c>
      <c r="AY702" s="141">
        <v>1998</v>
      </c>
      <c r="AZ702" s="141">
        <v>640</v>
      </c>
      <c r="BA702" s="141">
        <v>1379.93</v>
      </c>
      <c r="BB702" s="141">
        <v>1379.93</v>
      </c>
      <c r="BC702" s="141">
        <v>24901.55</v>
      </c>
      <c r="BD702" s="141">
        <v>139097.1</v>
      </c>
      <c r="BE702" s="141">
        <v>240159.96</v>
      </c>
      <c r="BF702" s="141">
        <v>317047.73</v>
      </c>
      <c r="BG702" s="141">
        <v>1011530.22</v>
      </c>
      <c r="BH702" s="141">
        <v>1662729.25</v>
      </c>
      <c r="BI702" s="141">
        <v>1934621.4</v>
      </c>
      <c r="BJ702" s="141">
        <v>2358703.36</v>
      </c>
      <c r="BK702" s="141">
        <v>2791969.39</v>
      </c>
      <c r="BL702" s="141">
        <v>3396750.6</v>
      </c>
      <c r="BM702" s="141">
        <v>4964598.7</v>
      </c>
      <c r="BN702" s="141">
        <v>5269391.54</v>
      </c>
      <c r="BU702" s="141">
        <v>5269391.54</v>
      </c>
    </row>
    <row r="703" spans="1:73" ht="14.4" x14ac:dyDescent="0.3">
      <c r="A703" s="160" t="s">
        <v>258</v>
      </c>
      <c r="B703" s="161">
        <v>2002</v>
      </c>
      <c r="C703" s="161">
        <v>618579.09000003338</v>
      </c>
      <c r="D703" s="161">
        <v>10420003.469999909</v>
      </c>
      <c r="E703" s="161">
        <v>13968839.089999914</v>
      </c>
      <c r="F703" s="161">
        <v>14927607.330000043</v>
      </c>
      <c r="G703" s="161">
        <v>15263906.2900002</v>
      </c>
      <c r="H703" s="161">
        <v>15391671.210000038</v>
      </c>
      <c r="I703" s="161">
        <v>15423087.319999933</v>
      </c>
      <c r="J703" s="161">
        <v>15449353.25</v>
      </c>
      <c r="K703" s="161">
        <v>15431444.580000162</v>
      </c>
      <c r="L703" s="161">
        <v>15468748.00999999</v>
      </c>
      <c r="M703" s="161">
        <v>15474362.889999866</v>
      </c>
      <c r="N703" s="161">
        <v>15478036.889999866</v>
      </c>
      <c r="O703" s="161">
        <v>15478291.889999866</v>
      </c>
      <c r="P703" s="161">
        <v>15476569.560000181</v>
      </c>
      <c r="Q703" s="149"/>
      <c r="R703" s="149"/>
      <c r="S703" s="149"/>
      <c r="T703" s="149"/>
      <c r="U703" s="149"/>
      <c r="V703" s="149"/>
      <c r="W703" s="149"/>
      <c r="X703" s="161">
        <v>15476569.560000181</v>
      </c>
      <c r="Y703" s="145"/>
      <c r="Z703" s="145"/>
      <c r="AX703" s="141" t="s">
        <v>8</v>
      </c>
      <c r="AY703" s="141">
        <v>1999</v>
      </c>
      <c r="AZ703" s="141">
        <v>0</v>
      </c>
      <c r="BA703" s="141">
        <v>85.01</v>
      </c>
      <c r="BB703" s="141">
        <v>8420.51</v>
      </c>
      <c r="BC703" s="141">
        <v>77803.899999999994</v>
      </c>
      <c r="BD703" s="141">
        <v>175267.43</v>
      </c>
      <c r="BE703" s="141">
        <v>278444.38</v>
      </c>
      <c r="BF703" s="141">
        <v>586337.32999999996</v>
      </c>
      <c r="BG703" s="141">
        <v>1258582.08</v>
      </c>
      <c r="BH703" s="141">
        <v>1550777.06</v>
      </c>
      <c r="BI703" s="141">
        <v>1930256.77</v>
      </c>
      <c r="BJ703" s="141">
        <v>2152003.9</v>
      </c>
      <c r="BK703" s="141">
        <v>2688913.81</v>
      </c>
      <c r="BL703" s="141">
        <v>3149268.88</v>
      </c>
      <c r="BM703" s="141">
        <v>3443619.39</v>
      </c>
      <c r="BU703" s="141">
        <v>3443619.39</v>
      </c>
    </row>
    <row r="704" spans="1:73" ht="14.4" x14ac:dyDescent="0.3">
      <c r="A704" s="160" t="s">
        <v>258</v>
      </c>
      <c r="B704" s="161">
        <v>2003</v>
      </c>
      <c r="C704" s="161">
        <v>861590.35000002384</v>
      </c>
      <c r="D704" s="161">
        <v>8793029.560000062</v>
      </c>
      <c r="E704" s="161">
        <v>12029721.329999924</v>
      </c>
      <c r="F704" s="161">
        <v>12495351.589999914</v>
      </c>
      <c r="G704" s="161">
        <v>12804320.960000038</v>
      </c>
      <c r="H704" s="161">
        <v>12947057.440000057</v>
      </c>
      <c r="I704" s="161">
        <v>12996556.100000024</v>
      </c>
      <c r="J704" s="161">
        <v>13004485.959999919</v>
      </c>
      <c r="K704" s="161">
        <v>13067152.829999924</v>
      </c>
      <c r="L704" s="161">
        <v>13086325.75999999</v>
      </c>
      <c r="M704" s="161">
        <v>13103803.159999967</v>
      </c>
      <c r="N704" s="161">
        <v>13129886.629999995</v>
      </c>
      <c r="O704" s="161">
        <v>13137737.249999881</v>
      </c>
      <c r="P704" s="149"/>
      <c r="Q704" s="149"/>
      <c r="R704" s="149"/>
      <c r="S704" s="149"/>
      <c r="T704" s="149"/>
      <c r="U704" s="149"/>
      <c r="V704" s="149"/>
      <c r="W704" s="149"/>
      <c r="X704" s="161">
        <v>13137737.249999881</v>
      </c>
      <c r="Y704" s="145"/>
      <c r="Z704" s="145"/>
      <c r="AX704" s="141" t="s">
        <v>8</v>
      </c>
      <c r="AY704" s="141">
        <v>2000</v>
      </c>
      <c r="AZ704" s="141">
        <v>0</v>
      </c>
      <c r="BA704" s="141">
        <v>11051.06</v>
      </c>
      <c r="BB704" s="141">
        <v>23105.46</v>
      </c>
      <c r="BC704" s="141">
        <v>45316.42</v>
      </c>
      <c r="BD704" s="141">
        <v>74828.479999999996</v>
      </c>
      <c r="BE704" s="141">
        <v>102868.08</v>
      </c>
      <c r="BF704" s="141">
        <v>155966.04</v>
      </c>
      <c r="BG704" s="141">
        <v>218149.45</v>
      </c>
      <c r="BH704" s="141">
        <v>283523.55</v>
      </c>
      <c r="BI704" s="141">
        <v>375167.83</v>
      </c>
      <c r="BJ704" s="141">
        <v>391479.43</v>
      </c>
      <c r="BK704" s="141">
        <v>432396.24</v>
      </c>
      <c r="BL704" s="141">
        <v>504824.04</v>
      </c>
      <c r="BU704" s="141">
        <v>504824.04</v>
      </c>
    </row>
    <row r="705" spans="1:73" ht="14.4" x14ac:dyDescent="0.3">
      <c r="A705" s="160" t="s">
        <v>258</v>
      </c>
      <c r="B705" s="161">
        <v>2004</v>
      </c>
      <c r="C705" s="161">
        <v>1050271.3500000238</v>
      </c>
      <c r="D705" s="161">
        <v>7671682.0299999714</v>
      </c>
      <c r="E705" s="161">
        <v>9766005.0499999523</v>
      </c>
      <c r="F705" s="161">
        <v>10358541.649999976</v>
      </c>
      <c r="G705" s="161">
        <v>10662801</v>
      </c>
      <c r="H705" s="161">
        <v>10808805.48999989</v>
      </c>
      <c r="I705" s="161">
        <v>10853854.780000091</v>
      </c>
      <c r="J705" s="161">
        <v>11128019.879999876</v>
      </c>
      <c r="K705" s="161">
        <v>11196677.129999995</v>
      </c>
      <c r="L705" s="161">
        <v>11207909.470000029</v>
      </c>
      <c r="M705" s="161">
        <v>11194062.620000005</v>
      </c>
      <c r="N705" s="161">
        <v>11211848.75</v>
      </c>
      <c r="O705" s="149"/>
      <c r="P705" s="149"/>
      <c r="Q705" s="149"/>
      <c r="R705" s="149"/>
      <c r="S705" s="149"/>
      <c r="T705" s="149"/>
      <c r="U705" s="149"/>
      <c r="V705" s="149"/>
      <c r="W705" s="149"/>
      <c r="X705" s="161">
        <v>11211848.75</v>
      </c>
      <c r="Y705" s="145"/>
      <c r="Z705" s="145"/>
      <c r="AX705" s="141" t="s">
        <v>8</v>
      </c>
      <c r="AY705" s="141">
        <v>2001</v>
      </c>
      <c r="AZ705" s="141">
        <v>60</v>
      </c>
      <c r="BA705" s="141">
        <v>8180.39</v>
      </c>
      <c r="BB705" s="141">
        <v>24506.95</v>
      </c>
      <c r="BC705" s="141">
        <v>56947.09</v>
      </c>
      <c r="BD705" s="141">
        <v>343131.8</v>
      </c>
      <c r="BE705" s="141">
        <v>357835.23</v>
      </c>
      <c r="BF705" s="141">
        <v>386774.49</v>
      </c>
      <c r="BG705" s="141">
        <v>389784.08</v>
      </c>
      <c r="BH705" s="141">
        <v>389784.08</v>
      </c>
      <c r="BI705" s="141">
        <v>270702.87</v>
      </c>
      <c r="BJ705" s="141">
        <v>277818.2</v>
      </c>
      <c r="BK705" s="141">
        <v>278618.2</v>
      </c>
      <c r="BU705" s="141">
        <v>278618.2</v>
      </c>
    </row>
    <row r="706" spans="1:73" ht="14.4" x14ac:dyDescent="0.3">
      <c r="A706" s="160" t="s">
        <v>258</v>
      </c>
      <c r="B706" s="161">
        <v>2005</v>
      </c>
      <c r="C706" s="161">
        <v>799203.72999998927</v>
      </c>
      <c r="D706" s="161">
        <v>1343643.2700000107</v>
      </c>
      <c r="E706" s="161">
        <v>1413875.7900000215</v>
      </c>
      <c r="F706" s="161">
        <v>1497786.6699999869</v>
      </c>
      <c r="G706" s="161">
        <v>1525439.6700000167</v>
      </c>
      <c r="H706" s="161">
        <v>1520000.1899999976</v>
      </c>
      <c r="I706" s="161">
        <v>1705669.5900000036</v>
      </c>
      <c r="J706" s="161">
        <v>1707070.4300000072</v>
      </c>
      <c r="K706" s="161">
        <v>1705497.6799999774</v>
      </c>
      <c r="L706" s="161">
        <v>1704979.4200000167</v>
      </c>
      <c r="M706" s="161">
        <v>1708275.849999994</v>
      </c>
      <c r="N706" s="149"/>
      <c r="O706" s="149"/>
      <c r="P706" s="149"/>
      <c r="Q706" s="149"/>
      <c r="R706" s="149"/>
      <c r="S706" s="149"/>
      <c r="T706" s="149"/>
      <c r="U706" s="149"/>
      <c r="V706" s="149"/>
      <c r="W706" s="149"/>
      <c r="X706" s="161">
        <v>1708275.849999994</v>
      </c>
      <c r="Y706" s="145"/>
      <c r="Z706" s="145"/>
      <c r="AX706" s="141" t="s">
        <v>8</v>
      </c>
      <c r="AY706" s="141">
        <v>2002</v>
      </c>
      <c r="AZ706" s="141">
        <v>155.44</v>
      </c>
      <c r="BA706" s="141">
        <v>1497.68</v>
      </c>
      <c r="BB706" s="141">
        <v>274.73</v>
      </c>
      <c r="BC706" s="141">
        <v>1553.52</v>
      </c>
      <c r="BD706" s="141">
        <v>14710.03</v>
      </c>
      <c r="BE706" s="141">
        <v>48453.75</v>
      </c>
      <c r="BF706" s="141">
        <v>49494.03</v>
      </c>
      <c r="BG706" s="141">
        <v>52282.05</v>
      </c>
      <c r="BH706" s="141">
        <v>58003.94</v>
      </c>
      <c r="BI706" s="141">
        <v>63824.14</v>
      </c>
      <c r="BJ706" s="141">
        <v>65046.02</v>
      </c>
      <c r="BU706" s="141">
        <v>65046.02</v>
      </c>
    </row>
    <row r="707" spans="1:73" ht="14.4" x14ac:dyDescent="0.3">
      <c r="A707" s="160" t="s">
        <v>258</v>
      </c>
      <c r="B707" s="161">
        <v>2006</v>
      </c>
      <c r="C707" s="161">
        <v>168287.6</v>
      </c>
      <c r="D707" s="161">
        <v>215506.8</v>
      </c>
      <c r="E707" s="161">
        <v>326304.68</v>
      </c>
      <c r="F707" s="161">
        <v>335074.95</v>
      </c>
      <c r="G707" s="161">
        <v>335960.3</v>
      </c>
      <c r="H707" s="161">
        <v>336431.00999999995</v>
      </c>
      <c r="I707" s="161">
        <v>337419.5</v>
      </c>
      <c r="J707" s="161">
        <v>337928.47</v>
      </c>
      <c r="K707" s="161">
        <v>337950.75</v>
      </c>
      <c r="L707" s="161">
        <v>338120.18000000005</v>
      </c>
      <c r="M707" s="149"/>
      <c r="N707" s="149"/>
      <c r="O707" s="149"/>
      <c r="P707" s="149"/>
      <c r="Q707" s="149"/>
      <c r="R707" s="149"/>
      <c r="S707" s="149"/>
      <c r="T707" s="149"/>
      <c r="U707" s="149"/>
      <c r="V707" s="149"/>
      <c r="W707" s="149"/>
      <c r="X707" s="161">
        <v>338120.18000000005</v>
      </c>
      <c r="Y707" s="145"/>
      <c r="Z707" s="145"/>
      <c r="AX707" s="141" t="s">
        <v>8</v>
      </c>
      <c r="AY707" s="141">
        <v>2003</v>
      </c>
      <c r="AZ707" s="141">
        <v>0</v>
      </c>
      <c r="BA707" s="141">
        <v>456.75</v>
      </c>
      <c r="BB707" s="141">
        <v>11456.75</v>
      </c>
      <c r="BC707" s="141">
        <v>11456.75</v>
      </c>
      <c r="BD707" s="141">
        <v>11610.83</v>
      </c>
      <c r="BE707" s="141">
        <v>19429.22</v>
      </c>
      <c r="BF707" s="141">
        <v>34150.870000000003</v>
      </c>
      <c r="BG707" s="141">
        <v>25061.07</v>
      </c>
      <c r="BH707" s="141">
        <v>11456.75</v>
      </c>
      <c r="BI707" s="141">
        <v>11456.75</v>
      </c>
      <c r="BU707" s="141">
        <v>11456.75</v>
      </c>
    </row>
    <row r="708" spans="1:73" ht="14.4" x14ac:dyDescent="0.3">
      <c r="A708" s="160" t="s">
        <v>258</v>
      </c>
      <c r="B708" s="161">
        <v>2007</v>
      </c>
      <c r="C708" s="161">
        <v>13620.57</v>
      </c>
      <c r="D708" s="161">
        <v>75616.549999999988</v>
      </c>
      <c r="E708" s="161">
        <v>94133.930000000008</v>
      </c>
      <c r="F708" s="161">
        <v>99890.48</v>
      </c>
      <c r="G708" s="161">
        <v>102489.48999999999</v>
      </c>
      <c r="H708" s="161">
        <v>103373.03</v>
      </c>
      <c r="I708" s="161">
        <v>103742.34</v>
      </c>
      <c r="J708" s="161">
        <v>103747.02</v>
      </c>
      <c r="K708" s="161">
        <v>104238.48</v>
      </c>
      <c r="L708" s="149"/>
      <c r="M708" s="149"/>
      <c r="N708" s="149"/>
      <c r="O708" s="149"/>
      <c r="P708" s="149"/>
      <c r="Q708" s="149"/>
      <c r="R708" s="149"/>
      <c r="S708" s="149"/>
      <c r="T708" s="149"/>
      <c r="U708" s="149"/>
      <c r="V708" s="149"/>
      <c r="W708" s="149"/>
      <c r="X708" s="161">
        <v>104238.48</v>
      </c>
      <c r="Y708" s="145"/>
      <c r="Z708" s="145"/>
      <c r="AX708" s="141" t="s">
        <v>8</v>
      </c>
      <c r="AY708" s="141">
        <v>2004</v>
      </c>
      <c r="AZ708" s="141">
        <v>0</v>
      </c>
      <c r="BA708" s="141">
        <v>0</v>
      </c>
      <c r="BB708" s="141">
        <v>0</v>
      </c>
      <c r="BC708" s="141">
        <v>71593.100000000006</v>
      </c>
      <c r="BD708" s="141">
        <v>79577.48</v>
      </c>
      <c r="BE708" s="141">
        <v>80360.66</v>
      </c>
      <c r="BF708" s="141">
        <v>79719.98</v>
      </c>
      <c r="BG708" s="141">
        <v>79719.98</v>
      </c>
      <c r="BH708" s="141">
        <v>80025.55</v>
      </c>
      <c r="BU708" s="141">
        <v>80025.55</v>
      </c>
    </row>
    <row r="709" spans="1:73" ht="14.4" x14ac:dyDescent="0.3">
      <c r="A709" s="160" t="s">
        <v>258</v>
      </c>
      <c r="B709" s="161">
        <v>2008</v>
      </c>
      <c r="C709" s="161">
        <v>3030.1800000000003</v>
      </c>
      <c r="D709" s="161">
        <v>12595.830000000002</v>
      </c>
      <c r="E709" s="161">
        <v>17172.48</v>
      </c>
      <c r="F709" s="161">
        <v>17401.98</v>
      </c>
      <c r="G709" s="161">
        <v>17507.490000000002</v>
      </c>
      <c r="H709" s="161">
        <v>17480.690000000002</v>
      </c>
      <c r="I709" s="161">
        <v>17340.37</v>
      </c>
      <c r="J709" s="161">
        <v>17348.54</v>
      </c>
      <c r="K709" s="149"/>
      <c r="L709" s="149"/>
      <c r="M709" s="149"/>
      <c r="N709" s="149"/>
      <c r="O709" s="149"/>
      <c r="P709" s="149"/>
      <c r="Q709" s="149"/>
      <c r="R709" s="149"/>
      <c r="S709" s="149"/>
      <c r="T709" s="149"/>
      <c r="U709" s="149"/>
      <c r="V709" s="149"/>
      <c r="W709" s="149"/>
      <c r="X709" s="161">
        <v>17348.54</v>
      </c>
      <c r="Y709" s="145"/>
      <c r="Z709" s="145"/>
      <c r="AX709" s="141" t="s">
        <v>8</v>
      </c>
      <c r="AY709" s="141">
        <v>2005</v>
      </c>
      <c r="AZ709" s="141">
        <v>0</v>
      </c>
      <c r="BA709" s="141">
        <v>0</v>
      </c>
      <c r="BB709" s="141">
        <v>0</v>
      </c>
      <c r="BC709" s="141">
        <v>0</v>
      </c>
      <c r="BD709" s="141">
        <v>0</v>
      </c>
      <c r="BE709" s="141">
        <v>108.46</v>
      </c>
      <c r="BF709" s="141">
        <v>417.3</v>
      </c>
      <c r="BG709" s="141">
        <v>464.9</v>
      </c>
      <c r="BU709" s="141">
        <v>464.9</v>
      </c>
    </row>
    <row r="710" spans="1:73" ht="14.4" x14ac:dyDescent="0.3">
      <c r="A710" s="160" t="s">
        <v>258</v>
      </c>
      <c r="B710" s="161">
        <v>2009</v>
      </c>
      <c r="C710" s="161">
        <v>1964.54</v>
      </c>
      <c r="D710" s="161">
        <v>120.56</v>
      </c>
      <c r="E710" s="161">
        <v>139.16</v>
      </c>
      <c r="F710" s="161">
        <v>156.20999999999998</v>
      </c>
      <c r="G710" s="161">
        <v>156.35999999999999</v>
      </c>
      <c r="H710" s="161">
        <v>156.43</v>
      </c>
      <c r="I710" s="161">
        <v>157.13999999999999</v>
      </c>
      <c r="J710" s="149"/>
      <c r="K710" s="149"/>
      <c r="L710" s="149"/>
      <c r="M710" s="149"/>
      <c r="N710" s="149"/>
      <c r="O710" s="149"/>
      <c r="P710" s="149"/>
      <c r="Q710" s="149"/>
      <c r="R710" s="149"/>
      <c r="S710" s="149"/>
      <c r="T710" s="149"/>
      <c r="U710" s="149"/>
      <c r="V710" s="149"/>
      <c r="W710" s="149"/>
      <c r="X710" s="161">
        <v>157.13999999999999</v>
      </c>
      <c r="Y710" s="145"/>
      <c r="Z710" s="145"/>
      <c r="AX710" s="141" t="s">
        <v>8</v>
      </c>
      <c r="AY710" s="141">
        <v>2006</v>
      </c>
      <c r="AZ710" s="141">
        <v>0</v>
      </c>
      <c r="BA710" s="141">
        <v>8131.77</v>
      </c>
      <c r="BB710" s="141">
        <v>25325.8</v>
      </c>
      <c r="BC710" s="141">
        <v>1076928.45</v>
      </c>
      <c r="BD710" s="141">
        <v>1099719.99</v>
      </c>
      <c r="BE710" s="141">
        <v>1099903.1000000001</v>
      </c>
      <c r="BF710" s="141">
        <v>1099389.49</v>
      </c>
      <c r="BU710" s="141">
        <v>1099389.49</v>
      </c>
    </row>
    <row r="711" spans="1:73" ht="14.4" x14ac:dyDescent="0.3">
      <c r="A711" s="160" t="s">
        <v>258</v>
      </c>
      <c r="B711" s="161">
        <v>2010</v>
      </c>
      <c r="C711" s="161">
        <v>0</v>
      </c>
      <c r="D711" s="161">
        <v>0</v>
      </c>
      <c r="E711" s="161">
        <v>50.980000000000004</v>
      </c>
      <c r="F711" s="161">
        <v>50.980000000000004</v>
      </c>
      <c r="G711" s="161">
        <v>50.980000000000004</v>
      </c>
      <c r="H711" s="161">
        <v>50.980000000000004</v>
      </c>
      <c r="I711" s="149"/>
      <c r="J711" s="149"/>
      <c r="K711" s="149"/>
      <c r="L711" s="149"/>
      <c r="M711" s="149"/>
      <c r="N711" s="149"/>
      <c r="O711" s="149"/>
      <c r="P711" s="149"/>
      <c r="Q711" s="149"/>
      <c r="R711" s="149"/>
      <c r="S711" s="149"/>
      <c r="T711" s="149"/>
      <c r="U711" s="149"/>
      <c r="V711" s="149"/>
      <c r="W711" s="149"/>
      <c r="X711" s="161">
        <v>50.980000000000004</v>
      </c>
      <c r="Y711" s="145"/>
      <c r="Z711" s="145"/>
      <c r="AX711" s="141" t="s">
        <v>8</v>
      </c>
      <c r="AY711" s="141">
        <v>2007</v>
      </c>
      <c r="AZ711" s="141">
        <v>163.81</v>
      </c>
      <c r="BA711" s="141">
        <v>18380.62</v>
      </c>
      <c r="BB711" s="141">
        <v>314710.96000000002</v>
      </c>
      <c r="BC711" s="141">
        <v>379512.78</v>
      </c>
      <c r="BD711" s="141">
        <v>461855.18</v>
      </c>
      <c r="BE711" s="141">
        <v>474863.6</v>
      </c>
      <c r="BU711" s="141">
        <v>474863.6</v>
      </c>
    </row>
    <row r="712" spans="1:73" ht="14.4" x14ac:dyDescent="0.3">
      <c r="A712" s="160" t="s">
        <v>258</v>
      </c>
      <c r="B712" s="161">
        <v>2011</v>
      </c>
      <c r="C712" s="161">
        <v>0</v>
      </c>
      <c r="D712" s="161">
        <v>33.340000000000003</v>
      </c>
      <c r="E712" s="161">
        <v>41.690000000000005</v>
      </c>
      <c r="F712" s="161">
        <v>41.690000000000005</v>
      </c>
      <c r="G712" s="161">
        <v>41.86</v>
      </c>
      <c r="H712" s="149"/>
      <c r="I712" s="149"/>
      <c r="J712" s="149"/>
      <c r="K712" s="149"/>
      <c r="L712" s="149"/>
      <c r="M712" s="149"/>
      <c r="N712" s="149"/>
      <c r="O712" s="149"/>
      <c r="P712" s="149"/>
      <c r="Q712" s="149"/>
      <c r="R712" s="149"/>
      <c r="S712" s="149"/>
      <c r="T712" s="149"/>
      <c r="U712" s="149"/>
      <c r="V712" s="149"/>
      <c r="W712" s="149"/>
      <c r="X712" s="161">
        <v>41.86</v>
      </c>
      <c r="Y712" s="145"/>
      <c r="Z712" s="145"/>
      <c r="AX712" s="141" t="s">
        <v>8</v>
      </c>
      <c r="AY712" s="141">
        <v>2008</v>
      </c>
      <c r="AZ712" s="141">
        <v>0</v>
      </c>
      <c r="BA712" s="141">
        <v>9375.89</v>
      </c>
      <c r="BB712" s="141">
        <v>13034.17</v>
      </c>
      <c r="BC712" s="141">
        <v>27728.84</v>
      </c>
      <c r="BD712" s="141">
        <v>30280.91</v>
      </c>
      <c r="BU712" s="141">
        <v>30280.91</v>
      </c>
    </row>
    <row r="713" spans="1:73" ht="14.4" x14ac:dyDescent="0.3">
      <c r="A713" s="160" t="s">
        <v>258</v>
      </c>
      <c r="B713" s="161">
        <v>2012</v>
      </c>
      <c r="C713" s="161">
        <v>0</v>
      </c>
      <c r="D713" s="161">
        <v>0</v>
      </c>
      <c r="E713" s="161">
        <v>0</v>
      </c>
      <c r="F713" s="161">
        <v>140.34</v>
      </c>
      <c r="G713" s="149"/>
      <c r="H713" s="149"/>
      <c r="I713" s="149"/>
      <c r="J713" s="149"/>
      <c r="K713" s="149"/>
      <c r="L713" s="149"/>
      <c r="M713" s="149"/>
      <c r="N713" s="149"/>
      <c r="O713" s="149"/>
      <c r="P713" s="149"/>
      <c r="Q713" s="149"/>
      <c r="R713" s="149"/>
      <c r="S713" s="149"/>
      <c r="T713" s="149"/>
      <c r="U713" s="149"/>
      <c r="V713" s="149"/>
      <c r="W713" s="149"/>
      <c r="X713" s="161">
        <v>140.34</v>
      </c>
      <c r="Y713" s="145"/>
      <c r="Z713" s="145"/>
      <c r="AX713" s="141" t="s">
        <v>8</v>
      </c>
      <c r="AY713" s="141">
        <v>2009</v>
      </c>
      <c r="AZ713" s="141">
        <v>7000</v>
      </c>
      <c r="BA713" s="141">
        <v>9145.6</v>
      </c>
      <c r="BB713" s="141">
        <v>17901.64</v>
      </c>
      <c r="BC713" s="141">
        <v>19273.310000000001</v>
      </c>
      <c r="BU713" s="141">
        <v>19273.310000000001</v>
      </c>
    </row>
    <row r="714" spans="1:73" ht="14.4" x14ac:dyDescent="0.3">
      <c r="A714" s="160" t="s">
        <v>258</v>
      </c>
      <c r="B714" s="161">
        <v>2013</v>
      </c>
      <c r="C714" s="161">
        <v>0</v>
      </c>
      <c r="D714" s="161">
        <v>0</v>
      </c>
      <c r="E714" s="161">
        <v>130.81</v>
      </c>
      <c r="F714" s="149"/>
      <c r="G714" s="149"/>
      <c r="H714" s="149"/>
      <c r="I714" s="149"/>
      <c r="J714" s="149"/>
      <c r="K714" s="149"/>
      <c r="L714" s="149"/>
      <c r="M714" s="149"/>
      <c r="N714" s="149"/>
      <c r="O714" s="149"/>
      <c r="P714" s="149"/>
      <c r="Q714" s="149"/>
      <c r="R714" s="149"/>
      <c r="S714" s="149"/>
      <c r="T714" s="149"/>
      <c r="U714" s="149"/>
      <c r="V714" s="149"/>
      <c r="W714" s="149"/>
      <c r="X714" s="161">
        <v>130.81</v>
      </c>
      <c r="Y714" s="145"/>
      <c r="Z714" s="145"/>
      <c r="AX714" s="141" t="s">
        <v>8</v>
      </c>
      <c r="AY714" s="141">
        <v>2010</v>
      </c>
      <c r="AZ714" s="141">
        <v>0</v>
      </c>
      <c r="BA714" s="141">
        <v>0</v>
      </c>
      <c r="BB714" s="141">
        <v>0</v>
      </c>
      <c r="BU714" s="141">
        <v>0</v>
      </c>
    </row>
    <row r="715" spans="1:73" ht="14.4" x14ac:dyDescent="0.3">
      <c r="A715" s="160" t="s">
        <v>258</v>
      </c>
      <c r="B715" s="161">
        <v>2014</v>
      </c>
      <c r="C715" s="161">
        <v>0</v>
      </c>
      <c r="D715" s="161">
        <v>1.22</v>
      </c>
      <c r="E715" s="149"/>
      <c r="F715" s="149"/>
      <c r="G715" s="149"/>
      <c r="H715" s="149"/>
      <c r="I715" s="149"/>
      <c r="J715" s="149"/>
      <c r="K715" s="149"/>
      <c r="L715" s="149"/>
      <c r="M715" s="149"/>
      <c r="N715" s="149"/>
      <c r="O715" s="149"/>
      <c r="P715" s="149"/>
      <c r="Q715" s="149"/>
      <c r="R715" s="149"/>
      <c r="S715" s="149"/>
      <c r="T715" s="149"/>
      <c r="U715" s="149"/>
      <c r="V715" s="149"/>
      <c r="W715" s="149"/>
      <c r="X715" s="161">
        <v>1.22</v>
      </c>
      <c r="Y715" s="145"/>
      <c r="Z715" s="145"/>
      <c r="AX715" s="141" t="s">
        <v>8</v>
      </c>
      <c r="AY715" s="141">
        <v>2011</v>
      </c>
      <c r="AZ715" s="141">
        <v>0</v>
      </c>
      <c r="BA715" s="141">
        <v>0</v>
      </c>
      <c r="BU715" s="141">
        <v>0</v>
      </c>
    </row>
    <row r="716" spans="1:73" ht="14.4" x14ac:dyDescent="0.3">
      <c r="A716" s="160" t="s">
        <v>258</v>
      </c>
      <c r="B716" s="161">
        <v>2015</v>
      </c>
      <c r="C716" s="161">
        <v>0</v>
      </c>
      <c r="D716" s="149"/>
      <c r="E716" s="149"/>
      <c r="F716" s="149"/>
      <c r="G716" s="149"/>
      <c r="H716" s="149"/>
      <c r="I716" s="149"/>
      <c r="J716" s="149"/>
      <c r="K716" s="149"/>
      <c r="L716" s="149"/>
      <c r="M716" s="149"/>
      <c r="N716" s="149"/>
      <c r="O716" s="149"/>
      <c r="P716" s="149"/>
      <c r="Q716" s="149"/>
      <c r="R716" s="149"/>
      <c r="S716" s="149"/>
      <c r="T716" s="149"/>
      <c r="U716" s="149"/>
      <c r="V716" s="149"/>
      <c r="W716" s="149"/>
      <c r="X716" s="161">
        <v>0</v>
      </c>
      <c r="Y716" s="145"/>
      <c r="Z716" s="145"/>
      <c r="AX716" s="141" t="s">
        <v>8</v>
      </c>
      <c r="AY716" s="141">
        <v>2012</v>
      </c>
      <c r="AZ716" s="141">
        <v>0</v>
      </c>
      <c r="BU716" s="141">
        <v>0</v>
      </c>
    </row>
  </sheetData>
  <phoneticPr fontId="4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2:AY716"/>
  <sheetViews>
    <sheetView zoomScale="85" zoomScaleNormal="85" workbookViewId="0">
      <pane xSplit="2" ySplit="2" topLeftCell="F480" activePane="bottomRight" state="frozen"/>
      <selection activeCell="E238" sqref="E238"/>
      <selection pane="topRight" activeCell="E238" sqref="E238"/>
      <selection pane="bottomLeft" activeCell="E238" sqref="E238"/>
      <selection pane="bottomRight" activeCell="F490" sqref="F490"/>
    </sheetView>
  </sheetViews>
  <sheetFormatPr defaultRowHeight="13.2" x14ac:dyDescent="0.25"/>
  <cols>
    <col min="1" max="1" width="10.109375" style="46" customWidth="1"/>
    <col min="2" max="2" width="9.33203125" style="46"/>
    <col min="3" max="3" width="21.33203125" style="46" bestFit="1" customWidth="1"/>
    <col min="4" max="24" width="20.44140625" style="46" bestFit="1" customWidth="1"/>
    <col min="25" max="25" width="32.109375" bestFit="1" customWidth="1"/>
    <col min="29" max="30" width="14.109375" bestFit="1" customWidth="1"/>
    <col min="31" max="50" width="16.109375" bestFit="1" customWidth="1"/>
  </cols>
  <sheetData>
    <row r="2" spans="1:25" ht="14.4" x14ac:dyDescent="0.3">
      <c r="A2" s="162" t="s">
        <v>229</v>
      </c>
      <c r="B2" s="162" t="s">
        <v>184</v>
      </c>
      <c r="C2" s="162" t="s">
        <v>185</v>
      </c>
      <c r="D2" s="162" t="s">
        <v>186</v>
      </c>
      <c r="E2" s="162" t="s">
        <v>187</v>
      </c>
      <c r="F2" s="162" t="s">
        <v>188</v>
      </c>
      <c r="G2" s="162" t="s">
        <v>189</v>
      </c>
      <c r="H2" s="162" t="s">
        <v>190</v>
      </c>
      <c r="I2" s="162" t="s">
        <v>191</v>
      </c>
      <c r="J2" s="162" t="s">
        <v>192</v>
      </c>
      <c r="K2" s="162" t="s">
        <v>193</v>
      </c>
      <c r="L2" s="162" t="s">
        <v>194</v>
      </c>
      <c r="M2" s="162" t="s">
        <v>195</v>
      </c>
      <c r="N2" s="162" t="s">
        <v>196</v>
      </c>
      <c r="O2" s="162" t="s">
        <v>197</v>
      </c>
      <c r="P2" s="162" t="s">
        <v>198</v>
      </c>
      <c r="Q2" s="162" t="s">
        <v>199</v>
      </c>
      <c r="R2" s="162" t="s">
        <v>200</v>
      </c>
      <c r="S2" s="162" t="s">
        <v>201</v>
      </c>
      <c r="T2" s="162" t="s">
        <v>202</v>
      </c>
      <c r="U2" s="162" t="s">
        <v>203</v>
      </c>
      <c r="V2" s="162" t="s">
        <v>204</v>
      </c>
      <c r="W2" s="162" t="s">
        <v>205</v>
      </c>
      <c r="X2" s="162" t="s">
        <v>100</v>
      </c>
      <c r="Y2" s="153" t="s">
        <v>256</v>
      </c>
    </row>
    <row r="3" spans="1:25" ht="14.4" x14ac:dyDescent="0.3">
      <c r="A3" s="163" t="s">
        <v>231</v>
      </c>
      <c r="B3" s="164">
        <v>1995</v>
      </c>
      <c r="C3" s="167">
        <v>274315349.41999996</v>
      </c>
      <c r="D3" s="167">
        <v>435697617.30000001</v>
      </c>
      <c r="E3" s="167">
        <v>500663162.22000003</v>
      </c>
      <c r="F3" s="167">
        <v>536090396.61000001</v>
      </c>
      <c r="G3" s="167">
        <v>555760191.88999999</v>
      </c>
      <c r="H3" s="167">
        <v>564560682.3499999</v>
      </c>
      <c r="I3" s="167">
        <v>570224563.33999991</v>
      </c>
      <c r="J3" s="167">
        <v>571392992.02999997</v>
      </c>
      <c r="K3" s="167">
        <v>571081711.23000002</v>
      </c>
      <c r="L3" s="167">
        <v>573451006.48000002</v>
      </c>
      <c r="M3" s="167">
        <v>574850901.37999988</v>
      </c>
      <c r="N3" s="167">
        <v>573854620.00999999</v>
      </c>
      <c r="O3" s="167">
        <v>573835661.57999992</v>
      </c>
      <c r="P3" s="167">
        <v>573834956.63</v>
      </c>
      <c r="Q3" s="167">
        <v>573821903.49000001</v>
      </c>
      <c r="R3" s="167">
        <v>573830302.91999996</v>
      </c>
      <c r="S3" s="167">
        <v>573707881.01999998</v>
      </c>
      <c r="T3" s="167">
        <v>573704423.0999999</v>
      </c>
      <c r="U3" s="167">
        <v>573698210.54999995</v>
      </c>
      <c r="V3" s="167">
        <v>573697977.21999991</v>
      </c>
      <c r="W3" s="167">
        <v>573694740.24000001</v>
      </c>
      <c r="X3" s="167">
        <v>573694740.24000001</v>
      </c>
    </row>
    <row r="4" spans="1:25" ht="14.4" x14ac:dyDescent="0.3">
      <c r="A4" s="163" t="s">
        <v>231</v>
      </c>
      <c r="B4" s="164">
        <v>1996</v>
      </c>
      <c r="C4" s="167">
        <v>301343824.47000003</v>
      </c>
      <c r="D4" s="167">
        <v>446872945.90000004</v>
      </c>
      <c r="E4" s="167">
        <v>524639075.42000008</v>
      </c>
      <c r="F4" s="167">
        <v>560637564.06000006</v>
      </c>
      <c r="G4" s="167">
        <v>579184919.9000001</v>
      </c>
      <c r="H4" s="167">
        <v>586899296.25999999</v>
      </c>
      <c r="I4" s="167">
        <v>591235788.59000003</v>
      </c>
      <c r="J4" s="167">
        <v>593174613.85000002</v>
      </c>
      <c r="K4" s="167">
        <v>595694232.80000007</v>
      </c>
      <c r="L4" s="167">
        <v>596662680.90999997</v>
      </c>
      <c r="M4" s="167">
        <v>597343883.76999998</v>
      </c>
      <c r="N4" s="167">
        <v>597727905.38</v>
      </c>
      <c r="O4" s="167">
        <v>597768330.90999997</v>
      </c>
      <c r="P4" s="167">
        <v>597872574.20000005</v>
      </c>
      <c r="Q4" s="167">
        <v>598301598.86000001</v>
      </c>
      <c r="R4" s="167">
        <v>598257842.47000003</v>
      </c>
      <c r="S4" s="167">
        <v>598258734.19000006</v>
      </c>
      <c r="T4" s="167">
        <v>598299570.38000011</v>
      </c>
      <c r="U4" s="167">
        <v>598298052.06000006</v>
      </c>
      <c r="V4" s="167">
        <v>598293473.75000012</v>
      </c>
      <c r="W4" s="168"/>
      <c r="X4" s="167">
        <v>598293473.75000012</v>
      </c>
    </row>
    <row r="5" spans="1:25" ht="14.4" x14ac:dyDescent="0.3">
      <c r="A5" s="163" t="s">
        <v>231</v>
      </c>
      <c r="B5" s="164">
        <v>1997</v>
      </c>
      <c r="C5" s="167">
        <v>361038311.31</v>
      </c>
      <c r="D5" s="167">
        <v>528446805.38999999</v>
      </c>
      <c r="E5" s="167">
        <v>616687746.56999993</v>
      </c>
      <c r="F5" s="167">
        <v>673824412.95999992</v>
      </c>
      <c r="G5" s="167">
        <v>705183452.80999994</v>
      </c>
      <c r="H5" s="167">
        <v>715653857.3299998</v>
      </c>
      <c r="I5" s="167">
        <v>716988521.57999992</v>
      </c>
      <c r="J5" s="167">
        <v>720723114.51999998</v>
      </c>
      <c r="K5" s="167">
        <v>721353091.20999992</v>
      </c>
      <c r="L5" s="167">
        <v>722107221.48999989</v>
      </c>
      <c r="M5" s="167">
        <v>721692108.76999986</v>
      </c>
      <c r="N5" s="167">
        <v>721480007.68999994</v>
      </c>
      <c r="O5" s="167">
        <v>721027583.36999989</v>
      </c>
      <c r="P5" s="167">
        <v>721221595.04999995</v>
      </c>
      <c r="Q5" s="167">
        <v>720965000.19999993</v>
      </c>
      <c r="R5" s="167">
        <v>721358153.12999988</v>
      </c>
      <c r="S5" s="167">
        <v>721350727.83999979</v>
      </c>
      <c r="T5" s="167">
        <v>721369521.80999994</v>
      </c>
      <c r="U5" s="167">
        <v>721349432.33999991</v>
      </c>
      <c r="V5" s="168"/>
      <c r="W5" s="168"/>
      <c r="X5" s="167">
        <v>721349432.33999991</v>
      </c>
    </row>
    <row r="6" spans="1:25" ht="14.4" x14ac:dyDescent="0.3">
      <c r="A6" s="163" t="s">
        <v>231</v>
      </c>
      <c r="B6" s="164">
        <v>1998</v>
      </c>
      <c r="C6" s="167">
        <v>383294033.03000003</v>
      </c>
      <c r="D6" s="167">
        <v>577987603.58999991</v>
      </c>
      <c r="E6" s="167">
        <v>689965968.55999994</v>
      </c>
      <c r="F6" s="167">
        <v>751756307.26999998</v>
      </c>
      <c r="G6" s="167">
        <v>781981532.16000009</v>
      </c>
      <c r="H6" s="167">
        <v>793790166.00999999</v>
      </c>
      <c r="I6" s="167">
        <v>801307538.83000016</v>
      </c>
      <c r="J6" s="167">
        <v>802734618.48000002</v>
      </c>
      <c r="K6" s="167">
        <v>802169135.83000004</v>
      </c>
      <c r="L6" s="167">
        <v>802904607.94000006</v>
      </c>
      <c r="M6" s="167">
        <v>804352901.73000014</v>
      </c>
      <c r="N6" s="167">
        <v>804464114.67000008</v>
      </c>
      <c r="O6" s="167">
        <v>804534584.00000012</v>
      </c>
      <c r="P6" s="167">
        <v>803835064.53000009</v>
      </c>
      <c r="Q6" s="167">
        <v>803740435.36000001</v>
      </c>
      <c r="R6" s="167">
        <v>803838653.08000016</v>
      </c>
      <c r="S6" s="167">
        <v>803877463.33000004</v>
      </c>
      <c r="T6" s="167">
        <v>803845760.96000004</v>
      </c>
      <c r="U6" s="168"/>
      <c r="V6" s="168"/>
      <c r="W6" s="168"/>
      <c r="X6" s="167">
        <v>803845760.96000004</v>
      </c>
    </row>
    <row r="7" spans="1:25" ht="14.4" x14ac:dyDescent="0.3">
      <c r="A7" s="163" t="s">
        <v>231</v>
      </c>
      <c r="B7" s="164">
        <v>1999</v>
      </c>
      <c r="C7" s="167">
        <v>439026069.03000003</v>
      </c>
      <c r="D7" s="167">
        <v>660100860.84000003</v>
      </c>
      <c r="E7" s="167">
        <v>795833946.79999995</v>
      </c>
      <c r="F7" s="167">
        <v>851508327.73999989</v>
      </c>
      <c r="G7" s="167">
        <v>884154384.15999973</v>
      </c>
      <c r="H7" s="167">
        <v>905451716.84000003</v>
      </c>
      <c r="I7" s="167">
        <v>909933609.25999999</v>
      </c>
      <c r="J7" s="167">
        <v>909503899.71999991</v>
      </c>
      <c r="K7" s="167">
        <v>909001748.05999994</v>
      </c>
      <c r="L7" s="167">
        <v>909367818.80999994</v>
      </c>
      <c r="M7" s="167">
        <v>909241561.98999989</v>
      </c>
      <c r="N7" s="167">
        <v>909488273.92999995</v>
      </c>
      <c r="O7" s="167">
        <v>908165177.95999992</v>
      </c>
      <c r="P7" s="167">
        <v>908266320.41999996</v>
      </c>
      <c r="Q7" s="167">
        <v>908414242.86999989</v>
      </c>
      <c r="R7" s="167">
        <v>908250634.79999983</v>
      </c>
      <c r="S7" s="167">
        <v>908599566.61999989</v>
      </c>
      <c r="T7" s="168"/>
      <c r="U7" s="168"/>
      <c r="V7" s="168"/>
      <c r="W7" s="168"/>
      <c r="X7" s="167">
        <v>908599566.61999989</v>
      </c>
    </row>
    <row r="8" spans="1:25" ht="14.4" x14ac:dyDescent="0.3">
      <c r="A8" s="163" t="s">
        <v>231</v>
      </c>
      <c r="B8" s="164">
        <v>2000</v>
      </c>
      <c r="C8" s="167">
        <v>427941153.97000003</v>
      </c>
      <c r="D8" s="167">
        <v>643660870.82000005</v>
      </c>
      <c r="E8" s="167">
        <v>752372396.40999997</v>
      </c>
      <c r="F8" s="167">
        <v>820788650.68000007</v>
      </c>
      <c r="G8" s="167">
        <v>850585899.88999999</v>
      </c>
      <c r="H8" s="167">
        <v>861625163.57000017</v>
      </c>
      <c r="I8" s="167">
        <v>861284220.57999992</v>
      </c>
      <c r="J8" s="167">
        <v>861012984.35000002</v>
      </c>
      <c r="K8" s="167">
        <v>860758762.50000012</v>
      </c>
      <c r="L8" s="167">
        <v>862653644.13</v>
      </c>
      <c r="M8" s="167">
        <v>862928088.93999994</v>
      </c>
      <c r="N8" s="167">
        <v>861903520.75999999</v>
      </c>
      <c r="O8" s="167">
        <v>861402230.88</v>
      </c>
      <c r="P8" s="167">
        <v>861686153.82000005</v>
      </c>
      <c r="Q8" s="167">
        <v>861772226.62</v>
      </c>
      <c r="R8" s="167">
        <v>861858391.09000003</v>
      </c>
      <c r="S8" s="168"/>
      <c r="T8" s="168"/>
      <c r="U8" s="168"/>
      <c r="V8" s="168"/>
      <c r="W8" s="168"/>
      <c r="X8" s="167">
        <v>861858391.09000003</v>
      </c>
    </row>
    <row r="9" spans="1:25" ht="14.4" x14ac:dyDescent="0.3">
      <c r="A9" s="163" t="s">
        <v>231</v>
      </c>
      <c r="B9" s="164">
        <v>2001</v>
      </c>
      <c r="C9" s="167">
        <v>373741797.54000002</v>
      </c>
      <c r="D9" s="167">
        <v>545798230.96000004</v>
      </c>
      <c r="E9" s="167">
        <v>640010427.48999989</v>
      </c>
      <c r="F9" s="167">
        <v>706634743</v>
      </c>
      <c r="G9" s="167">
        <v>735677243.17000008</v>
      </c>
      <c r="H9" s="167">
        <v>740512863.31000006</v>
      </c>
      <c r="I9" s="167">
        <v>742988452.1400001</v>
      </c>
      <c r="J9" s="167">
        <v>743271431.6099999</v>
      </c>
      <c r="K9" s="167">
        <v>743855678.31000006</v>
      </c>
      <c r="L9" s="167">
        <v>742845515.03000009</v>
      </c>
      <c r="M9" s="167">
        <v>741778174.34000015</v>
      </c>
      <c r="N9" s="167">
        <v>741014639.47000015</v>
      </c>
      <c r="O9" s="167">
        <v>740691234.4000001</v>
      </c>
      <c r="P9" s="167">
        <v>740726894.34000015</v>
      </c>
      <c r="Q9" s="167">
        <v>740727697.19000018</v>
      </c>
      <c r="R9" s="168"/>
      <c r="S9" s="168"/>
      <c r="T9" s="168"/>
      <c r="U9" s="168"/>
      <c r="V9" s="168"/>
      <c r="W9" s="168"/>
      <c r="X9" s="167">
        <v>740727697.19000018</v>
      </c>
    </row>
    <row r="10" spans="1:25" ht="14.4" x14ac:dyDescent="0.3">
      <c r="A10" s="163" t="s">
        <v>231</v>
      </c>
      <c r="B10" s="164">
        <v>2002</v>
      </c>
      <c r="C10" s="167">
        <v>282481132.97000003</v>
      </c>
      <c r="D10" s="167">
        <v>420850817.23000002</v>
      </c>
      <c r="E10" s="167">
        <v>511321720.93000007</v>
      </c>
      <c r="F10" s="167">
        <v>560607860.75999999</v>
      </c>
      <c r="G10" s="167">
        <v>571307617.7700001</v>
      </c>
      <c r="H10" s="167">
        <v>576607425.79000008</v>
      </c>
      <c r="I10" s="167">
        <v>578137499.5</v>
      </c>
      <c r="J10" s="167">
        <v>577110552.93000007</v>
      </c>
      <c r="K10" s="167">
        <v>578254458.76999998</v>
      </c>
      <c r="L10" s="167">
        <v>578139675.48000002</v>
      </c>
      <c r="M10" s="167">
        <v>578065938.58000004</v>
      </c>
      <c r="N10" s="167">
        <v>578028960.55999994</v>
      </c>
      <c r="O10" s="167">
        <v>578131622.74000001</v>
      </c>
      <c r="P10" s="167">
        <v>577839051.68999994</v>
      </c>
      <c r="Q10" s="168"/>
      <c r="R10" s="168"/>
      <c r="S10" s="168"/>
      <c r="T10" s="168"/>
      <c r="U10" s="168"/>
      <c r="V10" s="168"/>
      <c r="W10" s="168"/>
      <c r="X10" s="167">
        <v>577839051.68999994</v>
      </c>
    </row>
    <row r="11" spans="1:25" ht="14.4" x14ac:dyDescent="0.3">
      <c r="A11" s="163" t="s">
        <v>231</v>
      </c>
      <c r="B11" s="164">
        <v>2003</v>
      </c>
      <c r="C11" s="167">
        <v>242166502.17000002</v>
      </c>
      <c r="D11" s="167">
        <v>373760619.90999997</v>
      </c>
      <c r="E11" s="167">
        <v>440992966.42999995</v>
      </c>
      <c r="F11" s="167">
        <v>477786724.29999995</v>
      </c>
      <c r="G11" s="167">
        <v>496136539.22999996</v>
      </c>
      <c r="H11" s="167">
        <v>496201002.03999996</v>
      </c>
      <c r="I11" s="167">
        <v>492278524.64999998</v>
      </c>
      <c r="J11" s="167">
        <v>493247173.04000008</v>
      </c>
      <c r="K11" s="167">
        <v>493161126.65999997</v>
      </c>
      <c r="L11" s="167">
        <v>493464888.38999999</v>
      </c>
      <c r="M11" s="167">
        <v>493368942.66000003</v>
      </c>
      <c r="N11" s="167">
        <v>494117035.74000001</v>
      </c>
      <c r="O11" s="167">
        <v>493563494.10999995</v>
      </c>
      <c r="P11" s="168"/>
      <c r="Q11" s="168"/>
      <c r="R11" s="168"/>
      <c r="S11" s="168"/>
      <c r="T11" s="168"/>
      <c r="U11" s="168"/>
      <c r="V11" s="168"/>
      <c r="W11" s="168"/>
      <c r="X11" s="167">
        <v>493563494.10999995</v>
      </c>
    </row>
    <row r="12" spans="1:25" ht="14.4" x14ac:dyDescent="0.3">
      <c r="A12" s="163" t="s">
        <v>231</v>
      </c>
      <c r="B12" s="164">
        <v>2004</v>
      </c>
      <c r="C12" s="167">
        <v>236607910.09</v>
      </c>
      <c r="D12" s="167">
        <v>366856755.22999996</v>
      </c>
      <c r="E12" s="167">
        <v>422951023.98999995</v>
      </c>
      <c r="F12" s="167">
        <v>457972783.06999999</v>
      </c>
      <c r="G12" s="167">
        <v>467804039.47999996</v>
      </c>
      <c r="H12" s="167">
        <v>474191644.89999998</v>
      </c>
      <c r="I12" s="167">
        <v>475332646.56999999</v>
      </c>
      <c r="J12" s="167">
        <v>474834942.25</v>
      </c>
      <c r="K12" s="167">
        <v>474528127.72999996</v>
      </c>
      <c r="L12" s="167">
        <v>474225439.35000002</v>
      </c>
      <c r="M12" s="167">
        <v>473878016.49000001</v>
      </c>
      <c r="N12" s="167">
        <v>474096467.34000003</v>
      </c>
      <c r="O12" s="168"/>
      <c r="P12" s="168"/>
      <c r="Q12" s="168"/>
      <c r="R12" s="168"/>
      <c r="S12" s="168"/>
      <c r="T12" s="168"/>
      <c r="U12" s="168"/>
      <c r="V12" s="168"/>
      <c r="W12" s="168"/>
      <c r="X12" s="167">
        <v>474096467.34000003</v>
      </c>
    </row>
    <row r="13" spans="1:25" ht="14.4" x14ac:dyDescent="0.3">
      <c r="A13" s="163" t="s">
        <v>231</v>
      </c>
      <c r="B13" s="164">
        <v>2005</v>
      </c>
      <c r="C13" s="167">
        <v>193979037.10999995</v>
      </c>
      <c r="D13" s="167">
        <v>317259702.31999999</v>
      </c>
      <c r="E13" s="167">
        <v>382464334.01000005</v>
      </c>
      <c r="F13" s="167">
        <v>412148531.02000004</v>
      </c>
      <c r="G13" s="167">
        <v>421430796.17999995</v>
      </c>
      <c r="H13" s="167">
        <v>427694914.53000003</v>
      </c>
      <c r="I13" s="167">
        <v>429224347.72000003</v>
      </c>
      <c r="J13" s="167">
        <v>428281633.39999998</v>
      </c>
      <c r="K13" s="167">
        <v>428826737.78999996</v>
      </c>
      <c r="L13" s="167">
        <v>429049205.82999998</v>
      </c>
      <c r="M13" s="167">
        <v>429226069.96999997</v>
      </c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7">
        <v>429226069.96999997</v>
      </c>
    </row>
    <row r="14" spans="1:25" ht="14.4" x14ac:dyDescent="0.3">
      <c r="A14" s="163" t="s">
        <v>231</v>
      </c>
      <c r="B14" s="164">
        <v>2006</v>
      </c>
      <c r="C14" s="167">
        <v>180762740.28999999</v>
      </c>
      <c r="D14" s="167">
        <v>315393982.76000005</v>
      </c>
      <c r="E14" s="167">
        <v>355972855.56</v>
      </c>
      <c r="F14" s="167">
        <v>377286622.01999998</v>
      </c>
      <c r="G14" s="167">
        <v>391256303.57000005</v>
      </c>
      <c r="H14" s="167">
        <v>392349895.29000002</v>
      </c>
      <c r="I14" s="167">
        <v>393429378.94999999</v>
      </c>
      <c r="J14" s="167">
        <v>394005075.00999999</v>
      </c>
      <c r="K14" s="167">
        <v>394883120.33999997</v>
      </c>
      <c r="L14" s="167">
        <v>395098629.5</v>
      </c>
      <c r="M14" s="168"/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7">
        <v>395098629.5</v>
      </c>
    </row>
    <row r="15" spans="1:25" ht="14.4" x14ac:dyDescent="0.3">
      <c r="A15" s="163" t="s">
        <v>231</v>
      </c>
      <c r="B15" s="164">
        <v>2007</v>
      </c>
      <c r="C15" s="167">
        <v>164916107.11000001</v>
      </c>
      <c r="D15" s="167">
        <v>306502895.70999998</v>
      </c>
      <c r="E15" s="167">
        <v>343027056.78000003</v>
      </c>
      <c r="F15" s="167">
        <v>366809148.17000002</v>
      </c>
      <c r="G15" s="167">
        <v>371912367.53000003</v>
      </c>
      <c r="H15" s="167">
        <v>374705466.93999994</v>
      </c>
      <c r="I15" s="167">
        <v>376056450.59999996</v>
      </c>
      <c r="J15" s="167">
        <v>376336141.31</v>
      </c>
      <c r="K15" s="167">
        <v>375915235.45999998</v>
      </c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8"/>
      <c r="X15" s="167">
        <v>375915235.45999998</v>
      </c>
    </row>
    <row r="16" spans="1:25" ht="14.4" x14ac:dyDescent="0.3">
      <c r="A16" s="163" t="s">
        <v>231</v>
      </c>
      <c r="B16" s="164">
        <v>2008</v>
      </c>
      <c r="C16" s="167">
        <v>161878678.67999998</v>
      </c>
      <c r="D16" s="167">
        <v>258865335.08999997</v>
      </c>
      <c r="E16" s="167">
        <v>284177698.00999999</v>
      </c>
      <c r="F16" s="167">
        <v>301989428.94</v>
      </c>
      <c r="G16" s="167">
        <v>309741028.25</v>
      </c>
      <c r="H16" s="167">
        <v>312937426.45999998</v>
      </c>
      <c r="I16" s="167">
        <v>313638545.72000003</v>
      </c>
      <c r="J16" s="167">
        <v>315040140.03000009</v>
      </c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7">
        <v>315040140.03000009</v>
      </c>
    </row>
    <row r="17" spans="1:24" ht="14.4" x14ac:dyDescent="0.3">
      <c r="A17" s="163" t="s">
        <v>231</v>
      </c>
      <c r="B17" s="164">
        <v>2009</v>
      </c>
      <c r="C17" s="167">
        <v>133510535.09</v>
      </c>
      <c r="D17" s="167">
        <v>227837630.40000001</v>
      </c>
      <c r="E17" s="167">
        <v>255931476.36000001</v>
      </c>
      <c r="F17" s="167">
        <v>274353492.96000004</v>
      </c>
      <c r="G17" s="167">
        <v>285029454.92000002</v>
      </c>
      <c r="H17" s="167">
        <v>290647069.25999999</v>
      </c>
      <c r="I17" s="167">
        <v>289386609.25</v>
      </c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7">
        <v>289386609.25</v>
      </c>
    </row>
    <row r="18" spans="1:24" ht="14.4" x14ac:dyDescent="0.3">
      <c r="A18" s="163" t="s">
        <v>231</v>
      </c>
      <c r="B18" s="164">
        <v>2010</v>
      </c>
      <c r="C18" s="167">
        <v>130498422.27000001</v>
      </c>
      <c r="D18" s="167">
        <v>234779794.45999998</v>
      </c>
      <c r="E18" s="167">
        <v>263981285.07000002</v>
      </c>
      <c r="F18" s="167">
        <v>284999854.53999996</v>
      </c>
      <c r="G18" s="167">
        <v>297091421.95999998</v>
      </c>
      <c r="H18" s="167">
        <v>297874543.11000001</v>
      </c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7">
        <v>297874543.11000001</v>
      </c>
    </row>
    <row r="19" spans="1:24" ht="14.4" x14ac:dyDescent="0.3">
      <c r="A19" s="163" t="s">
        <v>231</v>
      </c>
      <c r="B19" s="164">
        <v>2011</v>
      </c>
      <c r="C19" s="167">
        <v>136816163.18000001</v>
      </c>
      <c r="D19" s="167">
        <v>222022432.95000002</v>
      </c>
      <c r="E19" s="167">
        <v>260361008.01999998</v>
      </c>
      <c r="F19" s="167">
        <v>288235234.39999998</v>
      </c>
      <c r="G19" s="167">
        <v>293380861.80000001</v>
      </c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7">
        <v>293380861.80000001</v>
      </c>
    </row>
    <row r="20" spans="1:24" ht="14.4" x14ac:dyDescent="0.3">
      <c r="A20" s="163" t="s">
        <v>231</v>
      </c>
      <c r="B20" s="164">
        <v>2012</v>
      </c>
      <c r="C20" s="167">
        <v>128917376.09999999</v>
      </c>
      <c r="D20" s="167">
        <v>243044451.57999998</v>
      </c>
      <c r="E20" s="167">
        <v>279252064.69999999</v>
      </c>
      <c r="F20" s="167">
        <v>290348576.56</v>
      </c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8"/>
      <c r="V20" s="168"/>
      <c r="W20" s="168"/>
      <c r="X20" s="167">
        <v>290348576.56</v>
      </c>
    </row>
    <row r="21" spans="1:24" ht="14.4" x14ac:dyDescent="0.3">
      <c r="A21" s="163" t="s">
        <v>231</v>
      </c>
      <c r="B21" s="164">
        <v>2013</v>
      </c>
      <c r="C21" s="167">
        <v>124518662.36</v>
      </c>
      <c r="D21" s="167">
        <v>217130859.93000001</v>
      </c>
      <c r="E21" s="167">
        <v>226550519.70999998</v>
      </c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68"/>
      <c r="V21" s="168"/>
      <c r="W21" s="168"/>
      <c r="X21" s="167">
        <v>226550519.70999998</v>
      </c>
    </row>
    <row r="22" spans="1:24" ht="14.4" x14ac:dyDescent="0.3">
      <c r="A22" s="163" t="s">
        <v>231</v>
      </c>
      <c r="B22" s="164">
        <v>2014</v>
      </c>
      <c r="C22" s="167">
        <v>108608606.01000001</v>
      </c>
      <c r="D22" s="167">
        <v>159471575.25999996</v>
      </c>
      <c r="E22" s="168"/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168"/>
      <c r="V22" s="168"/>
      <c r="W22" s="168"/>
      <c r="X22" s="167">
        <v>159471575.25999996</v>
      </c>
    </row>
    <row r="23" spans="1:24" ht="14.4" x14ac:dyDescent="0.3">
      <c r="A23" s="163" t="s">
        <v>231</v>
      </c>
      <c r="B23" s="164">
        <v>2015</v>
      </c>
      <c r="C23" s="167">
        <v>91063660.539999992</v>
      </c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/>
      <c r="X23" s="167">
        <v>91063660.539999992</v>
      </c>
    </row>
    <row r="24" spans="1:24" ht="14.4" x14ac:dyDescent="0.3">
      <c r="A24" s="163" t="s">
        <v>232</v>
      </c>
      <c r="B24" s="164">
        <v>1995</v>
      </c>
      <c r="C24" s="167">
        <v>402827337.05000001</v>
      </c>
      <c r="D24" s="167">
        <v>628818439.37999988</v>
      </c>
      <c r="E24" s="167">
        <v>683132290.32000005</v>
      </c>
      <c r="F24" s="167">
        <v>757167257.36000013</v>
      </c>
      <c r="G24" s="167">
        <v>770087871.44999993</v>
      </c>
      <c r="H24" s="167">
        <v>779051570.02999997</v>
      </c>
      <c r="I24" s="167">
        <v>789704791.32999992</v>
      </c>
      <c r="J24" s="167">
        <v>794122558.76999998</v>
      </c>
      <c r="K24" s="167">
        <v>814669275.87</v>
      </c>
      <c r="L24" s="167">
        <v>825634334.66999996</v>
      </c>
      <c r="M24" s="167">
        <v>831177456.67999995</v>
      </c>
      <c r="N24" s="167">
        <v>832455984.24999988</v>
      </c>
      <c r="O24" s="167">
        <v>849438743.40999997</v>
      </c>
      <c r="P24" s="167">
        <v>856458105.07999992</v>
      </c>
      <c r="Q24" s="167">
        <v>853844264.01999998</v>
      </c>
      <c r="R24" s="167">
        <v>854832470.79999995</v>
      </c>
      <c r="S24" s="167">
        <v>861571210.59000003</v>
      </c>
      <c r="T24" s="167">
        <v>868111154.24999988</v>
      </c>
      <c r="U24" s="167">
        <v>869546581.2299999</v>
      </c>
      <c r="V24" s="167">
        <v>862923767.88</v>
      </c>
      <c r="W24" s="167">
        <v>864827088.13999999</v>
      </c>
      <c r="X24" s="167">
        <v>864827088.13999999</v>
      </c>
    </row>
    <row r="25" spans="1:24" ht="14.4" x14ac:dyDescent="0.3">
      <c r="A25" s="163" t="s">
        <v>232</v>
      </c>
      <c r="B25" s="164">
        <v>1996</v>
      </c>
      <c r="C25" s="167">
        <v>411635067.32000005</v>
      </c>
      <c r="D25" s="167">
        <v>604716716.37</v>
      </c>
      <c r="E25" s="167">
        <v>694356101.58999991</v>
      </c>
      <c r="F25" s="167">
        <v>727855725.17999995</v>
      </c>
      <c r="G25" s="167">
        <v>746229972.31999993</v>
      </c>
      <c r="H25" s="167">
        <v>745925094.96999991</v>
      </c>
      <c r="I25" s="167">
        <v>755138278.03999996</v>
      </c>
      <c r="J25" s="167">
        <v>772144665.72000003</v>
      </c>
      <c r="K25" s="167">
        <v>780249949.22000003</v>
      </c>
      <c r="L25" s="167">
        <v>788318011.96999991</v>
      </c>
      <c r="M25" s="167">
        <v>790493748.89999998</v>
      </c>
      <c r="N25" s="167">
        <v>799949696.62</v>
      </c>
      <c r="O25" s="167">
        <v>807168884.20999992</v>
      </c>
      <c r="P25" s="167">
        <v>807078149.30000007</v>
      </c>
      <c r="Q25" s="167">
        <v>806599288.83999991</v>
      </c>
      <c r="R25" s="167">
        <v>811945535.79999995</v>
      </c>
      <c r="S25" s="167">
        <v>816033048.18999994</v>
      </c>
      <c r="T25" s="167">
        <v>814314368.50999987</v>
      </c>
      <c r="U25" s="167">
        <v>812828212.79999983</v>
      </c>
      <c r="V25" s="167">
        <v>813589504.56999993</v>
      </c>
      <c r="W25" s="168"/>
      <c r="X25" s="167">
        <v>813589504.56999993</v>
      </c>
    </row>
    <row r="26" spans="1:24" ht="14.4" x14ac:dyDescent="0.3">
      <c r="A26" s="163" t="s">
        <v>232</v>
      </c>
      <c r="B26" s="164">
        <v>1997</v>
      </c>
      <c r="C26" s="167">
        <v>489977735.74000001</v>
      </c>
      <c r="D26" s="167">
        <v>699707990.18999994</v>
      </c>
      <c r="E26" s="167">
        <v>770495785.50000012</v>
      </c>
      <c r="F26" s="167">
        <v>818086486.04999995</v>
      </c>
      <c r="G26" s="167">
        <v>849011982.26999998</v>
      </c>
      <c r="H26" s="167">
        <v>869049940.36000001</v>
      </c>
      <c r="I26" s="167">
        <v>889411249.03999996</v>
      </c>
      <c r="J26" s="167">
        <v>900489944.23000002</v>
      </c>
      <c r="K26" s="167">
        <v>915035946.92999995</v>
      </c>
      <c r="L26" s="167">
        <v>916011258.99000001</v>
      </c>
      <c r="M26" s="167">
        <v>933007472.69000006</v>
      </c>
      <c r="N26" s="167">
        <v>940384764.50999999</v>
      </c>
      <c r="O26" s="167">
        <v>939361384.74000001</v>
      </c>
      <c r="P26" s="167">
        <v>940832855.74000001</v>
      </c>
      <c r="Q26" s="167">
        <v>941391449.24000001</v>
      </c>
      <c r="R26" s="167">
        <v>942838645.37</v>
      </c>
      <c r="S26" s="167">
        <v>946463359.81999993</v>
      </c>
      <c r="T26" s="167">
        <v>947563256.68999994</v>
      </c>
      <c r="U26" s="167">
        <v>950096984.43999994</v>
      </c>
      <c r="V26" s="168"/>
      <c r="W26" s="168"/>
      <c r="X26" s="167">
        <v>950096984.43999994</v>
      </c>
    </row>
    <row r="27" spans="1:24" ht="14.4" x14ac:dyDescent="0.3">
      <c r="A27" s="163" t="s">
        <v>232</v>
      </c>
      <c r="B27" s="164">
        <v>1998</v>
      </c>
      <c r="C27" s="167">
        <v>534604781.58000004</v>
      </c>
      <c r="D27" s="167">
        <v>786550709.09000003</v>
      </c>
      <c r="E27" s="167">
        <v>892166371.25</v>
      </c>
      <c r="F27" s="167">
        <v>959487617.47000003</v>
      </c>
      <c r="G27" s="167">
        <v>993292014.81000006</v>
      </c>
      <c r="H27" s="167">
        <v>1030552409</v>
      </c>
      <c r="I27" s="167">
        <v>1061914655.92</v>
      </c>
      <c r="J27" s="167">
        <v>1068811169.7700001</v>
      </c>
      <c r="K27" s="167">
        <v>1074375090.49</v>
      </c>
      <c r="L27" s="167">
        <v>1089851084.8900001</v>
      </c>
      <c r="M27" s="167">
        <v>1096232664.8900001</v>
      </c>
      <c r="N27" s="167">
        <v>1099888506.99</v>
      </c>
      <c r="O27" s="167">
        <v>1105131445.0999999</v>
      </c>
      <c r="P27" s="167">
        <v>1108125841.0799999</v>
      </c>
      <c r="Q27" s="167">
        <v>1111019853.0899999</v>
      </c>
      <c r="R27" s="167">
        <v>1114736369.3600001</v>
      </c>
      <c r="S27" s="167">
        <v>1115962843.2299998</v>
      </c>
      <c r="T27" s="167">
        <v>1118924057.7799997</v>
      </c>
      <c r="U27" s="168"/>
      <c r="V27" s="168"/>
      <c r="W27" s="168"/>
      <c r="X27" s="167">
        <v>1118924057.7799997</v>
      </c>
    </row>
    <row r="28" spans="1:24" ht="14.4" x14ac:dyDescent="0.3">
      <c r="A28" s="163" t="s">
        <v>232</v>
      </c>
      <c r="B28" s="164">
        <v>1999</v>
      </c>
      <c r="C28" s="167">
        <v>569981574.29999995</v>
      </c>
      <c r="D28" s="167">
        <v>793730113.0999999</v>
      </c>
      <c r="E28" s="167">
        <v>894410941.31000006</v>
      </c>
      <c r="F28" s="167">
        <v>901339986.83999991</v>
      </c>
      <c r="G28" s="167">
        <v>913684722.46000004</v>
      </c>
      <c r="H28" s="167">
        <v>943923019.45999992</v>
      </c>
      <c r="I28" s="167">
        <v>947355702.26999998</v>
      </c>
      <c r="J28" s="167">
        <v>956623898</v>
      </c>
      <c r="K28" s="167">
        <v>966410143.28000009</v>
      </c>
      <c r="L28" s="167">
        <v>974351788.03999984</v>
      </c>
      <c r="M28" s="167">
        <v>974762094.38999987</v>
      </c>
      <c r="N28" s="167">
        <v>964457351.70000005</v>
      </c>
      <c r="O28" s="167">
        <v>962411382.49000001</v>
      </c>
      <c r="P28" s="167">
        <v>965563456.13999999</v>
      </c>
      <c r="Q28" s="167">
        <v>968168933.8299998</v>
      </c>
      <c r="R28" s="167">
        <v>971100425.89999986</v>
      </c>
      <c r="S28" s="167">
        <v>973097753.43000007</v>
      </c>
      <c r="T28" s="168"/>
      <c r="U28" s="168"/>
      <c r="V28" s="168"/>
      <c r="W28" s="168"/>
      <c r="X28" s="167">
        <v>973097753.43000007</v>
      </c>
    </row>
    <row r="29" spans="1:24" ht="14.4" x14ac:dyDescent="0.3">
      <c r="A29" s="163" t="s">
        <v>232</v>
      </c>
      <c r="B29" s="164">
        <v>2000</v>
      </c>
      <c r="C29" s="167">
        <v>491350233.85999995</v>
      </c>
      <c r="D29" s="167">
        <v>714828140.50999999</v>
      </c>
      <c r="E29" s="167">
        <v>772758959.78999996</v>
      </c>
      <c r="F29" s="167">
        <v>733900564.06000006</v>
      </c>
      <c r="G29" s="167">
        <v>827096986.78000009</v>
      </c>
      <c r="H29" s="167">
        <v>844109867.10000002</v>
      </c>
      <c r="I29" s="167">
        <v>850593677.63</v>
      </c>
      <c r="J29" s="167">
        <v>859852082.18999994</v>
      </c>
      <c r="K29" s="167">
        <v>868284422.18999994</v>
      </c>
      <c r="L29" s="167">
        <v>874444026.44999993</v>
      </c>
      <c r="M29" s="167">
        <v>861438517.70999992</v>
      </c>
      <c r="N29" s="167">
        <v>865048672.96000004</v>
      </c>
      <c r="O29" s="167">
        <v>864933028.8299998</v>
      </c>
      <c r="P29" s="167">
        <v>867386361.64999986</v>
      </c>
      <c r="Q29" s="167">
        <v>870511984.38000011</v>
      </c>
      <c r="R29" s="167">
        <v>870999765.01000011</v>
      </c>
      <c r="S29" s="168"/>
      <c r="T29" s="168"/>
      <c r="U29" s="168"/>
      <c r="V29" s="168"/>
      <c r="W29" s="168"/>
      <c r="X29" s="167">
        <v>870999765.01000011</v>
      </c>
    </row>
    <row r="30" spans="1:24" ht="14.4" x14ac:dyDescent="0.3">
      <c r="A30" s="163" t="s">
        <v>232</v>
      </c>
      <c r="B30" s="164">
        <v>2001</v>
      </c>
      <c r="C30" s="167">
        <v>440422468.42000008</v>
      </c>
      <c r="D30" s="167">
        <v>637742455.83000004</v>
      </c>
      <c r="E30" s="167">
        <v>711022786.81999993</v>
      </c>
      <c r="F30" s="167">
        <v>760531491.76999998</v>
      </c>
      <c r="G30" s="167">
        <v>732600978.6099999</v>
      </c>
      <c r="H30" s="167">
        <v>736807905.13999999</v>
      </c>
      <c r="I30" s="167">
        <v>741017795.54999995</v>
      </c>
      <c r="J30" s="167">
        <v>742031907.13999999</v>
      </c>
      <c r="K30" s="167">
        <v>741586147.55999994</v>
      </c>
      <c r="L30" s="167">
        <v>712307714.78999996</v>
      </c>
      <c r="M30" s="167">
        <v>715721460.43999994</v>
      </c>
      <c r="N30" s="167">
        <v>716542921.47000003</v>
      </c>
      <c r="O30" s="167">
        <v>721356989.74000001</v>
      </c>
      <c r="P30" s="167">
        <v>722237498.52999997</v>
      </c>
      <c r="Q30" s="167">
        <v>718909595.48999989</v>
      </c>
      <c r="R30" s="168"/>
      <c r="S30" s="168"/>
      <c r="T30" s="168"/>
      <c r="U30" s="168"/>
      <c r="V30" s="168"/>
      <c r="W30" s="168"/>
      <c r="X30" s="167">
        <v>718909595.48999989</v>
      </c>
    </row>
    <row r="31" spans="1:24" ht="14.4" x14ac:dyDescent="0.3">
      <c r="A31" s="163" t="s">
        <v>232</v>
      </c>
      <c r="B31" s="164">
        <v>2002</v>
      </c>
      <c r="C31" s="167">
        <v>371706287.41000003</v>
      </c>
      <c r="D31" s="167">
        <v>547844393.48000002</v>
      </c>
      <c r="E31" s="167">
        <v>636720564.90999997</v>
      </c>
      <c r="F31" s="167">
        <v>693412322.18000007</v>
      </c>
      <c r="G31" s="167">
        <v>713599039.24000001</v>
      </c>
      <c r="H31" s="167">
        <v>745345765.84000003</v>
      </c>
      <c r="I31" s="167">
        <v>758804291.92000008</v>
      </c>
      <c r="J31" s="167">
        <v>768803879.77999997</v>
      </c>
      <c r="K31" s="167">
        <v>776808882.48999989</v>
      </c>
      <c r="L31" s="167">
        <v>780438536.53999996</v>
      </c>
      <c r="M31" s="167">
        <v>784648461.83000004</v>
      </c>
      <c r="N31" s="167">
        <v>790337699.59000003</v>
      </c>
      <c r="O31" s="167">
        <v>789935340.87000012</v>
      </c>
      <c r="P31" s="167">
        <v>792557131.82999992</v>
      </c>
      <c r="Q31" s="168"/>
      <c r="R31" s="168"/>
      <c r="S31" s="168"/>
      <c r="T31" s="168"/>
      <c r="U31" s="168"/>
      <c r="V31" s="168"/>
      <c r="W31" s="168"/>
      <c r="X31" s="167">
        <v>792557131.82999992</v>
      </c>
    </row>
    <row r="32" spans="1:24" ht="14.4" x14ac:dyDescent="0.3">
      <c r="A32" s="163" t="s">
        <v>232</v>
      </c>
      <c r="B32" s="164">
        <v>2003</v>
      </c>
      <c r="C32" s="167">
        <v>307164975.06</v>
      </c>
      <c r="D32" s="167">
        <v>436305277.25</v>
      </c>
      <c r="E32" s="167">
        <v>496686391.57999998</v>
      </c>
      <c r="F32" s="167">
        <v>522110919.19</v>
      </c>
      <c r="G32" s="167">
        <v>546709212.50999999</v>
      </c>
      <c r="H32" s="167">
        <v>566749186</v>
      </c>
      <c r="I32" s="167">
        <v>571570419.75999999</v>
      </c>
      <c r="J32" s="167">
        <v>582137653.62</v>
      </c>
      <c r="K32" s="167">
        <v>586380426.86000001</v>
      </c>
      <c r="L32" s="167">
        <v>585360558.10000002</v>
      </c>
      <c r="M32" s="167">
        <v>588174564.30000007</v>
      </c>
      <c r="N32" s="167">
        <v>591520720.52999997</v>
      </c>
      <c r="O32" s="167">
        <v>593606334.66000009</v>
      </c>
      <c r="P32" s="168"/>
      <c r="Q32" s="168"/>
      <c r="R32" s="168"/>
      <c r="S32" s="168"/>
      <c r="T32" s="168"/>
      <c r="U32" s="168"/>
      <c r="V32" s="168"/>
      <c r="W32" s="168"/>
      <c r="X32" s="167">
        <v>593606334.66000009</v>
      </c>
    </row>
    <row r="33" spans="1:24" ht="14.4" x14ac:dyDescent="0.3">
      <c r="A33" s="163" t="s">
        <v>232</v>
      </c>
      <c r="B33" s="164">
        <v>2004</v>
      </c>
      <c r="C33" s="167">
        <v>239393093.50000003</v>
      </c>
      <c r="D33" s="167">
        <v>347172923.97999996</v>
      </c>
      <c r="E33" s="167">
        <v>390235829.43000007</v>
      </c>
      <c r="F33" s="167">
        <v>419013950.63</v>
      </c>
      <c r="G33" s="167">
        <v>438050667.91000003</v>
      </c>
      <c r="H33" s="167">
        <v>451517485.94000006</v>
      </c>
      <c r="I33" s="167">
        <v>456686388.29999995</v>
      </c>
      <c r="J33" s="167">
        <v>454745290.63</v>
      </c>
      <c r="K33" s="167">
        <v>462631125.65999997</v>
      </c>
      <c r="L33" s="167">
        <v>463001933.76999998</v>
      </c>
      <c r="M33" s="167">
        <v>467728610.17999995</v>
      </c>
      <c r="N33" s="167">
        <v>469832451.29999995</v>
      </c>
      <c r="O33" s="168"/>
      <c r="P33" s="168"/>
      <c r="Q33" s="168"/>
      <c r="R33" s="168"/>
      <c r="S33" s="168"/>
      <c r="T33" s="168"/>
      <c r="U33" s="168"/>
      <c r="V33" s="168"/>
      <c r="W33" s="168"/>
      <c r="X33" s="167">
        <v>469832451.29999995</v>
      </c>
    </row>
    <row r="34" spans="1:24" ht="14.4" x14ac:dyDescent="0.3">
      <c r="A34" s="163" t="s">
        <v>232</v>
      </c>
      <c r="B34" s="164">
        <v>2005</v>
      </c>
      <c r="C34" s="167">
        <v>183241271.67999998</v>
      </c>
      <c r="D34" s="167">
        <v>271543628.05000001</v>
      </c>
      <c r="E34" s="167">
        <v>309417576.80000001</v>
      </c>
      <c r="F34" s="167">
        <v>327275844.62</v>
      </c>
      <c r="G34" s="167">
        <v>337190924.63</v>
      </c>
      <c r="H34" s="167">
        <v>338352851.77000004</v>
      </c>
      <c r="I34" s="167">
        <v>347134678.56</v>
      </c>
      <c r="J34" s="167">
        <v>354753833.96000004</v>
      </c>
      <c r="K34" s="167">
        <v>359767378.98000008</v>
      </c>
      <c r="L34" s="167">
        <v>362952564.56000006</v>
      </c>
      <c r="M34" s="167">
        <v>366939451.2700001</v>
      </c>
      <c r="N34" s="168"/>
      <c r="O34" s="168"/>
      <c r="P34" s="168"/>
      <c r="Q34" s="168"/>
      <c r="R34" s="168"/>
      <c r="S34" s="168"/>
      <c r="T34" s="168"/>
      <c r="U34" s="168"/>
      <c r="V34" s="168"/>
      <c r="W34" s="168"/>
      <c r="X34" s="167">
        <v>366939451.2700001</v>
      </c>
    </row>
    <row r="35" spans="1:24" ht="14.4" x14ac:dyDescent="0.3">
      <c r="A35" s="163" t="s">
        <v>232</v>
      </c>
      <c r="B35" s="164">
        <v>2006</v>
      </c>
      <c r="C35" s="167">
        <v>179800772.49000001</v>
      </c>
      <c r="D35" s="167">
        <v>279568329.01999998</v>
      </c>
      <c r="E35" s="167">
        <v>311567320.24000001</v>
      </c>
      <c r="F35" s="167">
        <v>330389481.28000003</v>
      </c>
      <c r="G35" s="167">
        <v>346461613.65000004</v>
      </c>
      <c r="H35" s="167">
        <v>355788206.90999997</v>
      </c>
      <c r="I35" s="167">
        <v>358020667.39000005</v>
      </c>
      <c r="J35" s="167">
        <v>356922523.87</v>
      </c>
      <c r="K35" s="167">
        <v>359549915.27999997</v>
      </c>
      <c r="L35" s="167">
        <v>363094503.90999997</v>
      </c>
      <c r="M35" s="168"/>
      <c r="N35" s="168"/>
      <c r="O35" s="168"/>
      <c r="P35" s="168"/>
      <c r="Q35" s="168"/>
      <c r="R35" s="168"/>
      <c r="S35" s="168"/>
      <c r="T35" s="168"/>
      <c r="U35" s="168"/>
      <c r="V35" s="168"/>
      <c r="W35" s="168"/>
      <c r="X35" s="167">
        <v>363094503.90999997</v>
      </c>
    </row>
    <row r="36" spans="1:24" ht="14.4" x14ac:dyDescent="0.3">
      <c r="A36" s="163" t="s">
        <v>232</v>
      </c>
      <c r="B36" s="164">
        <v>2007</v>
      </c>
      <c r="C36" s="167">
        <v>203635582.65000001</v>
      </c>
      <c r="D36" s="167">
        <v>310362959.45999998</v>
      </c>
      <c r="E36" s="167">
        <v>345727753.60999995</v>
      </c>
      <c r="F36" s="167">
        <v>369653522.09000003</v>
      </c>
      <c r="G36" s="167">
        <v>384526577.15000004</v>
      </c>
      <c r="H36" s="167">
        <v>389286885.76999998</v>
      </c>
      <c r="I36" s="167">
        <v>393832017.61000001</v>
      </c>
      <c r="J36" s="167">
        <v>400679448.49000001</v>
      </c>
      <c r="K36" s="167">
        <v>404905813.93000001</v>
      </c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7">
        <v>404905813.93000001</v>
      </c>
    </row>
    <row r="37" spans="1:24" ht="14.4" x14ac:dyDescent="0.3">
      <c r="A37" s="163" t="s">
        <v>232</v>
      </c>
      <c r="B37" s="164">
        <v>2008</v>
      </c>
      <c r="C37" s="167">
        <v>206999588.81999999</v>
      </c>
      <c r="D37" s="167">
        <v>310102730.61000001</v>
      </c>
      <c r="E37" s="167">
        <v>349426090.84000003</v>
      </c>
      <c r="F37" s="167">
        <v>371607606.39999998</v>
      </c>
      <c r="G37" s="167">
        <v>382349292.98000002</v>
      </c>
      <c r="H37" s="167">
        <v>394535026.88999999</v>
      </c>
      <c r="I37" s="167">
        <v>399612148.57000005</v>
      </c>
      <c r="J37" s="167">
        <v>403544027.42000008</v>
      </c>
      <c r="K37" s="168"/>
      <c r="L37" s="16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  <c r="X37" s="167">
        <v>403544027.42000008</v>
      </c>
    </row>
    <row r="38" spans="1:24" ht="14.4" x14ac:dyDescent="0.3">
      <c r="A38" s="163" t="s">
        <v>232</v>
      </c>
      <c r="B38" s="164">
        <v>2009</v>
      </c>
      <c r="C38" s="167">
        <v>190259341.96000001</v>
      </c>
      <c r="D38" s="167">
        <v>281691198.79000002</v>
      </c>
      <c r="E38" s="167">
        <v>319537622.97000003</v>
      </c>
      <c r="F38" s="167">
        <v>338555569.93000001</v>
      </c>
      <c r="G38" s="167">
        <v>350420161.55000001</v>
      </c>
      <c r="H38" s="167">
        <v>355443123.55000001</v>
      </c>
      <c r="I38" s="167">
        <v>359949289.31999999</v>
      </c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7">
        <v>359949289.31999999</v>
      </c>
    </row>
    <row r="39" spans="1:24" ht="14.4" x14ac:dyDescent="0.3">
      <c r="A39" s="163" t="s">
        <v>232</v>
      </c>
      <c r="B39" s="164">
        <v>2010</v>
      </c>
      <c r="C39" s="167">
        <v>196871791.91999996</v>
      </c>
      <c r="D39" s="167">
        <v>319058779.91999996</v>
      </c>
      <c r="E39" s="167">
        <v>361324095.45999998</v>
      </c>
      <c r="F39" s="167">
        <v>388387251.50999999</v>
      </c>
      <c r="G39" s="167">
        <v>399809119.92000002</v>
      </c>
      <c r="H39" s="167">
        <v>407348396.74000001</v>
      </c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7">
        <v>407348396.74000001</v>
      </c>
    </row>
    <row r="40" spans="1:24" ht="14.4" x14ac:dyDescent="0.3">
      <c r="A40" s="163" t="s">
        <v>232</v>
      </c>
      <c r="B40" s="164">
        <v>2011</v>
      </c>
      <c r="C40" s="167">
        <v>178167734.22</v>
      </c>
      <c r="D40" s="167">
        <v>279783870.07999998</v>
      </c>
      <c r="E40" s="167">
        <v>311573369.85000002</v>
      </c>
      <c r="F40" s="167">
        <v>326595248.43999994</v>
      </c>
      <c r="G40" s="167">
        <v>338129059.20999998</v>
      </c>
      <c r="H40" s="168"/>
      <c r="I40" s="168"/>
      <c r="J40" s="168"/>
      <c r="K40" s="168"/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  <c r="X40" s="167">
        <v>338129059.20999998</v>
      </c>
    </row>
    <row r="41" spans="1:24" ht="14.4" x14ac:dyDescent="0.3">
      <c r="A41" s="163" t="s">
        <v>232</v>
      </c>
      <c r="B41" s="164">
        <v>2012</v>
      </c>
      <c r="C41" s="167">
        <v>158704920.07999998</v>
      </c>
      <c r="D41" s="167">
        <v>242584595.09</v>
      </c>
      <c r="E41" s="167">
        <v>270259826.85000002</v>
      </c>
      <c r="F41" s="167">
        <v>276929105.73000002</v>
      </c>
      <c r="G41" s="168"/>
      <c r="H41" s="168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7">
        <v>276929105.73000002</v>
      </c>
    </row>
    <row r="42" spans="1:24" ht="14.4" x14ac:dyDescent="0.3">
      <c r="A42" s="163" t="s">
        <v>232</v>
      </c>
      <c r="B42" s="164">
        <v>2013</v>
      </c>
      <c r="C42" s="167">
        <v>156099243.41999999</v>
      </c>
      <c r="D42" s="167">
        <v>241895346.55999997</v>
      </c>
      <c r="E42" s="167">
        <v>267289467.56</v>
      </c>
      <c r="F42" s="168"/>
      <c r="G42" s="168"/>
      <c r="H42" s="168"/>
      <c r="I42" s="168"/>
      <c r="J42" s="168"/>
      <c r="K42" s="168"/>
      <c r="L42" s="168"/>
      <c r="M42" s="168"/>
      <c r="N42" s="168"/>
      <c r="O42" s="168"/>
      <c r="P42" s="168"/>
      <c r="Q42" s="168"/>
      <c r="R42" s="168"/>
      <c r="S42" s="168"/>
      <c r="T42" s="168"/>
      <c r="U42" s="168"/>
      <c r="V42" s="168"/>
      <c r="W42" s="168"/>
      <c r="X42" s="167">
        <v>267289467.56</v>
      </c>
    </row>
    <row r="43" spans="1:24" ht="14.4" x14ac:dyDescent="0.3">
      <c r="A43" s="163" t="s">
        <v>232</v>
      </c>
      <c r="B43" s="164">
        <v>2014</v>
      </c>
      <c r="C43" s="167">
        <v>127343751.33</v>
      </c>
      <c r="D43" s="167">
        <v>201322658.53</v>
      </c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  <c r="X43" s="167">
        <v>201322658.53</v>
      </c>
    </row>
    <row r="44" spans="1:24" ht="14.4" x14ac:dyDescent="0.3">
      <c r="A44" s="163" t="s">
        <v>232</v>
      </c>
      <c r="B44" s="164">
        <v>2015</v>
      </c>
      <c r="C44" s="167">
        <v>119631208.91</v>
      </c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7">
        <v>119631208.91</v>
      </c>
    </row>
    <row r="45" spans="1:24" ht="14.4" x14ac:dyDescent="0.3">
      <c r="A45" s="163" t="s">
        <v>233</v>
      </c>
      <c r="B45" s="164">
        <v>1995</v>
      </c>
      <c r="C45" s="167">
        <v>311411834.01999998</v>
      </c>
      <c r="D45" s="167">
        <v>504461119.94000006</v>
      </c>
      <c r="E45" s="167">
        <v>584439896.19000006</v>
      </c>
      <c r="F45" s="167">
        <v>621397614.03999996</v>
      </c>
      <c r="G45" s="167">
        <v>645465549.75</v>
      </c>
      <c r="H45" s="167">
        <v>676826287.63000011</v>
      </c>
      <c r="I45" s="167">
        <v>693731121.40999997</v>
      </c>
      <c r="J45" s="167">
        <v>708562834.39999998</v>
      </c>
      <c r="K45" s="167">
        <v>722869803.07999992</v>
      </c>
      <c r="L45" s="167">
        <v>734696258.90999997</v>
      </c>
      <c r="M45" s="167">
        <v>740366326.88999999</v>
      </c>
      <c r="N45" s="167">
        <v>744324119.81999993</v>
      </c>
      <c r="O45" s="167">
        <v>752494453.74000001</v>
      </c>
      <c r="P45" s="167">
        <v>754150495.04999995</v>
      </c>
      <c r="Q45" s="167">
        <v>755357041.14999998</v>
      </c>
      <c r="R45" s="167">
        <v>757419159.1500001</v>
      </c>
      <c r="S45" s="167">
        <v>758992769.87000012</v>
      </c>
      <c r="T45" s="167">
        <v>759630488.94000006</v>
      </c>
      <c r="U45" s="167">
        <v>760245946.23000002</v>
      </c>
      <c r="V45" s="167">
        <v>761039546.88000011</v>
      </c>
      <c r="W45" s="167">
        <v>762934106.1400001</v>
      </c>
      <c r="X45" s="167">
        <v>762934106.1400001</v>
      </c>
    </row>
    <row r="46" spans="1:24" ht="14.4" x14ac:dyDescent="0.3">
      <c r="A46" s="163" t="s">
        <v>233</v>
      </c>
      <c r="B46" s="164">
        <v>1996</v>
      </c>
      <c r="C46" s="167">
        <v>367496171.12</v>
      </c>
      <c r="D46" s="167">
        <v>564402912.91000009</v>
      </c>
      <c r="E46" s="167">
        <v>645300210.48000002</v>
      </c>
      <c r="F46" s="167">
        <v>685184795</v>
      </c>
      <c r="G46" s="167">
        <v>717666896.23000002</v>
      </c>
      <c r="H46" s="167">
        <v>745474673.3499999</v>
      </c>
      <c r="I46" s="167">
        <v>761548329.30999994</v>
      </c>
      <c r="J46" s="167">
        <v>781776534.69000006</v>
      </c>
      <c r="K46" s="167">
        <v>799727394.33999991</v>
      </c>
      <c r="L46" s="167">
        <v>812591208.06000006</v>
      </c>
      <c r="M46" s="167">
        <v>816348863.75</v>
      </c>
      <c r="N46" s="167">
        <v>824976347.88000011</v>
      </c>
      <c r="O46" s="167">
        <v>835581309.10000002</v>
      </c>
      <c r="P46" s="167">
        <v>837834787.13</v>
      </c>
      <c r="Q46" s="167">
        <v>839360384.99000001</v>
      </c>
      <c r="R46" s="167">
        <v>840559782.21000004</v>
      </c>
      <c r="S46" s="167">
        <v>844026254.33000004</v>
      </c>
      <c r="T46" s="167">
        <v>846903834.3599999</v>
      </c>
      <c r="U46" s="167">
        <v>848646488.5999999</v>
      </c>
      <c r="V46" s="167">
        <v>852402162.38</v>
      </c>
      <c r="W46" s="168"/>
      <c r="X46" s="167">
        <v>852402162.38</v>
      </c>
    </row>
    <row r="47" spans="1:24" ht="14.4" x14ac:dyDescent="0.3">
      <c r="A47" s="163" t="s">
        <v>233</v>
      </c>
      <c r="B47" s="164">
        <v>1997</v>
      </c>
      <c r="C47" s="167">
        <v>434005770.63</v>
      </c>
      <c r="D47" s="167">
        <v>634741326.88999999</v>
      </c>
      <c r="E47" s="167">
        <v>725697161.93000007</v>
      </c>
      <c r="F47" s="167">
        <v>785122767.92000008</v>
      </c>
      <c r="G47" s="167">
        <v>830819569.04999995</v>
      </c>
      <c r="H47" s="167">
        <v>865759848.75999999</v>
      </c>
      <c r="I47" s="167">
        <v>891139346.86000013</v>
      </c>
      <c r="J47" s="167">
        <v>913064943.14999998</v>
      </c>
      <c r="K47" s="167">
        <v>928149732.64999998</v>
      </c>
      <c r="L47" s="167">
        <v>933368008.90999997</v>
      </c>
      <c r="M47" s="167">
        <v>955013293.96000004</v>
      </c>
      <c r="N47" s="167">
        <v>964719154.97000003</v>
      </c>
      <c r="O47" s="167">
        <v>969333018.33000004</v>
      </c>
      <c r="P47" s="167">
        <v>977153900.69000006</v>
      </c>
      <c r="Q47" s="167">
        <v>979630592.18000007</v>
      </c>
      <c r="R47" s="167">
        <v>981683071.25999999</v>
      </c>
      <c r="S47" s="167">
        <v>987044284.8499999</v>
      </c>
      <c r="T47" s="167">
        <v>987483234.53999996</v>
      </c>
      <c r="U47" s="167">
        <v>991326435.37000012</v>
      </c>
      <c r="V47" s="168"/>
      <c r="W47" s="168"/>
      <c r="X47" s="167">
        <v>991326435.37000012</v>
      </c>
    </row>
    <row r="48" spans="1:24" ht="14.4" x14ac:dyDescent="0.3">
      <c r="A48" s="163" t="s">
        <v>233</v>
      </c>
      <c r="B48" s="164">
        <v>1998</v>
      </c>
      <c r="C48" s="167">
        <v>455841947.75999999</v>
      </c>
      <c r="D48" s="167">
        <v>734595046.0999999</v>
      </c>
      <c r="E48" s="167">
        <v>876458332.39999998</v>
      </c>
      <c r="F48" s="167">
        <v>959026877.96000004</v>
      </c>
      <c r="G48" s="167">
        <v>1020383425.9299999</v>
      </c>
      <c r="H48" s="167">
        <v>1078784506.5100002</v>
      </c>
      <c r="I48" s="167">
        <v>1116388584.9000001</v>
      </c>
      <c r="J48" s="167">
        <v>1140261261.8399999</v>
      </c>
      <c r="K48" s="167">
        <v>1153073177.1300001</v>
      </c>
      <c r="L48" s="167">
        <v>1183436572.96</v>
      </c>
      <c r="M48" s="167">
        <v>1199078104.4100001</v>
      </c>
      <c r="N48" s="167">
        <v>1209128323.3699999</v>
      </c>
      <c r="O48" s="167">
        <v>1216557441.71</v>
      </c>
      <c r="P48" s="167">
        <v>1221702903.0699999</v>
      </c>
      <c r="Q48" s="167">
        <v>1226976056.1300001</v>
      </c>
      <c r="R48" s="167">
        <v>1231297867.8800001</v>
      </c>
      <c r="S48" s="167">
        <v>1237840361.96</v>
      </c>
      <c r="T48" s="167">
        <v>1238388712.99</v>
      </c>
      <c r="U48" s="168"/>
      <c r="V48" s="168"/>
      <c r="W48" s="168"/>
      <c r="X48" s="167">
        <v>1238388712.99</v>
      </c>
    </row>
    <row r="49" spans="1:24" ht="14.4" x14ac:dyDescent="0.3">
      <c r="A49" s="163" t="s">
        <v>233</v>
      </c>
      <c r="B49" s="164">
        <v>1999</v>
      </c>
      <c r="C49" s="167">
        <v>489168296.01000005</v>
      </c>
      <c r="D49" s="167">
        <v>795216811.47000003</v>
      </c>
      <c r="E49" s="167">
        <v>964539173.85000002</v>
      </c>
      <c r="F49" s="167">
        <v>1055319944.0700002</v>
      </c>
      <c r="G49" s="167">
        <v>1128584307.0599999</v>
      </c>
      <c r="H49" s="167">
        <v>1199490720.4200001</v>
      </c>
      <c r="I49" s="167">
        <v>1238488900.4000001</v>
      </c>
      <c r="J49" s="167">
        <v>1250352829.1199999</v>
      </c>
      <c r="K49" s="167">
        <v>1286580861.4099998</v>
      </c>
      <c r="L49" s="167">
        <v>1292550764.96</v>
      </c>
      <c r="M49" s="167">
        <v>1302013044.78</v>
      </c>
      <c r="N49" s="167">
        <v>1311554740.99</v>
      </c>
      <c r="O49" s="167">
        <v>1317357566.9000001</v>
      </c>
      <c r="P49" s="167">
        <v>1324385853.01</v>
      </c>
      <c r="Q49" s="167">
        <v>1331047550.47</v>
      </c>
      <c r="R49" s="167">
        <v>1336855318.9300001</v>
      </c>
      <c r="S49" s="167">
        <v>1342469212.27</v>
      </c>
      <c r="T49" s="168"/>
      <c r="U49" s="168"/>
      <c r="V49" s="168"/>
      <c r="W49" s="168"/>
      <c r="X49" s="167">
        <v>1342469212.27</v>
      </c>
    </row>
    <row r="50" spans="1:24" ht="14.4" x14ac:dyDescent="0.3">
      <c r="A50" s="163" t="s">
        <v>233</v>
      </c>
      <c r="B50" s="164">
        <v>2000</v>
      </c>
      <c r="C50" s="167">
        <v>462621834.06999999</v>
      </c>
      <c r="D50" s="167">
        <v>777183378.90999997</v>
      </c>
      <c r="E50" s="167">
        <v>925889714.35000002</v>
      </c>
      <c r="F50" s="167">
        <v>1033242305.1800001</v>
      </c>
      <c r="G50" s="167">
        <v>1113092099.79</v>
      </c>
      <c r="H50" s="167">
        <v>1156260076</v>
      </c>
      <c r="I50" s="167">
        <v>1171644267.5999999</v>
      </c>
      <c r="J50" s="167">
        <v>1201797537.79</v>
      </c>
      <c r="K50" s="167">
        <v>1203154348.9099998</v>
      </c>
      <c r="L50" s="167">
        <v>1214573593.0599999</v>
      </c>
      <c r="M50" s="167">
        <v>1222714233.8900001</v>
      </c>
      <c r="N50" s="167">
        <v>1228807765.6700001</v>
      </c>
      <c r="O50" s="167">
        <v>1231231110.49</v>
      </c>
      <c r="P50" s="167">
        <v>1236454361.05</v>
      </c>
      <c r="Q50" s="167">
        <v>1238068709.5799999</v>
      </c>
      <c r="R50" s="167">
        <v>1240338196.8199999</v>
      </c>
      <c r="S50" s="168"/>
      <c r="T50" s="168"/>
      <c r="U50" s="168"/>
      <c r="V50" s="168"/>
      <c r="W50" s="168"/>
      <c r="X50" s="167">
        <v>1240338196.8199999</v>
      </c>
    </row>
    <row r="51" spans="1:24" ht="14.4" x14ac:dyDescent="0.3">
      <c r="A51" s="163" t="s">
        <v>233</v>
      </c>
      <c r="B51" s="164">
        <v>2001</v>
      </c>
      <c r="C51" s="167">
        <v>500516979.14999998</v>
      </c>
      <c r="D51" s="167">
        <v>819278411.29999995</v>
      </c>
      <c r="E51" s="167">
        <v>997558190.22000003</v>
      </c>
      <c r="F51" s="167">
        <v>1113482606.23</v>
      </c>
      <c r="G51" s="167">
        <v>1172247315.6099999</v>
      </c>
      <c r="H51" s="167">
        <v>1197608358.9400001</v>
      </c>
      <c r="I51" s="167">
        <v>1234487117.1700001</v>
      </c>
      <c r="J51" s="167">
        <v>1253846474.71</v>
      </c>
      <c r="K51" s="167">
        <v>1265056417.8599999</v>
      </c>
      <c r="L51" s="167">
        <v>1285378292.4299998</v>
      </c>
      <c r="M51" s="167">
        <v>1262634221.1199999</v>
      </c>
      <c r="N51" s="167">
        <v>1269209429.1500001</v>
      </c>
      <c r="O51" s="167">
        <v>1277026598.9400001</v>
      </c>
      <c r="P51" s="167">
        <v>1277294306.5900002</v>
      </c>
      <c r="Q51" s="167">
        <v>1277665698.03</v>
      </c>
      <c r="R51" s="168"/>
      <c r="S51" s="168"/>
      <c r="T51" s="168"/>
      <c r="U51" s="168"/>
      <c r="V51" s="168"/>
      <c r="W51" s="168"/>
      <c r="X51" s="167">
        <v>1277665698.03</v>
      </c>
    </row>
    <row r="52" spans="1:24" ht="14.4" x14ac:dyDescent="0.3">
      <c r="A52" s="163" t="s">
        <v>233</v>
      </c>
      <c r="B52" s="164">
        <v>2002</v>
      </c>
      <c r="C52" s="167">
        <v>445705141.20999998</v>
      </c>
      <c r="D52" s="167">
        <v>756894580.22000003</v>
      </c>
      <c r="E52" s="167">
        <v>942795299.10000002</v>
      </c>
      <c r="F52" s="167">
        <v>1014584365.28</v>
      </c>
      <c r="G52" s="167">
        <v>1054380942.3200001</v>
      </c>
      <c r="H52" s="167">
        <v>1101781546.8299999</v>
      </c>
      <c r="I52" s="167">
        <v>1133650015.9000001</v>
      </c>
      <c r="J52" s="167">
        <v>1151569965.96</v>
      </c>
      <c r="K52" s="167">
        <v>1165957446.5500002</v>
      </c>
      <c r="L52" s="167">
        <v>1176767290.0699999</v>
      </c>
      <c r="M52" s="167">
        <v>1180403533.1600001</v>
      </c>
      <c r="N52" s="167">
        <v>1189702947.53</v>
      </c>
      <c r="O52" s="167">
        <v>1195402725.5900002</v>
      </c>
      <c r="P52" s="167">
        <v>1196444589.6399999</v>
      </c>
      <c r="Q52" s="168"/>
      <c r="R52" s="168"/>
      <c r="S52" s="168"/>
      <c r="T52" s="168"/>
      <c r="U52" s="168"/>
      <c r="V52" s="168"/>
      <c r="W52" s="168"/>
      <c r="X52" s="167">
        <v>1196444589.6399999</v>
      </c>
    </row>
    <row r="53" spans="1:24" ht="14.4" x14ac:dyDescent="0.3">
      <c r="A53" s="163" t="s">
        <v>233</v>
      </c>
      <c r="B53" s="164">
        <v>2003</v>
      </c>
      <c r="C53" s="167">
        <v>344547971.31999999</v>
      </c>
      <c r="D53" s="167">
        <v>564122717.36000001</v>
      </c>
      <c r="E53" s="167">
        <v>655964101.21000004</v>
      </c>
      <c r="F53" s="167">
        <v>695875556.80999994</v>
      </c>
      <c r="G53" s="167">
        <v>735338891.48000002</v>
      </c>
      <c r="H53" s="167">
        <v>762710704.22000003</v>
      </c>
      <c r="I53" s="167">
        <v>779585190.33999991</v>
      </c>
      <c r="J53" s="167">
        <v>794833799.85000002</v>
      </c>
      <c r="K53" s="167">
        <v>800549973.81999993</v>
      </c>
      <c r="L53" s="167">
        <v>806015963.42999995</v>
      </c>
      <c r="M53" s="167">
        <v>811477218.83000004</v>
      </c>
      <c r="N53" s="167">
        <v>814463610.22000003</v>
      </c>
      <c r="O53" s="167">
        <v>815600380.29999995</v>
      </c>
      <c r="P53" s="168"/>
      <c r="Q53" s="168"/>
      <c r="R53" s="168"/>
      <c r="S53" s="168"/>
      <c r="T53" s="168"/>
      <c r="U53" s="168"/>
      <c r="V53" s="168"/>
      <c r="W53" s="168"/>
      <c r="X53" s="167">
        <v>815600380.29999995</v>
      </c>
    </row>
    <row r="54" spans="1:24" ht="14.4" x14ac:dyDescent="0.3">
      <c r="A54" s="163" t="s">
        <v>233</v>
      </c>
      <c r="B54" s="164">
        <v>2004</v>
      </c>
      <c r="C54" s="167">
        <v>273567571.18000001</v>
      </c>
      <c r="D54" s="167">
        <v>403108381.19999999</v>
      </c>
      <c r="E54" s="167">
        <v>470786866.16999996</v>
      </c>
      <c r="F54" s="167">
        <v>516136387.70999998</v>
      </c>
      <c r="G54" s="167">
        <v>542350485.52999997</v>
      </c>
      <c r="H54" s="167">
        <v>552842559.33000004</v>
      </c>
      <c r="I54" s="167">
        <v>564279201.01999998</v>
      </c>
      <c r="J54" s="167">
        <v>575828730.60000002</v>
      </c>
      <c r="K54" s="167">
        <v>584237290.22000003</v>
      </c>
      <c r="L54" s="167">
        <v>591606511.18000007</v>
      </c>
      <c r="M54" s="167">
        <v>595954519.03999996</v>
      </c>
      <c r="N54" s="167">
        <v>599857885.06999993</v>
      </c>
      <c r="O54" s="168"/>
      <c r="P54" s="168"/>
      <c r="Q54" s="168"/>
      <c r="R54" s="168"/>
      <c r="S54" s="168"/>
      <c r="T54" s="168"/>
      <c r="U54" s="168"/>
      <c r="V54" s="168"/>
      <c r="W54" s="168"/>
      <c r="X54" s="167">
        <v>599857885.06999993</v>
      </c>
    </row>
    <row r="55" spans="1:24" ht="14.4" x14ac:dyDescent="0.3">
      <c r="A55" s="163" t="s">
        <v>233</v>
      </c>
      <c r="B55" s="164">
        <v>2005</v>
      </c>
      <c r="C55" s="167">
        <v>138890446.49000001</v>
      </c>
      <c r="D55" s="167">
        <v>221594536.74000001</v>
      </c>
      <c r="E55" s="167">
        <v>264711482.80000001</v>
      </c>
      <c r="F55" s="167">
        <v>289506980.12</v>
      </c>
      <c r="G55" s="167">
        <v>300060558.70999998</v>
      </c>
      <c r="H55" s="167">
        <v>308182992.55000001</v>
      </c>
      <c r="I55" s="167">
        <v>315398437.09000003</v>
      </c>
      <c r="J55" s="167">
        <v>318575692.43000001</v>
      </c>
      <c r="K55" s="167">
        <v>320746433.71999997</v>
      </c>
      <c r="L55" s="167">
        <v>322806827.56999999</v>
      </c>
      <c r="M55" s="167">
        <v>324678850.15999997</v>
      </c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7">
        <v>324678850.15999997</v>
      </c>
    </row>
    <row r="56" spans="1:24" ht="14.4" x14ac:dyDescent="0.3">
      <c r="A56" s="163" t="s">
        <v>233</v>
      </c>
      <c r="B56" s="164">
        <v>2006</v>
      </c>
      <c r="C56" s="167">
        <v>118179405.11000001</v>
      </c>
      <c r="D56" s="167">
        <v>190995344.28000003</v>
      </c>
      <c r="E56" s="167">
        <v>219038142.97999999</v>
      </c>
      <c r="F56" s="167">
        <v>237063856.31</v>
      </c>
      <c r="G56" s="167">
        <v>249314823.98000002</v>
      </c>
      <c r="H56" s="167">
        <v>259341688.64000002</v>
      </c>
      <c r="I56" s="167">
        <v>264639276.5</v>
      </c>
      <c r="J56" s="167">
        <v>268536449.25999999</v>
      </c>
      <c r="K56" s="167">
        <v>270896998.99000001</v>
      </c>
      <c r="L56" s="167">
        <v>272653223.23000002</v>
      </c>
      <c r="M56" s="168"/>
      <c r="N56" s="168"/>
      <c r="O56" s="168"/>
      <c r="P56" s="168"/>
      <c r="Q56" s="168"/>
      <c r="R56" s="168"/>
      <c r="S56" s="168"/>
      <c r="T56" s="168"/>
      <c r="U56" s="168"/>
      <c r="V56" s="168"/>
      <c r="W56" s="168"/>
      <c r="X56" s="167">
        <v>272653223.23000002</v>
      </c>
    </row>
    <row r="57" spans="1:24" ht="14.4" x14ac:dyDescent="0.3">
      <c r="A57" s="163" t="s">
        <v>233</v>
      </c>
      <c r="B57" s="164">
        <v>2007</v>
      </c>
      <c r="C57" s="167">
        <v>110263613.17</v>
      </c>
      <c r="D57" s="167">
        <v>175952707.32999998</v>
      </c>
      <c r="E57" s="167">
        <v>198854009.72</v>
      </c>
      <c r="F57" s="167">
        <v>211027161.42000002</v>
      </c>
      <c r="G57" s="167">
        <v>225200712.53999999</v>
      </c>
      <c r="H57" s="167">
        <v>230653681.44999999</v>
      </c>
      <c r="I57" s="167">
        <v>235175361.92000002</v>
      </c>
      <c r="J57" s="167">
        <v>238009187.38999999</v>
      </c>
      <c r="K57" s="167">
        <v>236632376.44</v>
      </c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7">
        <v>236632376.44</v>
      </c>
    </row>
    <row r="58" spans="1:24" ht="14.4" x14ac:dyDescent="0.3">
      <c r="A58" s="163" t="s">
        <v>233</v>
      </c>
      <c r="B58" s="164">
        <v>2008</v>
      </c>
      <c r="C58" s="167">
        <v>88945534.329999998</v>
      </c>
      <c r="D58" s="167">
        <v>141598636.90000001</v>
      </c>
      <c r="E58" s="167">
        <v>171596656.44999999</v>
      </c>
      <c r="F58" s="167">
        <v>189778236.57999998</v>
      </c>
      <c r="G58" s="167">
        <v>197011566.09999999</v>
      </c>
      <c r="H58" s="167">
        <v>204445843.31</v>
      </c>
      <c r="I58" s="167">
        <v>207885679.04000002</v>
      </c>
      <c r="J58" s="167">
        <v>209805789.06999999</v>
      </c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7">
        <v>209805789.06999999</v>
      </c>
    </row>
    <row r="59" spans="1:24" ht="14.4" x14ac:dyDescent="0.3">
      <c r="A59" s="163" t="s">
        <v>233</v>
      </c>
      <c r="B59" s="164">
        <v>2009</v>
      </c>
      <c r="C59" s="167">
        <v>73556321.900000006</v>
      </c>
      <c r="D59" s="167">
        <v>122238769.03</v>
      </c>
      <c r="E59" s="167">
        <v>145272447.74000001</v>
      </c>
      <c r="F59" s="167">
        <v>162509089.94999999</v>
      </c>
      <c r="G59" s="167">
        <v>173541723.49000001</v>
      </c>
      <c r="H59" s="167">
        <v>178701699.35000002</v>
      </c>
      <c r="I59" s="167">
        <v>180723353.93000001</v>
      </c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7">
        <v>180723353.93000001</v>
      </c>
    </row>
    <row r="60" spans="1:24" ht="14.4" x14ac:dyDescent="0.3">
      <c r="A60" s="163" t="s">
        <v>233</v>
      </c>
      <c r="B60" s="164">
        <v>2010</v>
      </c>
      <c r="C60" s="167">
        <v>72041761.659999996</v>
      </c>
      <c r="D60" s="167">
        <v>114185639.25999999</v>
      </c>
      <c r="E60" s="167">
        <v>135725965.41</v>
      </c>
      <c r="F60" s="167">
        <v>146787285.40000001</v>
      </c>
      <c r="G60" s="167">
        <v>155939964.65000001</v>
      </c>
      <c r="H60" s="167">
        <v>160451386.60000002</v>
      </c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7">
        <v>160451386.60000002</v>
      </c>
    </row>
    <row r="61" spans="1:24" ht="14.4" x14ac:dyDescent="0.3">
      <c r="A61" s="163" t="s">
        <v>233</v>
      </c>
      <c r="B61" s="164">
        <v>2011</v>
      </c>
      <c r="C61" s="167">
        <v>65095411.739999995</v>
      </c>
      <c r="D61" s="167">
        <v>111637002.90000001</v>
      </c>
      <c r="E61" s="167">
        <v>131947494.72</v>
      </c>
      <c r="F61" s="167">
        <v>142039932.88</v>
      </c>
      <c r="G61" s="167">
        <v>150437071.94</v>
      </c>
      <c r="H61" s="168"/>
      <c r="I61" s="168"/>
      <c r="J61" s="168"/>
      <c r="K61" s="168"/>
      <c r="L61" s="168"/>
      <c r="M61" s="168"/>
      <c r="N61" s="168"/>
      <c r="O61" s="168"/>
      <c r="P61" s="168"/>
      <c r="Q61" s="168"/>
      <c r="R61" s="168"/>
      <c r="S61" s="168"/>
      <c r="T61" s="168"/>
      <c r="U61" s="168"/>
      <c r="V61" s="168"/>
      <c r="W61" s="168"/>
      <c r="X61" s="167">
        <v>150437071.94</v>
      </c>
    </row>
    <row r="62" spans="1:24" ht="14.4" x14ac:dyDescent="0.3">
      <c r="A62" s="163" t="s">
        <v>233</v>
      </c>
      <c r="B62" s="164">
        <v>2012</v>
      </c>
      <c r="C62" s="167">
        <v>70087458.149999991</v>
      </c>
      <c r="D62" s="167">
        <v>118431444.93000001</v>
      </c>
      <c r="E62" s="167">
        <v>139267905.24000001</v>
      </c>
      <c r="F62" s="167">
        <v>149966321.76999998</v>
      </c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7">
        <v>149966321.76999998</v>
      </c>
    </row>
    <row r="63" spans="1:24" ht="14.4" x14ac:dyDescent="0.3">
      <c r="A63" s="163" t="s">
        <v>233</v>
      </c>
      <c r="B63" s="164">
        <v>2013</v>
      </c>
      <c r="C63" s="167">
        <v>71955745.420000002</v>
      </c>
      <c r="D63" s="167">
        <v>117211606.53</v>
      </c>
      <c r="E63" s="167">
        <v>131225914.50999999</v>
      </c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7">
        <v>131225914.50999999</v>
      </c>
    </row>
    <row r="64" spans="1:24" ht="14.4" x14ac:dyDescent="0.3">
      <c r="A64" s="163" t="s">
        <v>233</v>
      </c>
      <c r="B64" s="164">
        <v>2014</v>
      </c>
      <c r="C64" s="167">
        <v>66701557.719999999</v>
      </c>
      <c r="D64" s="167">
        <v>112728166.76000001</v>
      </c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7">
        <v>112728166.76000001</v>
      </c>
    </row>
    <row r="65" spans="1:24" ht="14.4" x14ac:dyDescent="0.3">
      <c r="A65" s="163" t="s">
        <v>233</v>
      </c>
      <c r="B65" s="164">
        <v>2015</v>
      </c>
      <c r="C65" s="167">
        <v>58675317.569999993</v>
      </c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7">
        <v>58675317.569999993</v>
      </c>
    </row>
    <row r="66" spans="1:24" ht="14.4" x14ac:dyDescent="0.3">
      <c r="A66" s="163" t="s">
        <v>234</v>
      </c>
      <c r="B66" s="164">
        <v>1995</v>
      </c>
      <c r="C66" s="167">
        <v>0</v>
      </c>
      <c r="D66" s="167">
        <v>0</v>
      </c>
      <c r="E66" s="167">
        <v>0</v>
      </c>
      <c r="F66" s="167">
        <v>0</v>
      </c>
      <c r="G66" s="167">
        <v>0</v>
      </c>
      <c r="H66" s="167">
        <v>0</v>
      </c>
      <c r="I66" s="167">
        <v>0</v>
      </c>
      <c r="J66" s="167">
        <v>0</v>
      </c>
      <c r="K66" s="167">
        <v>0</v>
      </c>
      <c r="L66" s="167">
        <v>0</v>
      </c>
      <c r="M66" s="167">
        <v>0</v>
      </c>
      <c r="N66" s="167">
        <v>0</v>
      </c>
      <c r="O66" s="167">
        <v>261458</v>
      </c>
      <c r="P66" s="167">
        <v>278906.71999999997</v>
      </c>
      <c r="Q66" s="167">
        <v>302705.12</v>
      </c>
      <c r="R66" s="167">
        <v>960765.69000000006</v>
      </c>
      <c r="S66" s="167">
        <v>965840.94</v>
      </c>
      <c r="T66" s="167">
        <v>1735107.15</v>
      </c>
      <c r="U66" s="167">
        <v>2498740.0099999998</v>
      </c>
      <c r="V66" s="167">
        <v>2530546.65</v>
      </c>
      <c r="W66" s="167">
        <v>2678927.2600000002</v>
      </c>
      <c r="X66" s="167">
        <v>2678927.2600000002</v>
      </c>
    </row>
    <row r="67" spans="1:24" ht="14.4" x14ac:dyDescent="0.3">
      <c r="A67" s="163" t="s">
        <v>234</v>
      </c>
      <c r="B67" s="164">
        <v>1996</v>
      </c>
      <c r="C67" s="167">
        <v>0</v>
      </c>
      <c r="D67" s="167">
        <v>0</v>
      </c>
      <c r="E67" s="167">
        <v>0</v>
      </c>
      <c r="F67" s="167">
        <v>0</v>
      </c>
      <c r="G67" s="167">
        <v>0</v>
      </c>
      <c r="H67" s="167">
        <v>0</v>
      </c>
      <c r="I67" s="167">
        <v>0</v>
      </c>
      <c r="J67" s="167">
        <v>0</v>
      </c>
      <c r="K67" s="167">
        <v>0</v>
      </c>
      <c r="L67" s="167">
        <v>0</v>
      </c>
      <c r="M67" s="167">
        <v>0</v>
      </c>
      <c r="N67" s="167">
        <v>0</v>
      </c>
      <c r="O67" s="167">
        <v>0</v>
      </c>
      <c r="P67" s="167">
        <v>0</v>
      </c>
      <c r="Q67" s="167">
        <v>0</v>
      </c>
      <c r="R67" s="167">
        <v>0</v>
      </c>
      <c r="S67" s="167">
        <v>0</v>
      </c>
      <c r="T67" s="167">
        <v>0</v>
      </c>
      <c r="U67" s="167">
        <v>0</v>
      </c>
      <c r="V67" s="167">
        <v>0</v>
      </c>
      <c r="W67" s="168"/>
      <c r="X67" s="167">
        <v>0</v>
      </c>
    </row>
    <row r="68" spans="1:24" ht="14.4" x14ac:dyDescent="0.3">
      <c r="A68" s="163" t="s">
        <v>234</v>
      </c>
      <c r="B68" s="164">
        <v>1997</v>
      </c>
      <c r="C68" s="167">
        <v>0</v>
      </c>
      <c r="D68" s="167">
        <v>0</v>
      </c>
      <c r="E68" s="167">
        <v>0</v>
      </c>
      <c r="F68" s="167">
        <v>0</v>
      </c>
      <c r="G68" s="167">
        <v>0</v>
      </c>
      <c r="H68" s="167">
        <v>0</v>
      </c>
      <c r="I68" s="167">
        <v>0</v>
      </c>
      <c r="J68" s="167">
        <v>0</v>
      </c>
      <c r="K68" s="167">
        <v>0</v>
      </c>
      <c r="L68" s="167">
        <v>0</v>
      </c>
      <c r="M68" s="167">
        <v>0</v>
      </c>
      <c r="N68" s="167">
        <v>0</v>
      </c>
      <c r="O68" s="167">
        <v>0</v>
      </c>
      <c r="P68" s="167">
        <v>0</v>
      </c>
      <c r="Q68" s="167">
        <v>0</v>
      </c>
      <c r="R68" s="167">
        <v>0</v>
      </c>
      <c r="S68" s="167">
        <v>0</v>
      </c>
      <c r="T68" s="167">
        <v>0</v>
      </c>
      <c r="U68" s="167">
        <v>0</v>
      </c>
      <c r="V68" s="168"/>
      <c r="W68" s="168"/>
      <c r="X68" s="167">
        <v>0</v>
      </c>
    </row>
    <row r="69" spans="1:24" ht="14.4" x14ac:dyDescent="0.3">
      <c r="A69" s="163" t="s">
        <v>234</v>
      </c>
      <c r="B69" s="164">
        <v>1998</v>
      </c>
      <c r="C69" s="167">
        <v>0</v>
      </c>
      <c r="D69" s="167">
        <v>0</v>
      </c>
      <c r="E69" s="167">
        <v>0</v>
      </c>
      <c r="F69" s="167">
        <v>0</v>
      </c>
      <c r="G69" s="167">
        <v>0</v>
      </c>
      <c r="H69" s="167">
        <v>0</v>
      </c>
      <c r="I69" s="167">
        <v>0</v>
      </c>
      <c r="J69" s="167">
        <v>0</v>
      </c>
      <c r="K69" s="167">
        <v>0</v>
      </c>
      <c r="L69" s="167">
        <v>0</v>
      </c>
      <c r="M69" s="167">
        <v>0</v>
      </c>
      <c r="N69" s="167">
        <v>0</v>
      </c>
      <c r="O69" s="167">
        <v>0</v>
      </c>
      <c r="P69" s="167">
        <v>250</v>
      </c>
      <c r="Q69" s="167">
        <v>250</v>
      </c>
      <c r="R69" s="167">
        <v>250</v>
      </c>
      <c r="S69" s="167">
        <v>250</v>
      </c>
      <c r="T69" s="167">
        <v>250</v>
      </c>
      <c r="U69" s="168"/>
      <c r="V69" s="168"/>
      <c r="W69" s="168"/>
      <c r="X69" s="167">
        <v>250</v>
      </c>
    </row>
    <row r="70" spans="1:24" ht="14.4" x14ac:dyDescent="0.3">
      <c r="A70" s="163" t="s">
        <v>234</v>
      </c>
      <c r="B70" s="164">
        <v>1999</v>
      </c>
      <c r="C70" s="167">
        <v>0</v>
      </c>
      <c r="D70" s="167">
        <v>0</v>
      </c>
      <c r="E70" s="167">
        <v>4000</v>
      </c>
      <c r="F70" s="167">
        <v>0</v>
      </c>
      <c r="G70" s="167">
        <v>0</v>
      </c>
      <c r="H70" s="167">
        <v>0</v>
      </c>
      <c r="I70" s="167">
        <v>0</v>
      </c>
      <c r="J70" s="167">
        <v>0</v>
      </c>
      <c r="K70" s="167">
        <v>0</v>
      </c>
      <c r="L70" s="167">
        <v>0</v>
      </c>
      <c r="M70" s="167">
        <v>0</v>
      </c>
      <c r="N70" s="167">
        <v>0</v>
      </c>
      <c r="O70" s="167">
        <v>0</v>
      </c>
      <c r="P70" s="167">
        <v>0</v>
      </c>
      <c r="Q70" s="167">
        <v>0</v>
      </c>
      <c r="R70" s="167">
        <v>0</v>
      </c>
      <c r="S70" s="167">
        <v>0</v>
      </c>
      <c r="T70" s="168"/>
      <c r="U70" s="168"/>
      <c r="V70" s="168"/>
      <c r="W70" s="168"/>
      <c r="X70" s="167">
        <v>0</v>
      </c>
    </row>
    <row r="71" spans="1:24" ht="14.4" x14ac:dyDescent="0.3">
      <c r="A71" s="163" t="s">
        <v>234</v>
      </c>
      <c r="B71" s="164">
        <v>2000</v>
      </c>
      <c r="C71" s="167">
        <v>43643.22</v>
      </c>
      <c r="D71" s="167">
        <v>133921.33000000002</v>
      </c>
      <c r="E71" s="167">
        <v>340685.99</v>
      </c>
      <c r="F71" s="167">
        <v>404796.75</v>
      </c>
      <c r="G71" s="167">
        <v>350893.14</v>
      </c>
      <c r="H71" s="167">
        <v>360893.14</v>
      </c>
      <c r="I71" s="167">
        <v>361260.64</v>
      </c>
      <c r="J71" s="167">
        <v>357260.64</v>
      </c>
      <c r="K71" s="167">
        <v>357260.64</v>
      </c>
      <c r="L71" s="167">
        <v>357260.64</v>
      </c>
      <c r="M71" s="167">
        <v>357260.64</v>
      </c>
      <c r="N71" s="167">
        <v>357260.64</v>
      </c>
      <c r="O71" s="167">
        <v>357260.64</v>
      </c>
      <c r="P71" s="167">
        <v>357260.64</v>
      </c>
      <c r="Q71" s="167">
        <v>357260.64</v>
      </c>
      <c r="R71" s="167">
        <v>357260.64</v>
      </c>
      <c r="S71" s="168"/>
      <c r="T71" s="168"/>
      <c r="U71" s="168"/>
      <c r="V71" s="168"/>
      <c r="W71" s="168"/>
      <c r="X71" s="167">
        <v>357260.64</v>
      </c>
    </row>
    <row r="72" spans="1:24" ht="14.4" x14ac:dyDescent="0.3">
      <c r="A72" s="163" t="s">
        <v>234</v>
      </c>
      <c r="B72" s="164">
        <v>2001</v>
      </c>
      <c r="C72" s="167">
        <v>204011.41</v>
      </c>
      <c r="D72" s="167">
        <v>328931.09999999998</v>
      </c>
      <c r="E72" s="167">
        <v>412429.64</v>
      </c>
      <c r="F72" s="167">
        <v>583625.37</v>
      </c>
      <c r="G72" s="167">
        <v>583998.12</v>
      </c>
      <c r="H72" s="167">
        <v>688144.73</v>
      </c>
      <c r="I72" s="167">
        <v>753687.53999999992</v>
      </c>
      <c r="J72" s="167">
        <v>829915.86</v>
      </c>
      <c r="K72" s="167">
        <v>3164798</v>
      </c>
      <c r="L72" s="167">
        <v>3165045.83</v>
      </c>
      <c r="M72" s="167">
        <v>3176971.15</v>
      </c>
      <c r="N72" s="167">
        <v>3177106.87</v>
      </c>
      <c r="O72" s="167">
        <v>3273653.08</v>
      </c>
      <c r="P72" s="167">
        <v>3274010</v>
      </c>
      <c r="Q72" s="167">
        <v>3277873.6999999997</v>
      </c>
      <c r="R72" s="168"/>
      <c r="S72" s="168"/>
      <c r="T72" s="168"/>
      <c r="U72" s="168"/>
      <c r="V72" s="168"/>
      <c r="W72" s="168"/>
      <c r="X72" s="167">
        <v>3277873.6999999997</v>
      </c>
    </row>
    <row r="73" spans="1:24" ht="14.4" x14ac:dyDescent="0.3">
      <c r="A73" s="163" t="s">
        <v>234</v>
      </c>
      <c r="B73" s="164">
        <v>2002</v>
      </c>
      <c r="C73" s="167">
        <v>1212386.9100000001</v>
      </c>
      <c r="D73" s="167">
        <v>1498480.21</v>
      </c>
      <c r="E73" s="167">
        <v>1555721.9000000001</v>
      </c>
      <c r="F73" s="167">
        <v>2093058.4000000001</v>
      </c>
      <c r="G73" s="167">
        <v>1934602.9100000001</v>
      </c>
      <c r="H73" s="167">
        <v>1911384.29</v>
      </c>
      <c r="I73" s="167">
        <v>2262068.6</v>
      </c>
      <c r="J73" s="167">
        <v>3243908.65</v>
      </c>
      <c r="K73" s="167">
        <v>4234489.43</v>
      </c>
      <c r="L73" s="167">
        <v>4499530.34</v>
      </c>
      <c r="M73" s="167">
        <v>4194653.3500000006</v>
      </c>
      <c r="N73" s="167">
        <v>4015056.16</v>
      </c>
      <c r="O73" s="167">
        <v>4044186.41</v>
      </c>
      <c r="P73" s="167">
        <v>4107901.27</v>
      </c>
      <c r="Q73" s="168"/>
      <c r="R73" s="168"/>
      <c r="S73" s="168"/>
      <c r="T73" s="168"/>
      <c r="U73" s="168"/>
      <c r="V73" s="168"/>
      <c r="W73" s="168"/>
      <c r="X73" s="167">
        <v>4107901.27</v>
      </c>
    </row>
    <row r="74" spans="1:24" ht="14.4" x14ac:dyDescent="0.3">
      <c r="A74" s="163" t="s">
        <v>234</v>
      </c>
      <c r="B74" s="164">
        <v>2003</v>
      </c>
      <c r="C74" s="167">
        <v>4920760.9499999993</v>
      </c>
      <c r="D74" s="167">
        <v>6014616.7700000005</v>
      </c>
      <c r="E74" s="167">
        <v>6918034.0700000003</v>
      </c>
      <c r="F74" s="167">
        <v>7609429.9699999997</v>
      </c>
      <c r="G74" s="167">
        <v>7666419.7000000002</v>
      </c>
      <c r="H74" s="167">
        <v>8347726.3900000006</v>
      </c>
      <c r="I74" s="167">
        <v>10224244.949999999</v>
      </c>
      <c r="J74" s="167">
        <v>13241903.26</v>
      </c>
      <c r="K74" s="167">
        <v>13766061.950000001</v>
      </c>
      <c r="L74" s="167">
        <v>14959540.289999999</v>
      </c>
      <c r="M74" s="167">
        <v>15757724.699999999</v>
      </c>
      <c r="N74" s="167">
        <v>16150936.850000001</v>
      </c>
      <c r="O74" s="167">
        <v>17001152.539999999</v>
      </c>
      <c r="P74" s="168"/>
      <c r="Q74" s="168"/>
      <c r="R74" s="168"/>
      <c r="S74" s="168"/>
      <c r="T74" s="168"/>
      <c r="U74" s="168"/>
      <c r="V74" s="168"/>
      <c r="W74" s="168"/>
      <c r="X74" s="167">
        <v>17001152.539999999</v>
      </c>
    </row>
    <row r="75" spans="1:24" ht="14.4" x14ac:dyDescent="0.3">
      <c r="A75" s="163" t="s">
        <v>234</v>
      </c>
      <c r="B75" s="164">
        <v>2004</v>
      </c>
      <c r="C75" s="167">
        <v>15118231.65</v>
      </c>
      <c r="D75" s="167">
        <v>23478166.300000001</v>
      </c>
      <c r="E75" s="167">
        <v>27196632.669999998</v>
      </c>
      <c r="F75" s="167">
        <v>30274629.600000001</v>
      </c>
      <c r="G75" s="167">
        <v>38545657</v>
      </c>
      <c r="H75" s="167">
        <v>53811464.690000005</v>
      </c>
      <c r="I75" s="167">
        <v>56678196.329999998</v>
      </c>
      <c r="J75" s="167">
        <v>56254071.859999999</v>
      </c>
      <c r="K75" s="167">
        <v>57095834.829999998</v>
      </c>
      <c r="L75" s="167">
        <v>54557362.590000004</v>
      </c>
      <c r="M75" s="167">
        <v>55453227.990000002</v>
      </c>
      <c r="N75" s="167">
        <v>55579102.640000001</v>
      </c>
      <c r="O75" s="168"/>
      <c r="P75" s="168"/>
      <c r="Q75" s="168"/>
      <c r="R75" s="168"/>
      <c r="S75" s="168"/>
      <c r="T75" s="168"/>
      <c r="U75" s="168"/>
      <c r="V75" s="168"/>
      <c r="W75" s="168"/>
      <c r="X75" s="167">
        <v>55579102.640000001</v>
      </c>
    </row>
    <row r="76" spans="1:24" ht="14.4" x14ac:dyDescent="0.3">
      <c r="A76" s="163" t="s">
        <v>234</v>
      </c>
      <c r="B76" s="164">
        <v>2005</v>
      </c>
      <c r="C76" s="167">
        <v>22573356.380000003</v>
      </c>
      <c r="D76" s="167">
        <v>34202565.420000002</v>
      </c>
      <c r="E76" s="167">
        <v>35984686.039999999</v>
      </c>
      <c r="F76" s="167">
        <v>44769199.850000001</v>
      </c>
      <c r="G76" s="167">
        <v>58038805.090000004</v>
      </c>
      <c r="H76" s="167">
        <v>62831971.600000009</v>
      </c>
      <c r="I76" s="167">
        <v>65183180.210000008</v>
      </c>
      <c r="J76" s="167">
        <v>64144387.45000001</v>
      </c>
      <c r="K76" s="167">
        <v>61526745.390000008</v>
      </c>
      <c r="L76" s="167">
        <v>61320697.760000005</v>
      </c>
      <c r="M76" s="167">
        <v>56831484.670000009</v>
      </c>
      <c r="N76" s="168"/>
      <c r="O76" s="168"/>
      <c r="P76" s="168"/>
      <c r="Q76" s="168"/>
      <c r="R76" s="168"/>
      <c r="S76" s="168"/>
      <c r="T76" s="168"/>
      <c r="U76" s="168"/>
      <c r="V76" s="168"/>
      <c r="W76" s="168"/>
      <c r="X76" s="167">
        <v>56831484.670000009</v>
      </c>
    </row>
    <row r="77" spans="1:24" ht="14.4" x14ac:dyDescent="0.3">
      <c r="A77" s="163" t="s">
        <v>234</v>
      </c>
      <c r="B77" s="164">
        <v>2006</v>
      </c>
      <c r="C77" s="167">
        <v>31341453.390000001</v>
      </c>
      <c r="D77" s="167">
        <v>45133022.370000005</v>
      </c>
      <c r="E77" s="167">
        <v>61937893.950000003</v>
      </c>
      <c r="F77" s="167">
        <v>80636108.189999998</v>
      </c>
      <c r="G77" s="167">
        <v>96021309.859999999</v>
      </c>
      <c r="H77" s="167">
        <v>97793113.38000001</v>
      </c>
      <c r="I77" s="167">
        <v>94023606.340000004</v>
      </c>
      <c r="J77" s="167">
        <v>95237804.010000005</v>
      </c>
      <c r="K77" s="167">
        <v>94837613.650000006</v>
      </c>
      <c r="L77" s="167">
        <v>89320671.550000012</v>
      </c>
      <c r="M77" s="168"/>
      <c r="N77" s="168"/>
      <c r="O77" s="168"/>
      <c r="P77" s="168"/>
      <c r="Q77" s="168"/>
      <c r="R77" s="168"/>
      <c r="S77" s="168"/>
      <c r="T77" s="168"/>
      <c r="U77" s="168"/>
      <c r="V77" s="168"/>
      <c r="W77" s="168"/>
      <c r="X77" s="167">
        <v>89320671.550000012</v>
      </c>
    </row>
    <row r="78" spans="1:24" ht="14.4" x14ac:dyDescent="0.3">
      <c r="A78" s="163" t="s">
        <v>234</v>
      </c>
      <c r="B78" s="164">
        <v>2007</v>
      </c>
      <c r="C78" s="167">
        <v>45425308.550000004</v>
      </c>
      <c r="D78" s="167">
        <v>78182950.280000001</v>
      </c>
      <c r="E78" s="167">
        <v>108616136.25999999</v>
      </c>
      <c r="F78" s="167">
        <v>123030086.76000001</v>
      </c>
      <c r="G78" s="167">
        <v>120533046.84</v>
      </c>
      <c r="H78" s="167">
        <v>129521169.94</v>
      </c>
      <c r="I78" s="167">
        <v>129364665.67999999</v>
      </c>
      <c r="J78" s="167">
        <v>126963320.66000001</v>
      </c>
      <c r="K78" s="167">
        <v>120936141.73</v>
      </c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7">
        <v>120936141.73</v>
      </c>
    </row>
    <row r="79" spans="1:24" ht="14.4" x14ac:dyDescent="0.3">
      <c r="A79" s="163" t="s">
        <v>234</v>
      </c>
      <c r="B79" s="164">
        <v>2008</v>
      </c>
      <c r="C79" s="167">
        <v>29006690.759999998</v>
      </c>
      <c r="D79" s="167">
        <v>74778965.009999976</v>
      </c>
      <c r="E79" s="167">
        <v>107639651.14</v>
      </c>
      <c r="F79" s="167">
        <v>108921733.39</v>
      </c>
      <c r="G79" s="167">
        <v>111315476.84</v>
      </c>
      <c r="H79" s="167">
        <v>114622921.08000001</v>
      </c>
      <c r="I79" s="167">
        <v>120091079.78</v>
      </c>
      <c r="J79" s="167">
        <v>120349061.86999999</v>
      </c>
      <c r="K79" s="168"/>
      <c r="L79" s="168"/>
      <c r="M79" s="168"/>
      <c r="N79" s="168"/>
      <c r="O79" s="168"/>
      <c r="P79" s="168"/>
      <c r="Q79" s="168"/>
      <c r="R79" s="168"/>
      <c r="S79" s="168"/>
      <c r="T79" s="168"/>
      <c r="U79" s="168"/>
      <c r="V79" s="168"/>
      <c r="W79" s="168"/>
      <c r="X79" s="167">
        <v>120349061.86999999</v>
      </c>
    </row>
    <row r="80" spans="1:24" ht="14.4" x14ac:dyDescent="0.3">
      <c r="A80" s="163" t="s">
        <v>234</v>
      </c>
      <c r="B80" s="164">
        <v>2009</v>
      </c>
      <c r="C80" s="167">
        <v>52283538.849999994</v>
      </c>
      <c r="D80" s="167">
        <v>110276107.89</v>
      </c>
      <c r="E80" s="167">
        <v>129016661.92999999</v>
      </c>
      <c r="F80" s="167">
        <v>140590200.63000003</v>
      </c>
      <c r="G80" s="167">
        <v>146009909.38000003</v>
      </c>
      <c r="H80" s="167">
        <v>148926240.35999998</v>
      </c>
      <c r="I80" s="167">
        <v>157633533.67999998</v>
      </c>
      <c r="J80" s="168"/>
      <c r="K80" s="168"/>
      <c r="L80" s="168"/>
      <c r="M80" s="168"/>
      <c r="N80" s="168"/>
      <c r="O80" s="168"/>
      <c r="P80" s="168"/>
      <c r="Q80" s="168"/>
      <c r="R80" s="168"/>
      <c r="S80" s="168"/>
      <c r="T80" s="168"/>
      <c r="U80" s="168"/>
      <c r="V80" s="168"/>
      <c r="W80" s="168"/>
      <c r="X80" s="167">
        <v>157633533.67999998</v>
      </c>
    </row>
    <row r="81" spans="1:25" ht="14.4" x14ac:dyDescent="0.3">
      <c r="A81" s="163" t="s">
        <v>234</v>
      </c>
      <c r="B81" s="164">
        <v>2010</v>
      </c>
      <c r="C81" s="167">
        <v>63646354.760000005</v>
      </c>
      <c r="D81" s="167">
        <v>123140628.85000001</v>
      </c>
      <c r="E81" s="167">
        <v>159018228.34</v>
      </c>
      <c r="F81" s="167">
        <v>179948173.61000001</v>
      </c>
      <c r="G81" s="167">
        <v>195687040.48999998</v>
      </c>
      <c r="H81" s="167">
        <v>202123206.17000002</v>
      </c>
      <c r="I81" s="168"/>
      <c r="J81" s="168"/>
      <c r="K81" s="168"/>
      <c r="L81" s="168"/>
      <c r="M81" s="168"/>
      <c r="N81" s="168"/>
      <c r="O81" s="168"/>
      <c r="P81" s="168"/>
      <c r="Q81" s="168"/>
      <c r="R81" s="168"/>
      <c r="S81" s="168"/>
      <c r="T81" s="168"/>
      <c r="U81" s="168"/>
      <c r="V81" s="168"/>
      <c r="W81" s="168"/>
      <c r="X81" s="167">
        <v>202123206.17000002</v>
      </c>
    </row>
    <row r="82" spans="1:25" ht="14.4" x14ac:dyDescent="0.3">
      <c r="A82" s="163" t="s">
        <v>234</v>
      </c>
      <c r="B82" s="164">
        <v>2011</v>
      </c>
      <c r="C82" s="167">
        <v>73331186.74000001</v>
      </c>
      <c r="D82" s="167">
        <v>139606804.21000001</v>
      </c>
      <c r="E82" s="167">
        <v>170091443.79000002</v>
      </c>
      <c r="F82" s="167">
        <v>187782452.24000001</v>
      </c>
      <c r="G82" s="167">
        <v>197018141.08000001</v>
      </c>
      <c r="H82" s="168"/>
      <c r="I82" s="168"/>
      <c r="J82" s="168"/>
      <c r="K82" s="168"/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7">
        <v>197018141.08000001</v>
      </c>
    </row>
    <row r="83" spans="1:25" ht="14.4" x14ac:dyDescent="0.3">
      <c r="A83" s="163" t="s">
        <v>234</v>
      </c>
      <c r="B83" s="164">
        <v>2012</v>
      </c>
      <c r="C83" s="167">
        <v>73797495.679999992</v>
      </c>
      <c r="D83" s="167">
        <v>166927011.39000002</v>
      </c>
      <c r="E83" s="167">
        <v>196852620.39000002</v>
      </c>
      <c r="F83" s="167">
        <v>216655867.93000001</v>
      </c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7">
        <v>216655867.93000001</v>
      </c>
    </row>
    <row r="84" spans="1:25" ht="14.4" x14ac:dyDescent="0.3">
      <c r="A84" s="163" t="s">
        <v>234</v>
      </c>
      <c r="B84" s="164">
        <v>2013</v>
      </c>
      <c r="C84" s="167">
        <v>59000042.960000001</v>
      </c>
      <c r="D84" s="167">
        <v>133123431.66000001</v>
      </c>
      <c r="E84" s="167">
        <v>155326060.41</v>
      </c>
      <c r="F84" s="168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7">
        <v>155326060.41</v>
      </c>
    </row>
    <row r="85" spans="1:25" ht="14.4" x14ac:dyDescent="0.3">
      <c r="A85" s="163" t="s">
        <v>234</v>
      </c>
      <c r="B85" s="164">
        <v>2014</v>
      </c>
      <c r="C85" s="167">
        <v>23861962.329999998</v>
      </c>
      <c r="D85" s="167">
        <v>50557446.990000002</v>
      </c>
      <c r="E85" s="168"/>
      <c r="F85" s="168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168"/>
      <c r="R85" s="168"/>
      <c r="S85" s="168"/>
      <c r="T85" s="168"/>
      <c r="U85" s="168"/>
      <c r="V85" s="168"/>
      <c r="W85" s="168"/>
      <c r="X85" s="167">
        <v>50557446.990000002</v>
      </c>
    </row>
    <row r="86" spans="1:25" ht="14.4" x14ac:dyDescent="0.3">
      <c r="A86" s="163" t="s">
        <v>234</v>
      </c>
      <c r="B86" s="164">
        <v>2015</v>
      </c>
      <c r="C86" s="167">
        <v>12736286.74</v>
      </c>
      <c r="D86" s="168"/>
      <c r="E86" s="168"/>
      <c r="F86" s="168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168"/>
      <c r="R86" s="168"/>
      <c r="S86" s="168"/>
      <c r="T86" s="168"/>
      <c r="U86" s="168"/>
      <c r="V86" s="168"/>
      <c r="W86" s="168"/>
      <c r="X86" s="167">
        <v>12736286.74</v>
      </c>
    </row>
    <row r="87" spans="1:25" ht="14.4" x14ac:dyDescent="0.3">
      <c r="A87" s="163" t="s">
        <v>235</v>
      </c>
      <c r="B87" s="164">
        <v>1995</v>
      </c>
      <c r="C87" s="167">
        <v>214826984.23999998</v>
      </c>
      <c r="D87" s="167">
        <v>353620244.68000001</v>
      </c>
      <c r="E87" s="167">
        <v>483697583.34000003</v>
      </c>
      <c r="F87" s="167">
        <v>554360807.71000004</v>
      </c>
      <c r="G87" s="167">
        <v>588848384.40999997</v>
      </c>
      <c r="H87" s="167">
        <v>618854807.38999999</v>
      </c>
      <c r="I87" s="167">
        <v>629079054.38</v>
      </c>
      <c r="J87" s="167">
        <v>635831103.00999999</v>
      </c>
      <c r="K87" s="167">
        <v>638296618.46000004</v>
      </c>
      <c r="L87" s="167">
        <v>640790080.62</v>
      </c>
      <c r="M87" s="167">
        <v>640300381.16999996</v>
      </c>
      <c r="N87" s="167">
        <v>639288402.70000005</v>
      </c>
      <c r="O87" s="167">
        <v>638753024.47000003</v>
      </c>
      <c r="P87" s="167">
        <v>638515886.39999998</v>
      </c>
      <c r="Q87" s="167">
        <v>638089888.08000004</v>
      </c>
      <c r="R87" s="167">
        <v>638565320.98000002</v>
      </c>
      <c r="S87" s="167">
        <v>638531645.61000001</v>
      </c>
      <c r="T87" s="167">
        <v>638574508.85000002</v>
      </c>
      <c r="U87" s="167">
        <v>638150181.41000009</v>
      </c>
      <c r="V87" s="167">
        <v>638172904.38999999</v>
      </c>
      <c r="W87" s="167">
        <v>639501961.75</v>
      </c>
      <c r="X87" s="167">
        <v>639501961.75</v>
      </c>
      <c r="Y87" t="s">
        <v>228</v>
      </c>
    </row>
    <row r="88" spans="1:25" ht="14.4" x14ac:dyDescent="0.3">
      <c r="A88" s="163" t="s">
        <v>235</v>
      </c>
      <c r="B88" s="164">
        <v>1996</v>
      </c>
      <c r="C88" s="167">
        <v>171464880.72</v>
      </c>
      <c r="D88" s="167">
        <v>297382384.45999998</v>
      </c>
      <c r="E88" s="167">
        <v>414662819.46999997</v>
      </c>
      <c r="F88" s="167">
        <v>485497697.63</v>
      </c>
      <c r="G88" s="167">
        <v>523132200.80999994</v>
      </c>
      <c r="H88" s="167">
        <v>543526965</v>
      </c>
      <c r="I88" s="167">
        <v>548918738.48000002</v>
      </c>
      <c r="J88" s="167">
        <v>556635797.42999995</v>
      </c>
      <c r="K88" s="167">
        <v>559226318.22000003</v>
      </c>
      <c r="L88" s="167">
        <v>559271566.87</v>
      </c>
      <c r="M88" s="167">
        <v>558175169.53999996</v>
      </c>
      <c r="N88" s="167">
        <v>558684136.91999996</v>
      </c>
      <c r="O88" s="167">
        <v>558773155.25</v>
      </c>
      <c r="P88" s="167">
        <v>559194615.88999999</v>
      </c>
      <c r="Q88" s="167">
        <v>560115698.35000002</v>
      </c>
      <c r="R88" s="167">
        <v>559912057.79999995</v>
      </c>
      <c r="S88" s="167">
        <v>559982046.13999999</v>
      </c>
      <c r="T88" s="167">
        <v>559953917.47000003</v>
      </c>
      <c r="U88" s="167">
        <v>559884327.61000001</v>
      </c>
      <c r="V88" s="167">
        <v>559883182.18000007</v>
      </c>
      <c r="W88" s="168"/>
      <c r="X88" s="167">
        <v>559883182.18000007</v>
      </c>
      <c r="Y88" t="s">
        <v>228</v>
      </c>
    </row>
    <row r="89" spans="1:25" ht="14.4" x14ac:dyDescent="0.3">
      <c r="A89" s="163" t="s">
        <v>235</v>
      </c>
      <c r="B89" s="164">
        <v>1997</v>
      </c>
      <c r="C89" s="167">
        <v>146634913.06999999</v>
      </c>
      <c r="D89" s="167">
        <v>265847775.38</v>
      </c>
      <c r="E89" s="167">
        <v>356849835.69</v>
      </c>
      <c r="F89" s="167">
        <v>445786580.90999997</v>
      </c>
      <c r="G89" s="167">
        <v>492568934.35000002</v>
      </c>
      <c r="H89" s="167">
        <v>503022120.12</v>
      </c>
      <c r="I89" s="167">
        <v>511564281.68000001</v>
      </c>
      <c r="J89" s="167">
        <v>515209132.78000003</v>
      </c>
      <c r="K89" s="167">
        <v>517789693.41999996</v>
      </c>
      <c r="L89" s="167">
        <v>517974302.69999999</v>
      </c>
      <c r="M89" s="167">
        <v>517957878.92000002</v>
      </c>
      <c r="N89" s="167">
        <v>519203043.17000002</v>
      </c>
      <c r="O89" s="167">
        <v>519547883.84000003</v>
      </c>
      <c r="P89" s="167">
        <v>520170052.93000001</v>
      </c>
      <c r="Q89" s="167">
        <v>520448972.05000001</v>
      </c>
      <c r="R89" s="167">
        <v>520209202.25999999</v>
      </c>
      <c r="S89" s="167">
        <v>519899206.57999998</v>
      </c>
      <c r="T89" s="167">
        <v>519886290.07999998</v>
      </c>
      <c r="U89" s="167">
        <v>519890112.57999998</v>
      </c>
      <c r="V89" s="168"/>
      <c r="W89" s="168"/>
      <c r="X89" s="167">
        <v>519890112.57999998</v>
      </c>
      <c r="Y89" t="s">
        <v>228</v>
      </c>
    </row>
    <row r="90" spans="1:25" ht="14.4" x14ac:dyDescent="0.3">
      <c r="A90" s="163" t="s">
        <v>235</v>
      </c>
      <c r="B90" s="164">
        <v>1998</v>
      </c>
      <c r="C90" s="167">
        <v>142695504.47000003</v>
      </c>
      <c r="D90" s="167">
        <v>262976741.66000003</v>
      </c>
      <c r="E90" s="167">
        <v>377966211.38</v>
      </c>
      <c r="F90" s="167">
        <v>465908241.06999999</v>
      </c>
      <c r="G90" s="167">
        <v>498190433.09999996</v>
      </c>
      <c r="H90" s="167">
        <v>526440684.37</v>
      </c>
      <c r="I90" s="167">
        <v>539898111.38999999</v>
      </c>
      <c r="J90" s="167">
        <v>543560895.10000002</v>
      </c>
      <c r="K90" s="167">
        <v>540067976.88999999</v>
      </c>
      <c r="L90" s="167">
        <v>540786025.17999995</v>
      </c>
      <c r="M90" s="167">
        <v>542500981.75999999</v>
      </c>
      <c r="N90" s="167">
        <v>541829313.49000001</v>
      </c>
      <c r="O90" s="167">
        <v>541463279.27999997</v>
      </c>
      <c r="P90" s="167">
        <v>541219314.86000001</v>
      </c>
      <c r="Q90" s="167">
        <v>541345294.50999999</v>
      </c>
      <c r="R90" s="167">
        <v>541163461.82000005</v>
      </c>
      <c r="S90" s="167">
        <v>541304748.43999994</v>
      </c>
      <c r="T90" s="167">
        <v>541699661.66999996</v>
      </c>
      <c r="U90" s="168"/>
      <c r="V90" s="168"/>
      <c r="W90" s="168"/>
      <c r="X90" s="167">
        <v>541699661.66999996</v>
      </c>
      <c r="Y90" t="s">
        <v>228</v>
      </c>
    </row>
    <row r="91" spans="1:25" ht="14.4" x14ac:dyDescent="0.3">
      <c r="A91" s="163" t="s">
        <v>235</v>
      </c>
      <c r="B91" s="164">
        <v>1999</v>
      </c>
      <c r="C91" s="167">
        <v>160449310.03999999</v>
      </c>
      <c r="D91" s="167">
        <v>290398523.57999998</v>
      </c>
      <c r="E91" s="167">
        <v>424901974.25</v>
      </c>
      <c r="F91" s="167">
        <v>502288520.92000002</v>
      </c>
      <c r="G91" s="167">
        <v>562856830.32999992</v>
      </c>
      <c r="H91" s="167">
        <v>601552654.74000001</v>
      </c>
      <c r="I91" s="167">
        <v>616763858.65999997</v>
      </c>
      <c r="J91" s="167">
        <v>616109077.81999993</v>
      </c>
      <c r="K91" s="167">
        <v>620512325.82999992</v>
      </c>
      <c r="L91" s="167">
        <v>624027210.00999999</v>
      </c>
      <c r="M91" s="167">
        <v>627414704.23000002</v>
      </c>
      <c r="N91" s="167">
        <v>627386773.57999992</v>
      </c>
      <c r="O91" s="167">
        <v>627864618.89999998</v>
      </c>
      <c r="P91" s="167">
        <v>627937485.84000003</v>
      </c>
      <c r="Q91" s="167">
        <v>628561188.52999997</v>
      </c>
      <c r="R91" s="167">
        <v>629313629.78999996</v>
      </c>
      <c r="S91" s="167">
        <v>630364312</v>
      </c>
      <c r="T91" s="168"/>
      <c r="U91" s="168"/>
      <c r="V91" s="168"/>
      <c r="W91" s="168"/>
      <c r="X91" s="167">
        <v>630364312</v>
      </c>
      <c r="Y91" t="s">
        <v>228</v>
      </c>
    </row>
    <row r="92" spans="1:25" ht="14.4" x14ac:dyDescent="0.3">
      <c r="A92" s="163" t="s">
        <v>235</v>
      </c>
      <c r="B92" s="164">
        <v>2000</v>
      </c>
      <c r="C92" s="167">
        <v>128256003.62</v>
      </c>
      <c r="D92" s="167">
        <v>245400822.17999998</v>
      </c>
      <c r="E92" s="167">
        <v>331466393.64999998</v>
      </c>
      <c r="F92" s="167">
        <v>396741019.08999997</v>
      </c>
      <c r="G92" s="167">
        <v>458718191.05999994</v>
      </c>
      <c r="H92" s="167">
        <v>478822833.41999996</v>
      </c>
      <c r="I92" s="167">
        <v>474473810.19999999</v>
      </c>
      <c r="J92" s="167">
        <v>473536136.47000003</v>
      </c>
      <c r="K92" s="167">
        <v>472594759.59000003</v>
      </c>
      <c r="L92" s="167">
        <v>472983872.68000001</v>
      </c>
      <c r="M92" s="167">
        <v>472293567.62</v>
      </c>
      <c r="N92" s="167">
        <v>473645978.24000001</v>
      </c>
      <c r="O92" s="167">
        <v>473174441.25</v>
      </c>
      <c r="P92" s="167">
        <v>473892936.46999997</v>
      </c>
      <c r="Q92" s="167">
        <v>474098367.84000003</v>
      </c>
      <c r="R92" s="167">
        <v>474867346.10000002</v>
      </c>
      <c r="S92" s="168"/>
      <c r="T92" s="168"/>
      <c r="U92" s="168"/>
      <c r="V92" s="168"/>
      <c r="W92" s="168"/>
      <c r="X92" s="167">
        <v>474867346.10000002</v>
      </c>
      <c r="Y92" t="s">
        <v>228</v>
      </c>
    </row>
    <row r="93" spans="1:25" ht="14.4" x14ac:dyDescent="0.3">
      <c r="A93" s="163" t="s">
        <v>235</v>
      </c>
      <c r="B93" s="164">
        <v>2001</v>
      </c>
      <c r="C93" s="167">
        <v>100467328.64</v>
      </c>
      <c r="D93" s="167">
        <v>167722931.22999999</v>
      </c>
      <c r="E93" s="167">
        <v>240312573.37</v>
      </c>
      <c r="F93" s="167">
        <v>314460056.57999998</v>
      </c>
      <c r="G93" s="167">
        <v>346733031.50999999</v>
      </c>
      <c r="H93" s="167">
        <v>342011469.33999997</v>
      </c>
      <c r="I93" s="167">
        <v>344010184.08000004</v>
      </c>
      <c r="J93" s="167">
        <v>346247267.82999998</v>
      </c>
      <c r="K93" s="167">
        <v>346902189.45999998</v>
      </c>
      <c r="L93" s="167">
        <v>349465677.94</v>
      </c>
      <c r="M93" s="167">
        <v>349050044.04000002</v>
      </c>
      <c r="N93" s="167">
        <v>349071394.81999999</v>
      </c>
      <c r="O93" s="167">
        <v>349178535.63</v>
      </c>
      <c r="P93" s="167">
        <v>349085647.30000001</v>
      </c>
      <c r="Q93" s="167">
        <v>349661950.00999999</v>
      </c>
      <c r="R93" s="168"/>
      <c r="S93" s="168"/>
      <c r="T93" s="168"/>
      <c r="U93" s="168"/>
      <c r="V93" s="168"/>
      <c r="W93" s="168"/>
      <c r="X93" s="167">
        <v>349661950.00999999</v>
      </c>
      <c r="Y93" t="s">
        <v>228</v>
      </c>
    </row>
    <row r="94" spans="1:25" ht="14.4" x14ac:dyDescent="0.3">
      <c r="A94" s="163" t="s">
        <v>235</v>
      </c>
      <c r="B94" s="164">
        <v>2002</v>
      </c>
      <c r="C94" s="167">
        <v>76046695.870000005</v>
      </c>
      <c r="D94" s="167">
        <v>140696820.27000001</v>
      </c>
      <c r="E94" s="167">
        <v>226352049.33999997</v>
      </c>
      <c r="F94" s="167">
        <v>296840792.94</v>
      </c>
      <c r="G94" s="167">
        <v>297733395.03999996</v>
      </c>
      <c r="H94" s="167">
        <v>300696994.07999998</v>
      </c>
      <c r="I94" s="167">
        <v>302365073.19</v>
      </c>
      <c r="J94" s="167">
        <v>302737961.84999996</v>
      </c>
      <c r="K94" s="167">
        <v>304232200.24000001</v>
      </c>
      <c r="L94" s="167">
        <v>301895113.35000002</v>
      </c>
      <c r="M94" s="167">
        <v>303055787.52999997</v>
      </c>
      <c r="N94" s="167">
        <v>302952326.65000004</v>
      </c>
      <c r="O94" s="167">
        <v>303004344.90000004</v>
      </c>
      <c r="P94" s="167">
        <v>303090238.71000004</v>
      </c>
      <c r="Q94" s="168"/>
      <c r="R94" s="168"/>
      <c r="S94" s="168"/>
      <c r="T94" s="168"/>
      <c r="U94" s="168"/>
      <c r="V94" s="168"/>
      <c r="W94" s="168"/>
      <c r="X94" s="167">
        <v>303090238.71000004</v>
      </c>
      <c r="Y94" t="s">
        <v>228</v>
      </c>
    </row>
    <row r="95" spans="1:25" ht="14.4" x14ac:dyDescent="0.3">
      <c r="A95" s="163" t="s">
        <v>235</v>
      </c>
      <c r="B95" s="164">
        <v>2003</v>
      </c>
      <c r="C95" s="167">
        <v>77704212.560000002</v>
      </c>
      <c r="D95" s="167">
        <v>155045241.44</v>
      </c>
      <c r="E95" s="167">
        <v>229995508.98000002</v>
      </c>
      <c r="F95" s="167">
        <v>258592199.36000001</v>
      </c>
      <c r="G95" s="167">
        <v>270467437.78999996</v>
      </c>
      <c r="H95" s="167">
        <v>277605446.75999999</v>
      </c>
      <c r="I95" s="167">
        <v>277094249.01999998</v>
      </c>
      <c r="J95" s="167">
        <v>277355891.54000002</v>
      </c>
      <c r="K95" s="167">
        <v>278612613.43000001</v>
      </c>
      <c r="L95" s="167">
        <v>279624762.16999996</v>
      </c>
      <c r="M95" s="167">
        <v>281478217.28999996</v>
      </c>
      <c r="N95" s="167">
        <v>280387991.28999996</v>
      </c>
      <c r="O95" s="167">
        <v>279688502.84999996</v>
      </c>
      <c r="P95" s="168"/>
      <c r="Q95" s="168"/>
      <c r="R95" s="168"/>
      <c r="S95" s="168"/>
      <c r="T95" s="168"/>
      <c r="U95" s="168"/>
      <c r="V95" s="168"/>
      <c r="W95" s="168"/>
      <c r="X95" s="167">
        <v>279688502.84999996</v>
      </c>
    </row>
    <row r="96" spans="1:25" ht="14.4" x14ac:dyDescent="0.3">
      <c r="A96" s="163" t="s">
        <v>235</v>
      </c>
      <c r="B96" s="164">
        <v>2004</v>
      </c>
      <c r="C96" s="167">
        <v>87730833.820000008</v>
      </c>
      <c r="D96" s="167">
        <v>173469397.42000002</v>
      </c>
      <c r="E96" s="167">
        <v>219077981.07999998</v>
      </c>
      <c r="F96" s="167">
        <v>249616655.30000001</v>
      </c>
      <c r="G96" s="167">
        <v>265465045.28</v>
      </c>
      <c r="H96" s="167">
        <v>261214149.66999999</v>
      </c>
      <c r="I96" s="167">
        <v>258588090.31999999</v>
      </c>
      <c r="J96" s="167">
        <v>258912575.25999999</v>
      </c>
      <c r="K96" s="167">
        <v>256592445.19999999</v>
      </c>
      <c r="L96" s="167">
        <v>258075910.93000001</v>
      </c>
      <c r="M96" s="167">
        <v>258761773.56</v>
      </c>
      <c r="N96" s="167">
        <v>258325813.28</v>
      </c>
      <c r="O96" s="168"/>
      <c r="P96" s="168"/>
      <c r="Q96" s="168"/>
      <c r="R96" s="168"/>
      <c r="S96" s="168"/>
      <c r="T96" s="168"/>
      <c r="U96" s="168"/>
      <c r="V96" s="168"/>
      <c r="W96" s="168"/>
      <c r="X96" s="167">
        <v>258325813.28</v>
      </c>
    </row>
    <row r="97" spans="1:24" ht="14.4" x14ac:dyDescent="0.3">
      <c r="A97" s="163" t="s">
        <v>235</v>
      </c>
      <c r="B97" s="164">
        <v>2005</v>
      </c>
      <c r="C97" s="167">
        <v>73603449.709999993</v>
      </c>
      <c r="D97" s="167">
        <v>149158425.04999998</v>
      </c>
      <c r="E97" s="167">
        <v>213102922.06</v>
      </c>
      <c r="F97" s="167">
        <v>252447579.13000003</v>
      </c>
      <c r="G97" s="167">
        <v>259867495.44</v>
      </c>
      <c r="H97" s="167">
        <v>263009270.90000001</v>
      </c>
      <c r="I97" s="167">
        <v>266878218.63999999</v>
      </c>
      <c r="J97" s="167">
        <v>266756260.81</v>
      </c>
      <c r="K97" s="167">
        <v>267972734.88</v>
      </c>
      <c r="L97" s="167">
        <v>270876895.78000003</v>
      </c>
      <c r="M97" s="167">
        <v>269878440.13</v>
      </c>
      <c r="N97" s="168"/>
      <c r="O97" s="168"/>
      <c r="P97" s="168"/>
      <c r="Q97" s="168"/>
      <c r="R97" s="168"/>
      <c r="S97" s="168"/>
      <c r="T97" s="168"/>
      <c r="U97" s="168"/>
      <c r="V97" s="168"/>
      <c r="W97" s="168"/>
      <c r="X97" s="167">
        <v>269878440.13</v>
      </c>
    </row>
    <row r="98" spans="1:24" ht="14.4" x14ac:dyDescent="0.3">
      <c r="A98" s="163" t="s">
        <v>235</v>
      </c>
      <c r="B98" s="164">
        <v>2006</v>
      </c>
      <c r="C98" s="167">
        <v>76075288.609999999</v>
      </c>
      <c r="D98" s="167">
        <v>154232950.91</v>
      </c>
      <c r="E98" s="167">
        <v>221408693.19</v>
      </c>
      <c r="F98" s="167">
        <v>249325737.62</v>
      </c>
      <c r="G98" s="167">
        <v>264732292.77000001</v>
      </c>
      <c r="H98" s="167">
        <v>265773789.97</v>
      </c>
      <c r="I98" s="167">
        <v>267339287.97</v>
      </c>
      <c r="J98" s="167">
        <v>270836377.13</v>
      </c>
      <c r="K98" s="167">
        <v>269886927.30000001</v>
      </c>
      <c r="L98" s="167">
        <v>267935988.45000002</v>
      </c>
      <c r="M98" s="168"/>
      <c r="N98" s="168"/>
      <c r="O98" s="168"/>
      <c r="P98" s="168"/>
      <c r="Q98" s="168"/>
      <c r="R98" s="168"/>
      <c r="S98" s="168"/>
      <c r="T98" s="168"/>
      <c r="U98" s="168"/>
      <c r="V98" s="168"/>
      <c r="W98" s="168"/>
      <c r="X98" s="167">
        <v>267935988.45000002</v>
      </c>
    </row>
    <row r="99" spans="1:24" ht="14.4" x14ac:dyDescent="0.3">
      <c r="A99" s="163" t="s">
        <v>235</v>
      </c>
      <c r="B99" s="164">
        <v>2007</v>
      </c>
      <c r="C99" s="167">
        <v>83712774.060000002</v>
      </c>
      <c r="D99" s="167">
        <v>186838977.78</v>
      </c>
      <c r="E99" s="167">
        <v>227316046.07000002</v>
      </c>
      <c r="F99" s="167">
        <v>259818754.15000001</v>
      </c>
      <c r="G99" s="167">
        <v>269131185.5</v>
      </c>
      <c r="H99" s="167">
        <v>274173553.79000002</v>
      </c>
      <c r="I99" s="167">
        <v>276564897.75999999</v>
      </c>
      <c r="J99" s="167">
        <v>278969732.87</v>
      </c>
      <c r="K99" s="167">
        <v>279124988.26999998</v>
      </c>
      <c r="L99" s="168"/>
      <c r="M99" s="168"/>
      <c r="N99" s="168"/>
      <c r="O99" s="168"/>
      <c r="P99" s="168"/>
      <c r="Q99" s="168"/>
      <c r="R99" s="168"/>
      <c r="S99" s="168"/>
      <c r="T99" s="168"/>
      <c r="U99" s="168"/>
      <c r="V99" s="168"/>
      <c r="W99" s="168"/>
      <c r="X99" s="167">
        <v>279124988.26999998</v>
      </c>
    </row>
    <row r="100" spans="1:24" ht="14.4" x14ac:dyDescent="0.3">
      <c r="A100" s="163" t="s">
        <v>235</v>
      </c>
      <c r="B100" s="164">
        <v>2008</v>
      </c>
      <c r="C100" s="167">
        <v>91403053.359999999</v>
      </c>
      <c r="D100" s="167">
        <v>180565016.25999999</v>
      </c>
      <c r="E100" s="167">
        <v>224548436.84999999</v>
      </c>
      <c r="F100" s="167">
        <v>264887880.56</v>
      </c>
      <c r="G100" s="167">
        <v>281149305.42000002</v>
      </c>
      <c r="H100" s="167">
        <v>292150539.76999998</v>
      </c>
      <c r="I100" s="167">
        <v>295258632.66000003</v>
      </c>
      <c r="J100" s="167">
        <v>296351454.92000002</v>
      </c>
      <c r="K100" s="168"/>
      <c r="L100" s="168"/>
      <c r="M100" s="168"/>
      <c r="N100" s="168"/>
      <c r="O100" s="168"/>
      <c r="P100" s="168"/>
      <c r="Q100" s="168"/>
      <c r="R100" s="168"/>
      <c r="S100" s="168"/>
      <c r="T100" s="168"/>
      <c r="U100" s="168"/>
      <c r="V100" s="168"/>
      <c r="W100" s="168"/>
      <c r="X100" s="167">
        <v>296351454.92000002</v>
      </c>
    </row>
    <row r="101" spans="1:24" ht="14.4" x14ac:dyDescent="0.3">
      <c r="A101" s="163" t="s">
        <v>235</v>
      </c>
      <c r="B101" s="164">
        <v>2009</v>
      </c>
      <c r="C101" s="167">
        <v>84068358.030000001</v>
      </c>
      <c r="D101" s="167">
        <v>175125925.38</v>
      </c>
      <c r="E101" s="167">
        <v>212014059.82999998</v>
      </c>
      <c r="F101" s="167">
        <v>243334356.45999998</v>
      </c>
      <c r="G101" s="167">
        <v>268394802.09999999</v>
      </c>
      <c r="H101" s="167">
        <v>281517102.41999996</v>
      </c>
      <c r="I101" s="167">
        <v>283054000.25</v>
      </c>
      <c r="J101" s="168"/>
      <c r="K101" s="168"/>
      <c r="L101" s="168"/>
      <c r="M101" s="168"/>
      <c r="N101" s="168"/>
      <c r="O101" s="168"/>
      <c r="P101" s="168"/>
      <c r="Q101" s="168"/>
      <c r="R101" s="168"/>
      <c r="S101" s="168"/>
      <c r="T101" s="168"/>
      <c r="U101" s="168"/>
      <c r="V101" s="168"/>
      <c r="W101" s="168"/>
      <c r="X101" s="167">
        <v>283054000.25</v>
      </c>
    </row>
    <row r="102" spans="1:24" ht="14.4" x14ac:dyDescent="0.3">
      <c r="A102" s="163" t="s">
        <v>235</v>
      </c>
      <c r="B102" s="164">
        <v>2010</v>
      </c>
      <c r="C102" s="167">
        <v>68648018.349999994</v>
      </c>
      <c r="D102" s="167">
        <v>146724803.66</v>
      </c>
      <c r="E102" s="167">
        <v>203356181.52000001</v>
      </c>
      <c r="F102" s="167">
        <v>246814790.32000002</v>
      </c>
      <c r="G102" s="167">
        <v>274898816.78000003</v>
      </c>
      <c r="H102" s="167">
        <v>275313658.23000002</v>
      </c>
      <c r="I102" s="168"/>
      <c r="J102" s="168"/>
      <c r="K102" s="168"/>
      <c r="L102" s="168"/>
      <c r="M102" s="168"/>
      <c r="N102" s="168"/>
      <c r="O102" s="168"/>
      <c r="P102" s="168"/>
      <c r="Q102" s="168"/>
      <c r="R102" s="168"/>
      <c r="S102" s="168"/>
      <c r="T102" s="168"/>
      <c r="U102" s="168"/>
      <c r="V102" s="168"/>
      <c r="W102" s="168"/>
      <c r="X102" s="167">
        <v>275313658.23000002</v>
      </c>
    </row>
    <row r="103" spans="1:24" ht="14.4" x14ac:dyDescent="0.3">
      <c r="A103" s="163" t="s">
        <v>235</v>
      </c>
      <c r="B103" s="164">
        <v>2011</v>
      </c>
      <c r="C103" s="167">
        <v>56303869.030000001</v>
      </c>
      <c r="D103" s="167">
        <v>136075472.30000001</v>
      </c>
      <c r="E103" s="167">
        <v>209779274.53000003</v>
      </c>
      <c r="F103" s="167">
        <v>265908127.44999999</v>
      </c>
      <c r="G103" s="167">
        <v>267669256.25999999</v>
      </c>
      <c r="H103" s="168"/>
      <c r="I103" s="168"/>
      <c r="J103" s="168"/>
      <c r="K103" s="168"/>
      <c r="L103" s="168"/>
      <c r="M103" s="168"/>
      <c r="N103" s="168"/>
      <c r="O103" s="168"/>
      <c r="P103" s="168"/>
      <c r="Q103" s="168"/>
      <c r="R103" s="168"/>
      <c r="S103" s="168"/>
      <c r="T103" s="168"/>
      <c r="U103" s="168"/>
      <c r="V103" s="168"/>
      <c r="W103" s="168"/>
      <c r="X103" s="167">
        <v>267669256.25999999</v>
      </c>
    </row>
    <row r="104" spans="1:24" ht="14.4" x14ac:dyDescent="0.3">
      <c r="A104" s="163" t="s">
        <v>235</v>
      </c>
      <c r="B104" s="164">
        <v>2012</v>
      </c>
      <c r="C104" s="167">
        <v>48387445.490000002</v>
      </c>
      <c r="D104" s="167">
        <v>134473223.69</v>
      </c>
      <c r="E104" s="167">
        <v>217588513.56</v>
      </c>
      <c r="F104" s="167">
        <v>236061597.14000002</v>
      </c>
      <c r="G104" s="168"/>
      <c r="H104" s="168"/>
      <c r="I104" s="168"/>
      <c r="J104" s="168"/>
      <c r="K104" s="168"/>
      <c r="L104" s="168"/>
      <c r="M104" s="168"/>
      <c r="N104" s="168"/>
      <c r="O104" s="168"/>
      <c r="P104" s="168"/>
      <c r="Q104" s="168"/>
      <c r="R104" s="168"/>
      <c r="S104" s="168"/>
      <c r="T104" s="168"/>
      <c r="U104" s="168"/>
      <c r="V104" s="168"/>
      <c r="W104" s="168"/>
      <c r="X104" s="167">
        <v>236061597.14000002</v>
      </c>
    </row>
    <row r="105" spans="1:24" ht="14.4" x14ac:dyDescent="0.3">
      <c r="A105" s="163" t="s">
        <v>235</v>
      </c>
      <c r="B105" s="164">
        <v>2013</v>
      </c>
      <c r="C105" s="167">
        <v>66705466.009999998</v>
      </c>
      <c r="D105" s="167">
        <v>180524261.25</v>
      </c>
      <c r="E105" s="167">
        <v>217673305.70000002</v>
      </c>
      <c r="F105" s="168"/>
      <c r="G105" s="168"/>
      <c r="H105" s="168"/>
      <c r="I105" s="168"/>
      <c r="J105" s="168"/>
      <c r="K105" s="168"/>
      <c r="L105" s="168"/>
      <c r="M105" s="168"/>
      <c r="N105" s="168"/>
      <c r="O105" s="168"/>
      <c r="P105" s="168"/>
      <c r="Q105" s="168"/>
      <c r="R105" s="168"/>
      <c r="S105" s="168"/>
      <c r="T105" s="168"/>
      <c r="U105" s="168"/>
      <c r="V105" s="168"/>
      <c r="W105" s="168"/>
      <c r="X105" s="167">
        <v>217673305.70000002</v>
      </c>
    </row>
    <row r="106" spans="1:24" ht="14.4" x14ac:dyDescent="0.3">
      <c r="A106" s="163" t="s">
        <v>235</v>
      </c>
      <c r="B106" s="164">
        <v>2014</v>
      </c>
      <c r="C106" s="167">
        <v>80483347.860000014</v>
      </c>
      <c r="D106" s="167">
        <v>146181410.34</v>
      </c>
      <c r="E106" s="168"/>
      <c r="F106" s="168"/>
      <c r="G106" s="168"/>
      <c r="H106" s="168"/>
      <c r="I106" s="168"/>
      <c r="J106" s="168"/>
      <c r="K106" s="168"/>
      <c r="L106" s="168"/>
      <c r="M106" s="168"/>
      <c r="N106" s="168"/>
      <c r="O106" s="168"/>
      <c r="P106" s="168"/>
      <c r="Q106" s="168"/>
      <c r="R106" s="168"/>
      <c r="S106" s="168"/>
      <c r="T106" s="168"/>
      <c r="U106" s="168"/>
      <c r="V106" s="168"/>
      <c r="W106" s="168"/>
      <c r="X106" s="167">
        <v>146181410.34</v>
      </c>
    </row>
    <row r="107" spans="1:24" ht="14.4" x14ac:dyDescent="0.3">
      <c r="A107" s="163" t="s">
        <v>235</v>
      </c>
      <c r="B107" s="164">
        <v>2015</v>
      </c>
      <c r="C107" s="167">
        <v>46342899.289999999</v>
      </c>
      <c r="D107" s="168"/>
      <c r="E107" s="168"/>
      <c r="F107" s="168"/>
      <c r="G107" s="168"/>
      <c r="H107" s="168"/>
      <c r="I107" s="168"/>
      <c r="J107" s="168"/>
      <c r="K107" s="168"/>
      <c r="L107" s="168"/>
      <c r="M107" s="168"/>
      <c r="N107" s="168"/>
      <c r="O107" s="168"/>
      <c r="P107" s="168"/>
      <c r="Q107" s="168"/>
      <c r="R107" s="168"/>
      <c r="S107" s="168"/>
      <c r="T107" s="168"/>
      <c r="U107" s="168"/>
      <c r="V107" s="168"/>
      <c r="W107" s="168"/>
      <c r="X107" s="167">
        <v>46342899.289999999</v>
      </c>
    </row>
    <row r="108" spans="1:24" ht="14.4" x14ac:dyDescent="0.3">
      <c r="A108" s="163" t="s">
        <v>236</v>
      </c>
      <c r="B108" s="164">
        <v>1995</v>
      </c>
      <c r="C108" s="167">
        <v>73121403.439999998</v>
      </c>
      <c r="D108" s="167">
        <v>138031132.75999999</v>
      </c>
      <c r="E108" s="167">
        <v>216105963.70999998</v>
      </c>
      <c r="F108" s="167">
        <v>269361099.48000002</v>
      </c>
      <c r="G108" s="167">
        <v>296832640.37999994</v>
      </c>
      <c r="H108" s="167">
        <v>320347578.49000001</v>
      </c>
      <c r="I108" s="167">
        <v>335126486.45999998</v>
      </c>
      <c r="J108" s="167">
        <v>334735373.45999998</v>
      </c>
      <c r="K108" s="167">
        <v>342644280.33999997</v>
      </c>
      <c r="L108" s="167">
        <v>356859733.15999997</v>
      </c>
      <c r="M108" s="167">
        <v>357237556.57999998</v>
      </c>
      <c r="N108" s="167">
        <v>358612392.44999999</v>
      </c>
      <c r="O108" s="167">
        <v>360949183.87</v>
      </c>
      <c r="P108" s="167">
        <v>362206982.28000003</v>
      </c>
      <c r="Q108" s="167">
        <v>362581729.25999999</v>
      </c>
      <c r="R108" s="167">
        <v>363189509.87</v>
      </c>
      <c r="S108" s="167">
        <v>363290122.56</v>
      </c>
      <c r="T108" s="167">
        <v>363617133.38</v>
      </c>
      <c r="U108" s="167">
        <v>363795145.04000002</v>
      </c>
      <c r="V108" s="167">
        <v>363952144</v>
      </c>
      <c r="W108" s="167">
        <v>363982375.54000002</v>
      </c>
      <c r="X108" s="167">
        <v>363982375.54000002</v>
      </c>
    </row>
    <row r="109" spans="1:24" ht="14.4" x14ac:dyDescent="0.3">
      <c r="A109" s="163" t="s">
        <v>236</v>
      </c>
      <c r="B109" s="164">
        <v>1996</v>
      </c>
      <c r="C109" s="167">
        <v>46641843.370000005</v>
      </c>
      <c r="D109" s="167">
        <v>103133744.63</v>
      </c>
      <c r="E109" s="167">
        <v>146785350.99000001</v>
      </c>
      <c r="F109" s="167">
        <v>193284285.28</v>
      </c>
      <c r="G109" s="167">
        <v>234188513.41000003</v>
      </c>
      <c r="H109" s="167">
        <v>250431278.16999999</v>
      </c>
      <c r="I109" s="167">
        <v>253783749.5</v>
      </c>
      <c r="J109" s="167">
        <v>256369033.45000002</v>
      </c>
      <c r="K109" s="167">
        <v>266004982.07000002</v>
      </c>
      <c r="L109" s="167">
        <v>272341454.75999999</v>
      </c>
      <c r="M109" s="167">
        <v>276284306.01999998</v>
      </c>
      <c r="N109" s="167">
        <v>279505116.87</v>
      </c>
      <c r="O109" s="167">
        <v>280283300.10999995</v>
      </c>
      <c r="P109" s="167">
        <v>281131210.29999995</v>
      </c>
      <c r="Q109" s="167">
        <v>281907533.57999998</v>
      </c>
      <c r="R109" s="167">
        <v>282579276.01999998</v>
      </c>
      <c r="S109" s="167">
        <v>283097590.82999998</v>
      </c>
      <c r="T109" s="167">
        <v>284155162.63</v>
      </c>
      <c r="U109" s="167">
        <v>284499509.70999998</v>
      </c>
      <c r="V109" s="167">
        <v>285170848.38999999</v>
      </c>
      <c r="W109" s="168"/>
      <c r="X109" s="167">
        <v>285170848.38999999</v>
      </c>
    </row>
    <row r="110" spans="1:24" ht="14.4" x14ac:dyDescent="0.3">
      <c r="A110" s="163" t="s">
        <v>236</v>
      </c>
      <c r="B110" s="164">
        <v>1997</v>
      </c>
      <c r="C110" s="167">
        <v>53296857.539999999</v>
      </c>
      <c r="D110" s="167">
        <v>101175795.31999999</v>
      </c>
      <c r="E110" s="167">
        <v>181089719.25</v>
      </c>
      <c r="F110" s="167">
        <v>246759680.44</v>
      </c>
      <c r="G110" s="167">
        <v>275461841.62999994</v>
      </c>
      <c r="H110" s="167">
        <v>289846281.19999993</v>
      </c>
      <c r="I110" s="167">
        <v>299868088.96999997</v>
      </c>
      <c r="J110" s="167">
        <v>315435678.85999995</v>
      </c>
      <c r="K110" s="167">
        <v>311087338.5399999</v>
      </c>
      <c r="L110" s="167">
        <v>311527393.23999995</v>
      </c>
      <c r="M110" s="167">
        <v>310365328.45999998</v>
      </c>
      <c r="N110" s="167">
        <v>311558612.16999996</v>
      </c>
      <c r="O110" s="167">
        <v>313656867.82999998</v>
      </c>
      <c r="P110" s="167">
        <v>315182370.78999996</v>
      </c>
      <c r="Q110" s="167">
        <v>316060378.68999994</v>
      </c>
      <c r="R110" s="167">
        <v>318407537.95999998</v>
      </c>
      <c r="S110" s="167">
        <v>318686545.81999999</v>
      </c>
      <c r="T110" s="167">
        <v>318749334.12999994</v>
      </c>
      <c r="U110" s="167">
        <v>319000701.22999996</v>
      </c>
      <c r="V110" s="168"/>
      <c r="W110" s="168"/>
      <c r="X110" s="167">
        <v>319000701.22999996</v>
      </c>
    </row>
    <row r="111" spans="1:24" ht="14.4" x14ac:dyDescent="0.3">
      <c r="A111" s="163" t="s">
        <v>236</v>
      </c>
      <c r="B111" s="164">
        <v>1998</v>
      </c>
      <c r="C111" s="167">
        <v>30610433.930000007</v>
      </c>
      <c r="D111" s="167">
        <v>126376804.83000001</v>
      </c>
      <c r="E111" s="167">
        <v>282188665.99000001</v>
      </c>
      <c r="F111" s="167">
        <v>351280073.07000005</v>
      </c>
      <c r="G111" s="167">
        <v>385364534.72000003</v>
      </c>
      <c r="H111" s="167">
        <v>403954609.97999996</v>
      </c>
      <c r="I111" s="167">
        <v>422358495.30999994</v>
      </c>
      <c r="J111" s="167">
        <v>421064641.44999999</v>
      </c>
      <c r="K111" s="167">
        <v>424042983.78999996</v>
      </c>
      <c r="L111" s="167">
        <v>429490712.10000002</v>
      </c>
      <c r="M111" s="167">
        <v>434576217.86000001</v>
      </c>
      <c r="N111" s="167">
        <v>435882391.56999999</v>
      </c>
      <c r="O111" s="167">
        <v>436653094.38</v>
      </c>
      <c r="P111" s="167">
        <v>437074363.04000002</v>
      </c>
      <c r="Q111" s="167">
        <v>438709217.19</v>
      </c>
      <c r="R111" s="167">
        <v>440292577.54000002</v>
      </c>
      <c r="S111" s="167">
        <v>441492925.74000001</v>
      </c>
      <c r="T111" s="167">
        <v>442089167.13</v>
      </c>
      <c r="U111" s="168"/>
      <c r="V111" s="168"/>
      <c r="W111" s="168"/>
      <c r="X111" s="167">
        <v>442089167.13</v>
      </c>
    </row>
    <row r="112" spans="1:24" ht="14.4" x14ac:dyDescent="0.3">
      <c r="A112" s="163" t="s">
        <v>236</v>
      </c>
      <c r="B112" s="164">
        <v>1999</v>
      </c>
      <c r="C112" s="167">
        <v>65582023.069999993</v>
      </c>
      <c r="D112" s="167">
        <v>204483930.98000002</v>
      </c>
      <c r="E112" s="167">
        <v>354060333.19999999</v>
      </c>
      <c r="F112" s="167">
        <v>394007866.43000007</v>
      </c>
      <c r="G112" s="167">
        <v>460702299.05000001</v>
      </c>
      <c r="H112" s="167">
        <v>491422945.58000004</v>
      </c>
      <c r="I112" s="167">
        <v>504314807.63</v>
      </c>
      <c r="J112" s="167">
        <v>512947438.37</v>
      </c>
      <c r="K112" s="167">
        <v>522024640.74000001</v>
      </c>
      <c r="L112" s="167">
        <v>529556405.91999996</v>
      </c>
      <c r="M112" s="167">
        <v>530287931.35000002</v>
      </c>
      <c r="N112" s="167">
        <v>533990319.40999997</v>
      </c>
      <c r="O112" s="167">
        <v>534494409.17000002</v>
      </c>
      <c r="P112" s="167">
        <v>536122830.53999996</v>
      </c>
      <c r="Q112" s="167">
        <v>536837806.55999994</v>
      </c>
      <c r="R112" s="167">
        <v>538192033.55999994</v>
      </c>
      <c r="S112" s="167">
        <v>538961677.79999995</v>
      </c>
      <c r="T112" s="168"/>
      <c r="U112" s="168"/>
      <c r="V112" s="168"/>
      <c r="W112" s="168"/>
      <c r="X112" s="167">
        <v>538961677.79999995</v>
      </c>
    </row>
    <row r="113" spans="1:24" ht="14.4" x14ac:dyDescent="0.3">
      <c r="A113" s="163" t="s">
        <v>236</v>
      </c>
      <c r="B113" s="164">
        <v>2000</v>
      </c>
      <c r="C113" s="167">
        <v>80952345.459999993</v>
      </c>
      <c r="D113" s="167">
        <v>204394120.19999999</v>
      </c>
      <c r="E113" s="167">
        <v>270955569.56000006</v>
      </c>
      <c r="F113" s="167">
        <v>368512703.35999995</v>
      </c>
      <c r="G113" s="167">
        <v>414747687.76000005</v>
      </c>
      <c r="H113" s="167">
        <v>449544791.65999997</v>
      </c>
      <c r="I113" s="167">
        <v>462235854.02000004</v>
      </c>
      <c r="J113" s="167">
        <v>470867709.03999996</v>
      </c>
      <c r="K113" s="167">
        <v>474612053.18000001</v>
      </c>
      <c r="L113" s="167">
        <v>474700725.15000004</v>
      </c>
      <c r="M113" s="167">
        <v>475276779.37</v>
      </c>
      <c r="N113" s="167">
        <v>476472570.42999995</v>
      </c>
      <c r="O113" s="167">
        <v>477309386.21999997</v>
      </c>
      <c r="P113" s="167">
        <v>477300824.50999993</v>
      </c>
      <c r="Q113" s="167">
        <v>477886662.99999994</v>
      </c>
      <c r="R113" s="167">
        <v>479126334.38999993</v>
      </c>
      <c r="S113" s="168"/>
      <c r="T113" s="168"/>
      <c r="U113" s="168"/>
      <c r="V113" s="168"/>
      <c r="W113" s="168"/>
      <c r="X113" s="167">
        <v>479126334.38999993</v>
      </c>
    </row>
    <row r="114" spans="1:24" ht="14.4" x14ac:dyDescent="0.3">
      <c r="A114" s="163" t="s">
        <v>236</v>
      </c>
      <c r="B114" s="164">
        <v>2001</v>
      </c>
      <c r="C114" s="167">
        <v>75855336.709999993</v>
      </c>
      <c r="D114" s="167">
        <v>155982354.62</v>
      </c>
      <c r="E114" s="167">
        <v>254808608.60999998</v>
      </c>
      <c r="F114" s="167">
        <v>325979584.81</v>
      </c>
      <c r="G114" s="167">
        <v>367177986.42000002</v>
      </c>
      <c r="H114" s="167">
        <v>384544120.62000006</v>
      </c>
      <c r="I114" s="167">
        <v>392859589.56</v>
      </c>
      <c r="J114" s="167">
        <v>398523669.48000002</v>
      </c>
      <c r="K114" s="167">
        <v>400453469</v>
      </c>
      <c r="L114" s="167">
        <v>402956838.5</v>
      </c>
      <c r="M114" s="167">
        <v>403750754.70000005</v>
      </c>
      <c r="N114" s="167">
        <v>405946201.20000005</v>
      </c>
      <c r="O114" s="167">
        <v>410767368.66000009</v>
      </c>
      <c r="P114" s="167">
        <v>411828618.99000013</v>
      </c>
      <c r="Q114" s="167">
        <v>413293238.18000007</v>
      </c>
      <c r="R114" s="168"/>
      <c r="S114" s="168"/>
      <c r="T114" s="168"/>
      <c r="U114" s="168"/>
      <c r="V114" s="168"/>
      <c r="W114" s="168"/>
      <c r="X114" s="167">
        <v>413293238.18000007</v>
      </c>
    </row>
    <row r="115" spans="1:24" ht="14.4" x14ac:dyDescent="0.3">
      <c r="A115" s="163" t="s">
        <v>236</v>
      </c>
      <c r="B115" s="164">
        <v>2002</v>
      </c>
      <c r="C115" s="167">
        <v>56823247.629999995</v>
      </c>
      <c r="D115" s="167">
        <v>97880346.469999999</v>
      </c>
      <c r="E115" s="167">
        <v>170577448.66</v>
      </c>
      <c r="F115" s="167">
        <v>207838907.76999998</v>
      </c>
      <c r="G115" s="167">
        <v>215601871.88000003</v>
      </c>
      <c r="H115" s="167">
        <v>217784378.70999998</v>
      </c>
      <c r="I115" s="167">
        <v>220107104.97</v>
      </c>
      <c r="J115" s="167">
        <v>218620049.06</v>
      </c>
      <c r="K115" s="167">
        <v>217944741.06</v>
      </c>
      <c r="L115" s="167">
        <v>218005824.09999999</v>
      </c>
      <c r="M115" s="167">
        <v>226106270.39999998</v>
      </c>
      <c r="N115" s="167">
        <v>225961766.84</v>
      </c>
      <c r="O115" s="167">
        <v>226174959.36000001</v>
      </c>
      <c r="P115" s="167">
        <v>226203922.67000002</v>
      </c>
      <c r="Q115" s="168"/>
      <c r="R115" s="168"/>
      <c r="S115" s="168"/>
      <c r="T115" s="168"/>
      <c r="U115" s="168"/>
      <c r="V115" s="168"/>
      <c r="W115" s="168"/>
      <c r="X115" s="167">
        <v>226203922.67000002</v>
      </c>
    </row>
    <row r="116" spans="1:24" ht="14.4" x14ac:dyDescent="0.3">
      <c r="A116" s="163" t="s">
        <v>236</v>
      </c>
      <c r="B116" s="164">
        <v>2003</v>
      </c>
      <c r="C116" s="167">
        <v>50049802.579999991</v>
      </c>
      <c r="D116" s="167">
        <v>119551377.11999999</v>
      </c>
      <c r="E116" s="167">
        <v>163301443.43000001</v>
      </c>
      <c r="F116" s="167">
        <v>187001490.59999999</v>
      </c>
      <c r="G116" s="167">
        <v>206451606.55000001</v>
      </c>
      <c r="H116" s="167">
        <v>212266176.22999999</v>
      </c>
      <c r="I116" s="167">
        <v>212615601.12</v>
      </c>
      <c r="J116" s="167">
        <v>218512355.38999999</v>
      </c>
      <c r="K116" s="167">
        <v>218943556.85999998</v>
      </c>
      <c r="L116" s="167">
        <v>219382947.51000002</v>
      </c>
      <c r="M116" s="167">
        <v>219855793.45999998</v>
      </c>
      <c r="N116" s="167">
        <v>220394790.97999999</v>
      </c>
      <c r="O116" s="167">
        <v>220807452.13999999</v>
      </c>
      <c r="P116" s="168"/>
      <c r="Q116" s="168"/>
      <c r="R116" s="168"/>
      <c r="S116" s="168"/>
      <c r="T116" s="168"/>
      <c r="U116" s="168"/>
      <c r="V116" s="168"/>
      <c r="W116" s="168"/>
      <c r="X116" s="167">
        <v>220807452.13999999</v>
      </c>
    </row>
    <row r="117" spans="1:24" ht="14.4" x14ac:dyDescent="0.3">
      <c r="A117" s="163" t="s">
        <v>236</v>
      </c>
      <c r="B117" s="164">
        <v>2004</v>
      </c>
      <c r="C117" s="167">
        <v>59792500.550000004</v>
      </c>
      <c r="D117" s="167">
        <v>114796403.05</v>
      </c>
      <c r="E117" s="167">
        <v>145582114.70000002</v>
      </c>
      <c r="F117" s="167">
        <v>168109565.06999999</v>
      </c>
      <c r="G117" s="167">
        <v>176707336.52000001</v>
      </c>
      <c r="H117" s="167">
        <v>179941587.66</v>
      </c>
      <c r="I117" s="167">
        <v>182395625.84</v>
      </c>
      <c r="J117" s="167">
        <v>189250867.22999999</v>
      </c>
      <c r="K117" s="167">
        <v>189649521.5</v>
      </c>
      <c r="L117" s="167">
        <v>189163279.51999998</v>
      </c>
      <c r="M117" s="167">
        <v>189320608.42000002</v>
      </c>
      <c r="N117" s="167">
        <v>191061213.96000004</v>
      </c>
      <c r="O117" s="168"/>
      <c r="P117" s="168"/>
      <c r="Q117" s="168"/>
      <c r="R117" s="168"/>
      <c r="S117" s="168"/>
      <c r="T117" s="168"/>
      <c r="U117" s="168"/>
      <c r="V117" s="168"/>
      <c r="W117" s="168"/>
      <c r="X117" s="167">
        <v>191061213.96000004</v>
      </c>
    </row>
    <row r="118" spans="1:24" ht="14.4" x14ac:dyDescent="0.3">
      <c r="A118" s="163" t="s">
        <v>236</v>
      </c>
      <c r="B118" s="164">
        <v>2005</v>
      </c>
      <c r="C118" s="167">
        <v>52679001.330000013</v>
      </c>
      <c r="D118" s="167">
        <v>98770789.569999993</v>
      </c>
      <c r="E118" s="167">
        <v>129656860.17</v>
      </c>
      <c r="F118" s="167">
        <v>156614480.87</v>
      </c>
      <c r="G118" s="167">
        <v>168930321.48000002</v>
      </c>
      <c r="H118" s="167">
        <v>174448666.59999999</v>
      </c>
      <c r="I118" s="167">
        <v>176320318.82999998</v>
      </c>
      <c r="J118" s="167">
        <v>175289642.59999999</v>
      </c>
      <c r="K118" s="167">
        <v>175984693.71000001</v>
      </c>
      <c r="L118" s="167">
        <v>177275681.76000002</v>
      </c>
      <c r="M118" s="167">
        <v>176832357.45000002</v>
      </c>
      <c r="N118" s="168"/>
      <c r="O118" s="168"/>
      <c r="P118" s="168"/>
      <c r="Q118" s="168"/>
      <c r="R118" s="168"/>
      <c r="S118" s="168"/>
      <c r="T118" s="168"/>
      <c r="U118" s="168"/>
      <c r="V118" s="168"/>
      <c r="W118" s="168"/>
      <c r="X118" s="167">
        <v>176832357.45000002</v>
      </c>
    </row>
    <row r="119" spans="1:24" ht="14.4" x14ac:dyDescent="0.3">
      <c r="A119" s="163" t="s">
        <v>236</v>
      </c>
      <c r="B119" s="164">
        <v>2006</v>
      </c>
      <c r="C119" s="167">
        <v>42771583.839999996</v>
      </c>
      <c r="D119" s="167">
        <v>80074717.379999995</v>
      </c>
      <c r="E119" s="167">
        <v>123060712.64</v>
      </c>
      <c r="F119" s="167">
        <v>142459538.49000001</v>
      </c>
      <c r="G119" s="167">
        <v>151690961.36000001</v>
      </c>
      <c r="H119" s="167">
        <v>156801717.81</v>
      </c>
      <c r="I119" s="167">
        <v>156967669.34</v>
      </c>
      <c r="J119" s="167">
        <v>157301326.56999999</v>
      </c>
      <c r="K119" s="167">
        <v>157064143.75999999</v>
      </c>
      <c r="L119" s="167">
        <v>157976202.31999999</v>
      </c>
      <c r="M119" s="168"/>
      <c r="N119" s="168"/>
      <c r="O119" s="168"/>
      <c r="P119" s="168"/>
      <c r="Q119" s="168"/>
      <c r="R119" s="168"/>
      <c r="S119" s="168"/>
      <c r="T119" s="168"/>
      <c r="U119" s="168"/>
      <c r="V119" s="168"/>
      <c r="W119" s="168"/>
      <c r="X119" s="167">
        <v>157976202.31999999</v>
      </c>
    </row>
    <row r="120" spans="1:24" ht="14.4" x14ac:dyDescent="0.3">
      <c r="A120" s="163" t="s">
        <v>236</v>
      </c>
      <c r="B120" s="164">
        <v>2007</v>
      </c>
      <c r="C120" s="167">
        <v>52783040.629999995</v>
      </c>
      <c r="D120" s="167">
        <v>109825761.19</v>
      </c>
      <c r="E120" s="167">
        <v>136977545.69999999</v>
      </c>
      <c r="F120" s="167">
        <v>154210818.59999999</v>
      </c>
      <c r="G120" s="167">
        <v>162207233.28</v>
      </c>
      <c r="H120" s="167">
        <v>168022916.26000005</v>
      </c>
      <c r="I120" s="167">
        <v>172998345.34999999</v>
      </c>
      <c r="J120" s="167">
        <v>178301164.62</v>
      </c>
      <c r="K120" s="167">
        <v>179398428.63999999</v>
      </c>
      <c r="L120" s="168"/>
      <c r="M120" s="168"/>
      <c r="N120" s="168"/>
      <c r="O120" s="168"/>
      <c r="P120" s="168"/>
      <c r="Q120" s="168"/>
      <c r="R120" s="168"/>
      <c r="S120" s="168"/>
      <c r="T120" s="168"/>
      <c r="U120" s="168"/>
      <c r="V120" s="168"/>
      <c r="W120" s="168"/>
      <c r="X120" s="167">
        <v>179398428.63999999</v>
      </c>
    </row>
    <row r="121" spans="1:24" ht="14.4" x14ac:dyDescent="0.3">
      <c r="A121" s="163" t="s">
        <v>236</v>
      </c>
      <c r="B121" s="164">
        <v>2008</v>
      </c>
      <c r="C121" s="167">
        <v>43887081.519999996</v>
      </c>
      <c r="D121" s="167">
        <v>91820765.520000011</v>
      </c>
      <c r="E121" s="167">
        <v>129288755.49000001</v>
      </c>
      <c r="F121" s="167">
        <v>152879144</v>
      </c>
      <c r="G121" s="167">
        <v>172368409.63</v>
      </c>
      <c r="H121" s="167">
        <v>178832594.06999999</v>
      </c>
      <c r="I121" s="167">
        <v>182155530.25</v>
      </c>
      <c r="J121" s="167">
        <v>182679629.61000001</v>
      </c>
      <c r="K121" s="168"/>
      <c r="L121" s="168"/>
      <c r="M121" s="168"/>
      <c r="N121" s="168"/>
      <c r="O121" s="168"/>
      <c r="P121" s="168"/>
      <c r="Q121" s="168"/>
      <c r="R121" s="168"/>
      <c r="S121" s="168"/>
      <c r="T121" s="168"/>
      <c r="U121" s="168"/>
      <c r="V121" s="168"/>
      <c r="W121" s="168"/>
      <c r="X121" s="167">
        <v>182679629.61000001</v>
      </c>
    </row>
    <row r="122" spans="1:24" ht="14.4" x14ac:dyDescent="0.3">
      <c r="A122" s="163" t="s">
        <v>236</v>
      </c>
      <c r="B122" s="164">
        <v>2009</v>
      </c>
      <c r="C122" s="167">
        <v>39831391.110000007</v>
      </c>
      <c r="D122" s="167">
        <v>109011480.38</v>
      </c>
      <c r="E122" s="167">
        <v>157326736.43000004</v>
      </c>
      <c r="F122" s="167">
        <v>205118271.66999999</v>
      </c>
      <c r="G122" s="167">
        <v>217074324.93000001</v>
      </c>
      <c r="H122" s="167">
        <v>227290838.09000003</v>
      </c>
      <c r="I122" s="167">
        <v>226723737.15000004</v>
      </c>
      <c r="J122" s="168"/>
      <c r="K122" s="168"/>
      <c r="L122" s="168"/>
      <c r="M122" s="168"/>
      <c r="N122" s="168"/>
      <c r="O122" s="168"/>
      <c r="P122" s="168"/>
      <c r="Q122" s="168"/>
      <c r="R122" s="168"/>
      <c r="S122" s="168"/>
      <c r="T122" s="168"/>
      <c r="U122" s="168"/>
      <c r="V122" s="168"/>
      <c r="W122" s="168"/>
      <c r="X122" s="167">
        <v>226723737.15000004</v>
      </c>
    </row>
    <row r="123" spans="1:24" ht="14.4" x14ac:dyDescent="0.3">
      <c r="A123" s="163" t="s">
        <v>236</v>
      </c>
      <c r="B123" s="164">
        <v>2010</v>
      </c>
      <c r="C123" s="167">
        <v>44676477.310000002</v>
      </c>
      <c r="D123" s="167">
        <v>109803659.98999998</v>
      </c>
      <c r="E123" s="167">
        <v>153953758.16</v>
      </c>
      <c r="F123" s="167">
        <v>198472549.70000002</v>
      </c>
      <c r="G123" s="167">
        <v>222158353.24000001</v>
      </c>
      <c r="H123" s="167">
        <v>221723931.96999997</v>
      </c>
      <c r="I123" s="168"/>
      <c r="J123" s="168"/>
      <c r="K123" s="168"/>
      <c r="L123" s="168"/>
      <c r="M123" s="168"/>
      <c r="N123" s="168"/>
      <c r="O123" s="168"/>
      <c r="P123" s="168"/>
      <c r="Q123" s="168"/>
      <c r="R123" s="168"/>
      <c r="S123" s="168"/>
      <c r="T123" s="168"/>
      <c r="U123" s="168"/>
      <c r="V123" s="168"/>
      <c r="W123" s="168"/>
      <c r="X123" s="167">
        <v>221723931.96999997</v>
      </c>
    </row>
    <row r="124" spans="1:24" ht="14.4" x14ac:dyDescent="0.3">
      <c r="A124" s="163" t="s">
        <v>236</v>
      </c>
      <c r="B124" s="164">
        <v>2011</v>
      </c>
      <c r="C124" s="167">
        <v>51048093.160000004</v>
      </c>
      <c r="D124" s="167">
        <v>95687403.769999996</v>
      </c>
      <c r="E124" s="167">
        <v>143228393.54999998</v>
      </c>
      <c r="F124" s="167">
        <v>225685706.16000003</v>
      </c>
      <c r="G124" s="167">
        <v>285642225.97000003</v>
      </c>
      <c r="H124" s="168"/>
      <c r="I124" s="168"/>
      <c r="J124" s="168"/>
      <c r="K124" s="168"/>
      <c r="L124" s="168"/>
      <c r="M124" s="168"/>
      <c r="N124" s="168"/>
      <c r="O124" s="168"/>
      <c r="P124" s="168"/>
      <c r="Q124" s="168"/>
      <c r="R124" s="168"/>
      <c r="S124" s="168"/>
      <c r="T124" s="168"/>
      <c r="U124" s="168"/>
      <c r="V124" s="168"/>
      <c r="W124" s="168"/>
      <c r="X124" s="167">
        <v>285642225.97000003</v>
      </c>
    </row>
    <row r="125" spans="1:24" ht="14.4" x14ac:dyDescent="0.3">
      <c r="A125" s="163" t="s">
        <v>236</v>
      </c>
      <c r="B125" s="164">
        <v>2012</v>
      </c>
      <c r="C125" s="167">
        <v>22190725.989999998</v>
      </c>
      <c r="D125" s="167">
        <v>66100328.810000002</v>
      </c>
      <c r="E125" s="167">
        <v>107187410.39</v>
      </c>
      <c r="F125" s="167">
        <v>121597862.91999999</v>
      </c>
      <c r="G125" s="168"/>
      <c r="H125" s="168"/>
      <c r="I125" s="168"/>
      <c r="J125" s="168"/>
      <c r="K125" s="168"/>
      <c r="L125" s="168"/>
      <c r="M125" s="168"/>
      <c r="N125" s="168"/>
      <c r="O125" s="168"/>
      <c r="P125" s="168"/>
      <c r="Q125" s="168"/>
      <c r="R125" s="168"/>
      <c r="S125" s="168"/>
      <c r="T125" s="168"/>
      <c r="U125" s="168"/>
      <c r="V125" s="168"/>
      <c r="W125" s="168"/>
      <c r="X125" s="167">
        <v>121597862.91999999</v>
      </c>
    </row>
    <row r="126" spans="1:24" ht="14.4" x14ac:dyDescent="0.3">
      <c r="A126" s="163" t="s">
        <v>236</v>
      </c>
      <c r="B126" s="164">
        <v>2013</v>
      </c>
      <c r="C126" s="167">
        <v>21441264.680000007</v>
      </c>
      <c r="D126" s="167">
        <v>76275950.469999999</v>
      </c>
      <c r="E126" s="167">
        <v>101578707.70999999</v>
      </c>
      <c r="F126" s="168"/>
      <c r="G126" s="168"/>
      <c r="H126" s="168"/>
      <c r="I126" s="168"/>
      <c r="J126" s="168"/>
      <c r="K126" s="168"/>
      <c r="L126" s="168"/>
      <c r="M126" s="168"/>
      <c r="N126" s="168"/>
      <c r="O126" s="168"/>
      <c r="P126" s="168"/>
      <c r="Q126" s="168"/>
      <c r="R126" s="168"/>
      <c r="S126" s="168"/>
      <c r="T126" s="168"/>
      <c r="U126" s="168"/>
      <c r="V126" s="168"/>
      <c r="W126" s="168"/>
      <c r="X126" s="167">
        <v>101578707.70999999</v>
      </c>
    </row>
    <row r="127" spans="1:24" ht="14.4" x14ac:dyDescent="0.3">
      <c r="A127" s="163" t="s">
        <v>236</v>
      </c>
      <c r="B127" s="164">
        <v>2014</v>
      </c>
      <c r="C127" s="167">
        <v>31288923.509999998</v>
      </c>
      <c r="D127" s="167">
        <v>64880924.509999998</v>
      </c>
      <c r="E127" s="168"/>
      <c r="F127" s="168"/>
      <c r="G127" s="168"/>
      <c r="H127" s="168"/>
      <c r="I127" s="168"/>
      <c r="J127" s="168"/>
      <c r="K127" s="168"/>
      <c r="L127" s="168"/>
      <c r="M127" s="168"/>
      <c r="N127" s="168"/>
      <c r="O127" s="168"/>
      <c r="P127" s="168"/>
      <c r="Q127" s="168"/>
      <c r="R127" s="168"/>
      <c r="S127" s="168"/>
      <c r="T127" s="168"/>
      <c r="U127" s="168"/>
      <c r="V127" s="168"/>
      <c r="W127" s="168"/>
      <c r="X127" s="167">
        <v>64880924.509999998</v>
      </c>
    </row>
    <row r="128" spans="1:24" ht="14.4" x14ac:dyDescent="0.3">
      <c r="A128" s="163" t="s">
        <v>236</v>
      </c>
      <c r="B128" s="164">
        <v>2015</v>
      </c>
      <c r="C128" s="167">
        <v>16610900.420000002</v>
      </c>
      <c r="D128" s="168"/>
      <c r="E128" s="168"/>
      <c r="F128" s="168"/>
      <c r="G128" s="168"/>
      <c r="H128" s="168"/>
      <c r="I128" s="168"/>
      <c r="J128" s="168"/>
      <c r="K128" s="168"/>
      <c r="L128" s="168"/>
      <c r="M128" s="168"/>
      <c r="N128" s="168"/>
      <c r="O128" s="168"/>
      <c r="P128" s="168"/>
      <c r="Q128" s="168"/>
      <c r="R128" s="168"/>
      <c r="S128" s="168"/>
      <c r="T128" s="168"/>
      <c r="U128" s="168"/>
      <c r="V128" s="168"/>
      <c r="W128" s="168"/>
      <c r="X128" s="167">
        <v>16610900.420000002</v>
      </c>
    </row>
    <row r="129" spans="1:24" s="136" customFormat="1" ht="14.4" x14ac:dyDescent="0.3">
      <c r="A129" s="163" t="s">
        <v>237</v>
      </c>
      <c r="B129" s="164">
        <v>1995</v>
      </c>
      <c r="C129" s="167">
        <v>10489908.77</v>
      </c>
      <c r="D129" s="167">
        <v>30964602.989999998</v>
      </c>
      <c r="E129" s="167">
        <v>27368595.82</v>
      </c>
      <c r="F129" s="167">
        <v>38322078.200000003</v>
      </c>
      <c r="G129" s="167">
        <v>31456467.069999997</v>
      </c>
      <c r="H129" s="167">
        <v>33632154.909999996</v>
      </c>
      <c r="I129" s="167">
        <v>31605215.389999997</v>
      </c>
      <c r="J129" s="167">
        <v>32818423.949999999</v>
      </c>
      <c r="K129" s="167">
        <v>33335468.16</v>
      </c>
      <c r="L129" s="167">
        <v>34015323.900000006</v>
      </c>
      <c r="M129" s="167">
        <v>34263820.210000001</v>
      </c>
      <c r="N129" s="167">
        <v>34425626.990000002</v>
      </c>
      <c r="O129" s="167">
        <v>33621626.599999994</v>
      </c>
      <c r="P129" s="167">
        <v>33657306.060000002</v>
      </c>
      <c r="Q129" s="167">
        <v>33617078.719999999</v>
      </c>
      <c r="R129" s="167">
        <v>33617077.719999999</v>
      </c>
      <c r="S129" s="167">
        <v>33636278.829999998</v>
      </c>
      <c r="T129" s="167">
        <v>33631278.829999998</v>
      </c>
      <c r="U129" s="167">
        <v>33631278.829999998</v>
      </c>
      <c r="V129" s="167">
        <v>33882129.829999998</v>
      </c>
      <c r="W129" s="167">
        <v>33728399.829999998</v>
      </c>
      <c r="X129" s="167">
        <v>33728399.829999998</v>
      </c>
    </row>
    <row r="130" spans="1:24" s="136" customFormat="1" ht="14.4" x14ac:dyDescent="0.3">
      <c r="A130" s="163" t="s">
        <v>237</v>
      </c>
      <c r="B130" s="164">
        <v>1996</v>
      </c>
      <c r="C130" s="167">
        <v>14870914.470000001</v>
      </c>
      <c r="D130" s="167">
        <v>36412143.299999997</v>
      </c>
      <c r="E130" s="167">
        <v>47829844.450000003</v>
      </c>
      <c r="F130" s="167">
        <v>43633520.590000004</v>
      </c>
      <c r="G130" s="167">
        <v>47359600.819999993</v>
      </c>
      <c r="H130" s="167">
        <v>51869403.480000004</v>
      </c>
      <c r="I130" s="167">
        <v>47375588.93</v>
      </c>
      <c r="J130" s="167">
        <v>48839704.960000001</v>
      </c>
      <c r="K130" s="167">
        <v>49263318.730000004</v>
      </c>
      <c r="L130" s="167">
        <v>49379247.68</v>
      </c>
      <c r="M130" s="167">
        <v>49297210.390000001</v>
      </c>
      <c r="N130" s="167">
        <v>51108261.310000002</v>
      </c>
      <c r="O130" s="167">
        <v>49826227.970000006</v>
      </c>
      <c r="P130" s="167">
        <v>50057965.710000001</v>
      </c>
      <c r="Q130" s="167">
        <v>49909026.920000002</v>
      </c>
      <c r="R130" s="167">
        <v>49908286.110000007</v>
      </c>
      <c r="S130" s="167">
        <v>49908583.110000007</v>
      </c>
      <c r="T130" s="167">
        <v>49908583.110000007</v>
      </c>
      <c r="U130" s="167">
        <v>50409622.430000007</v>
      </c>
      <c r="V130" s="167">
        <v>50408923.430000007</v>
      </c>
      <c r="W130" s="168"/>
      <c r="X130" s="167">
        <v>50408923.430000007</v>
      </c>
    </row>
    <row r="131" spans="1:24" s="136" customFormat="1" ht="14.4" x14ac:dyDescent="0.3">
      <c r="A131" s="163" t="s">
        <v>237</v>
      </c>
      <c r="B131" s="164">
        <v>1997</v>
      </c>
      <c r="C131" s="167">
        <v>21497614.349999998</v>
      </c>
      <c r="D131" s="167">
        <v>51384023.719999999</v>
      </c>
      <c r="E131" s="167">
        <v>69688957.340000004</v>
      </c>
      <c r="F131" s="167">
        <v>100263137.11</v>
      </c>
      <c r="G131" s="167">
        <v>109291933.66999999</v>
      </c>
      <c r="H131" s="167">
        <v>108011751.86999999</v>
      </c>
      <c r="I131" s="167">
        <v>107702680.19999999</v>
      </c>
      <c r="J131" s="167">
        <v>110251616.10999998</v>
      </c>
      <c r="K131" s="167">
        <v>111118960.34999999</v>
      </c>
      <c r="L131" s="167">
        <v>113113290.54999998</v>
      </c>
      <c r="M131" s="167">
        <v>112574395.77999999</v>
      </c>
      <c r="N131" s="167">
        <v>115232626.22999999</v>
      </c>
      <c r="O131" s="167">
        <v>115397066.72999999</v>
      </c>
      <c r="P131" s="167">
        <v>113861044.76999998</v>
      </c>
      <c r="Q131" s="167">
        <v>112768587.57999998</v>
      </c>
      <c r="R131" s="167">
        <v>112234022.86999999</v>
      </c>
      <c r="S131" s="167">
        <v>112231219.78999999</v>
      </c>
      <c r="T131" s="167">
        <v>112359554.83999999</v>
      </c>
      <c r="U131" s="167">
        <v>112359654.83999999</v>
      </c>
      <c r="V131" s="168"/>
      <c r="W131" s="168"/>
      <c r="X131" s="167">
        <v>112359654.83999999</v>
      </c>
    </row>
    <row r="132" spans="1:24" s="136" customFormat="1" ht="14.4" x14ac:dyDescent="0.3">
      <c r="A132" s="163" t="s">
        <v>237</v>
      </c>
      <c r="B132" s="164">
        <v>1998</v>
      </c>
      <c r="C132" s="167">
        <v>10580641.41</v>
      </c>
      <c r="D132" s="167">
        <v>48859223.369999997</v>
      </c>
      <c r="E132" s="167">
        <v>64322747.530000009</v>
      </c>
      <c r="F132" s="167">
        <v>88294682.770000011</v>
      </c>
      <c r="G132" s="167">
        <v>96461003.010000005</v>
      </c>
      <c r="H132" s="167">
        <v>107564430.04000001</v>
      </c>
      <c r="I132" s="167">
        <v>119193273</v>
      </c>
      <c r="J132" s="167">
        <v>127214613.00999999</v>
      </c>
      <c r="K132" s="167">
        <v>126625219.2</v>
      </c>
      <c r="L132" s="167">
        <v>132888759.7</v>
      </c>
      <c r="M132" s="167">
        <v>132172880.80000001</v>
      </c>
      <c r="N132" s="167">
        <v>136055669.28</v>
      </c>
      <c r="O132" s="167">
        <v>137020818.34</v>
      </c>
      <c r="P132" s="167">
        <v>136371138.72</v>
      </c>
      <c r="Q132" s="167">
        <v>136371138.72</v>
      </c>
      <c r="R132" s="167">
        <v>136370944.71000001</v>
      </c>
      <c r="S132" s="167">
        <v>131166984.76000001</v>
      </c>
      <c r="T132" s="167">
        <v>131170585.37</v>
      </c>
      <c r="U132" s="168"/>
      <c r="V132" s="168"/>
      <c r="W132" s="168"/>
      <c r="X132" s="167">
        <v>131170585.37</v>
      </c>
    </row>
    <row r="133" spans="1:24" s="136" customFormat="1" ht="14.4" x14ac:dyDescent="0.3">
      <c r="A133" s="163" t="s">
        <v>237</v>
      </c>
      <c r="B133" s="164">
        <v>1999</v>
      </c>
      <c r="C133" s="167">
        <v>31351032.66</v>
      </c>
      <c r="D133" s="167">
        <v>121385624.31999999</v>
      </c>
      <c r="E133" s="167">
        <v>143317629.84</v>
      </c>
      <c r="F133" s="167">
        <v>159717820.31999999</v>
      </c>
      <c r="G133" s="167">
        <v>178286873.06</v>
      </c>
      <c r="H133" s="167">
        <v>200483200.22999999</v>
      </c>
      <c r="I133" s="167">
        <v>209933880.47999999</v>
      </c>
      <c r="J133" s="167">
        <v>200429595.91000003</v>
      </c>
      <c r="K133" s="167">
        <v>202776087.80000001</v>
      </c>
      <c r="L133" s="167">
        <v>209230496.22999999</v>
      </c>
      <c r="M133" s="167">
        <v>207862376.25</v>
      </c>
      <c r="N133" s="167">
        <v>208125522.15999997</v>
      </c>
      <c r="O133" s="167">
        <v>207814168.21999997</v>
      </c>
      <c r="P133" s="167">
        <v>207830488.91999999</v>
      </c>
      <c r="Q133" s="167">
        <v>207654079.14999998</v>
      </c>
      <c r="R133" s="167">
        <v>206922477.12</v>
      </c>
      <c r="S133" s="167">
        <v>206921582.12</v>
      </c>
      <c r="T133" s="168"/>
      <c r="U133" s="168"/>
      <c r="V133" s="168"/>
      <c r="W133" s="168"/>
      <c r="X133" s="167">
        <v>206921582.12</v>
      </c>
    </row>
    <row r="134" spans="1:24" s="136" customFormat="1" ht="14.4" x14ac:dyDescent="0.3">
      <c r="A134" s="163" t="s">
        <v>237</v>
      </c>
      <c r="B134" s="164">
        <v>2000</v>
      </c>
      <c r="C134" s="167">
        <v>27370268.75</v>
      </c>
      <c r="D134" s="167">
        <v>57541775.710000001</v>
      </c>
      <c r="E134" s="167">
        <v>81242439.219999999</v>
      </c>
      <c r="F134" s="167">
        <v>107288412.7</v>
      </c>
      <c r="G134" s="167">
        <v>126645557.06</v>
      </c>
      <c r="H134" s="167">
        <v>149199411.01999998</v>
      </c>
      <c r="I134" s="167">
        <v>151883030.70999998</v>
      </c>
      <c r="J134" s="167">
        <v>154732987.31</v>
      </c>
      <c r="K134" s="167">
        <v>154231654.39000002</v>
      </c>
      <c r="L134" s="167">
        <v>156246000.07999998</v>
      </c>
      <c r="M134" s="167">
        <v>157022337.09</v>
      </c>
      <c r="N134" s="167">
        <v>156796975.90000001</v>
      </c>
      <c r="O134" s="167">
        <v>156297123.40000001</v>
      </c>
      <c r="P134" s="167">
        <v>156299381.41</v>
      </c>
      <c r="Q134" s="167">
        <v>149237518.10000002</v>
      </c>
      <c r="R134" s="167">
        <v>149236621.10000002</v>
      </c>
      <c r="S134" s="168"/>
      <c r="T134" s="168"/>
      <c r="U134" s="168"/>
      <c r="V134" s="168"/>
      <c r="W134" s="168"/>
      <c r="X134" s="167">
        <v>149236621.10000002</v>
      </c>
    </row>
    <row r="135" spans="1:24" s="136" customFormat="1" ht="14.4" x14ac:dyDescent="0.3">
      <c r="A135" s="163" t="s">
        <v>237</v>
      </c>
      <c r="B135" s="164">
        <v>2001</v>
      </c>
      <c r="C135" s="167">
        <v>17159647.239999998</v>
      </c>
      <c r="D135" s="167">
        <v>37495487.939999998</v>
      </c>
      <c r="E135" s="167">
        <v>59163590.250000007</v>
      </c>
      <c r="F135" s="167">
        <v>90817912</v>
      </c>
      <c r="G135" s="167">
        <v>99423244.169999987</v>
      </c>
      <c r="H135" s="167">
        <v>106081444.35000001</v>
      </c>
      <c r="I135" s="167">
        <v>114886226.25</v>
      </c>
      <c r="J135" s="167">
        <v>115832051.64000002</v>
      </c>
      <c r="K135" s="167">
        <v>115501309.66</v>
      </c>
      <c r="L135" s="167">
        <v>111874119.57000001</v>
      </c>
      <c r="M135" s="167">
        <v>97175352.769999996</v>
      </c>
      <c r="N135" s="167">
        <v>97484678.479999989</v>
      </c>
      <c r="O135" s="167">
        <v>97988175.989999995</v>
      </c>
      <c r="P135" s="167">
        <v>98594453.829999983</v>
      </c>
      <c r="Q135" s="167">
        <v>98042286.370000005</v>
      </c>
      <c r="R135" s="168"/>
      <c r="S135" s="168"/>
      <c r="T135" s="168"/>
      <c r="U135" s="168"/>
      <c r="V135" s="168"/>
      <c r="W135" s="168"/>
      <c r="X135" s="167">
        <v>98042286.370000005</v>
      </c>
    </row>
    <row r="136" spans="1:24" s="136" customFormat="1" ht="14.4" x14ac:dyDescent="0.3">
      <c r="A136" s="163" t="s">
        <v>237</v>
      </c>
      <c r="B136" s="164">
        <v>2002</v>
      </c>
      <c r="C136" s="167">
        <v>5549640.8300000001</v>
      </c>
      <c r="D136" s="167">
        <v>61041017.940000005</v>
      </c>
      <c r="E136" s="167">
        <v>60744377.93</v>
      </c>
      <c r="F136" s="167">
        <v>77075804.330000013</v>
      </c>
      <c r="G136" s="167">
        <v>81872498.870000005</v>
      </c>
      <c r="H136" s="167">
        <v>84258010.180000007</v>
      </c>
      <c r="I136" s="167">
        <v>86147857.969999999</v>
      </c>
      <c r="J136" s="167">
        <v>84677057.460000008</v>
      </c>
      <c r="K136" s="167">
        <v>86954102.609999985</v>
      </c>
      <c r="L136" s="167">
        <v>87160772.519999981</v>
      </c>
      <c r="M136" s="167">
        <v>87344793.979999989</v>
      </c>
      <c r="N136" s="167">
        <v>88158142.519999981</v>
      </c>
      <c r="O136" s="167">
        <v>92951234.999999985</v>
      </c>
      <c r="P136" s="167">
        <v>93248544.75</v>
      </c>
      <c r="Q136" s="168"/>
      <c r="R136" s="168"/>
      <c r="S136" s="168"/>
      <c r="T136" s="168"/>
      <c r="U136" s="168"/>
      <c r="V136" s="168"/>
      <c r="W136" s="168"/>
      <c r="X136" s="167">
        <v>93248544.75</v>
      </c>
    </row>
    <row r="137" spans="1:24" s="136" customFormat="1" ht="14.4" x14ac:dyDescent="0.3">
      <c r="A137" s="163" t="s">
        <v>237</v>
      </c>
      <c r="B137" s="164">
        <v>2003</v>
      </c>
      <c r="C137" s="167">
        <v>17676902.399999999</v>
      </c>
      <c r="D137" s="167">
        <v>25548473.830000006</v>
      </c>
      <c r="E137" s="167">
        <v>43544252.130000003</v>
      </c>
      <c r="F137" s="167">
        <v>43384392.030000001</v>
      </c>
      <c r="G137" s="167">
        <v>54620827.390000001</v>
      </c>
      <c r="H137" s="167">
        <v>58539090.310000002</v>
      </c>
      <c r="I137" s="167">
        <v>65681184.190000005</v>
      </c>
      <c r="J137" s="167">
        <v>65263068.510000005</v>
      </c>
      <c r="K137" s="167">
        <v>64476800.280000001</v>
      </c>
      <c r="L137" s="167">
        <v>64594603.57</v>
      </c>
      <c r="M137" s="167">
        <v>64445801.690000005</v>
      </c>
      <c r="N137" s="167">
        <v>64380113.790000007</v>
      </c>
      <c r="O137" s="167">
        <v>62303944.049999997</v>
      </c>
      <c r="P137" s="168"/>
      <c r="Q137" s="168"/>
      <c r="R137" s="168"/>
      <c r="S137" s="168"/>
      <c r="T137" s="168"/>
      <c r="U137" s="168"/>
      <c r="V137" s="168"/>
      <c r="W137" s="168"/>
      <c r="X137" s="167">
        <v>62303944.049999997</v>
      </c>
    </row>
    <row r="138" spans="1:24" s="136" customFormat="1" ht="14.4" x14ac:dyDescent="0.3">
      <c r="A138" s="163" t="s">
        <v>237</v>
      </c>
      <c r="B138" s="164">
        <v>2004</v>
      </c>
      <c r="C138" s="167">
        <v>14131822.130000001</v>
      </c>
      <c r="D138" s="167">
        <v>35988849.280000001</v>
      </c>
      <c r="E138" s="167">
        <v>45829945.029999994</v>
      </c>
      <c r="F138" s="167">
        <v>62874108.640000008</v>
      </c>
      <c r="G138" s="167">
        <v>71294505.210000008</v>
      </c>
      <c r="H138" s="167">
        <v>71051807.530000001</v>
      </c>
      <c r="I138" s="167">
        <v>69897796.150000006</v>
      </c>
      <c r="J138" s="167">
        <v>76619023.039999992</v>
      </c>
      <c r="K138" s="167">
        <v>77707576.469999999</v>
      </c>
      <c r="L138" s="167">
        <v>78309483.709999993</v>
      </c>
      <c r="M138" s="167">
        <v>78309471.709999993</v>
      </c>
      <c r="N138" s="167">
        <v>78510717.209999993</v>
      </c>
      <c r="O138" s="168"/>
      <c r="P138" s="168"/>
      <c r="Q138" s="168"/>
      <c r="R138" s="168"/>
      <c r="S138" s="168"/>
      <c r="T138" s="168"/>
      <c r="U138" s="168"/>
      <c r="V138" s="168"/>
      <c r="W138" s="168"/>
      <c r="X138" s="167">
        <v>78510717.209999993</v>
      </c>
    </row>
    <row r="139" spans="1:24" s="136" customFormat="1" ht="14.4" x14ac:dyDescent="0.3">
      <c r="A139" s="163" t="s">
        <v>237</v>
      </c>
      <c r="B139" s="164">
        <v>2005</v>
      </c>
      <c r="C139" s="167">
        <v>15321025.199999999</v>
      </c>
      <c r="D139" s="167">
        <v>34850437.629999995</v>
      </c>
      <c r="E139" s="167">
        <v>53220261.480000004</v>
      </c>
      <c r="F139" s="167">
        <v>56797495.369999997</v>
      </c>
      <c r="G139" s="167">
        <v>57596871.079999998</v>
      </c>
      <c r="H139" s="167">
        <v>57606351.969999999</v>
      </c>
      <c r="I139" s="167">
        <v>58416882.640000001</v>
      </c>
      <c r="J139" s="167">
        <v>60766654.119999997</v>
      </c>
      <c r="K139" s="167">
        <v>58246399.929999992</v>
      </c>
      <c r="L139" s="167">
        <v>59272133.719999999</v>
      </c>
      <c r="M139" s="167">
        <v>59247128.719999999</v>
      </c>
      <c r="N139" s="168"/>
      <c r="O139" s="168"/>
      <c r="P139" s="168"/>
      <c r="Q139" s="168"/>
      <c r="R139" s="168"/>
      <c r="S139" s="168"/>
      <c r="T139" s="168"/>
      <c r="U139" s="168"/>
      <c r="V139" s="168"/>
      <c r="W139" s="168"/>
      <c r="X139" s="167">
        <v>59247128.719999999</v>
      </c>
    </row>
    <row r="140" spans="1:24" s="136" customFormat="1" ht="14.4" x14ac:dyDescent="0.3">
      <c r="A140" s="163" t="s">
        <v>237</v>
      </c>
      <c r="B140" s="164">
        <v>2006</v>
      </c>
      <c r="C140" s="167">
        <v>13130746.129999999</v>
      </c>
      <c r="D140" s="167">
        <v>42316019.109999999</v>
      </c>
      <c r="E140" s="167">
        <v>54214049.860000007</v>
      </c>
      <c r="F140" s="167">
        <v>63143717.25</v>
      </c>
      <c r="G140" s="167">
        <v>65636054.830000006</v>
      </c>
      <c r="H140" s="167">
        <v>65813420.110000007</v>
      </c>
      <c r="I140" s="167">
        <v>69087581.819999993</v>
      </c>
      <c r="J140" s="167">
        <v>67712059.140000001</v>
      </c>
      <c r="K140" s="167">
        <v>68255946.230000004</v>
      </c>
      <c r="L140" s="167">
        <v>67006275.5</v>
      </c>
      <c r="M140" s="168"/>
      <c r="N140" s="168"/>
      <c r="O140" s="168"/>
      <c r="P140" s="168"/>
      <c r="Q140" s="168"/>
      <c r="R140" s="168"/>
      <c r="S140" s="168"/>
      <c r="T140" s="168"/>
      <c r="U140" s="168"/>
      <c r="V140" s="168"/>
      <c r="W140" s="168"/>
      <c r="X140" s="167">
        <v>67006275.5</v>
      </c>
    </row>
    <row r="141" spans="1:24" s="136" customFormat="1" ht="14.4" x14ac:dyDescent="0.3">
      <c r="A141" s="163" t="s">
        <v>237</v>
      </c>
      <c r="B141" s="164">
        <v>2007</v>
      </c>
      <c r="C141" s="167">
        <v>20845234.23</v>
      </c>
      <c r="D141" s="167">
        <v>46870985.329999998</v>
      </c>
      <c r="E141" s="167">
        <v>56009285.210000008</v>
      </c>
      <c r="F141" s="167">
        <v>62742614.409999989</v>
      </c>
      <c r="G141" s="167">
        <v>78279693.379999995</v>
      </c>
      <c r="H141" s="167">
        <v>75478949.780000001</v>
      </c>
      <c r="I141" s="167">
        <v>71420591.519999996</v>
      </c>
      <c r="J141" s="167">
        <v>71677561.620000005</v>
      </c>
      <c r="K141" s="167">
        <v>72408365.389999986</v>
      </c>
      <c r="L141" s="168"/>
      <c r="M141" s="168"/>
      <c r="N141" s="168"/>
      <c r="O141" s="168"/>
      <c r="P141" s="168"/>
      <c r="Q141" s="168"/>
      <c r="R141" s="168"/>
      <c r="S141" s="168"/>
      <c r="T141" s="168"/>
      <c r="U141" s="168"/>
      <c r="V141" s="168"/>
      <c r="W141" s="168"/>
      <c r="X141" s="167">
        <v>72408365.389999986</v>
      </c>
    </row>
    <row r="142" spans="1:24" s="136" customFormat="1" ht="14.4" x14ac:dyDescent="0.3">
      <c r="A142" s="163" t="s">
        <v>237</v>
      </c>
      <c r="B142" s="164">
        <v>2008</v>
      </c>
      <c r="C142" s="167">
        <v>13091709.5</v>
      </c>
      <c r="D142" s="167">
        <v>43819878.060000002</v>
      </c>
      <c r="E142" s="167">
        <v>57115819.330000006</v>
      </c>
      <c r="F142" s="167">
        <v>74976465.019999996</v>
      </c>
      <c r="G142" s="167">
        <v>76982756.560000002</v>
      </c>
      <c r="H142" s="167">
        <v>76580692.769999996</v>
      </c>
      <c r="I142" s="167">
        <v>76622482.200000003</v>
      </c>
      <c r="J142" s="167">
        <v>77677167.609999999</v>
      </c>
      <c r="K142" s="168"/>
      <c r="L142" s="168"/>
      <c r="M142" s="168"/>
      <c r="N142" s="168"/>
      <c r="O142" s="168"/>
      <c r="P142" s="168"/>
      <c r="Q142" s="168"/>
      <c r="R142" s="168"/>
      <c r="S142" s="168"/>
      <c r="T142" s="168"/>
      <c r="U142" s="168"/>
      <c r="V142" s="168"/>
      <c r="W142" s="168"/>
      <c r="X142" s="167">
        <v>77677167.609999999</v>
      </c>
    </row>
    <row r="143" spans="1:24" ht="14.4" x14ac:dyDescent="0.3">
      <c r="A143" s="163" t="s">
        <v>237</v>
      </c>
      <c r="B143" s="164">
        <v>2009</v>
      </c>
      <c r="C143" s="167">
        <v>7428489.8300000001</v>
      </c>
      <c r="D143" s="167">
        <v>59450530.75</v>
      </c>
      <c r="E143" s="167">
        <v>77105117</v>
      </c>
      <c r="F143" s="167">
        <v>94279838.790000007</v>
      </c>
      <c r="G143" s="167">
        <v>97334009.340000004</v>
      </c>
      <c r="H143" s="167">
        <v>101146748.94999999</v>
      </c>
      <c r="I143" s="167">
        <v>97892213.810000002</v>
      </c>
      <c r="J143" s="168"/>
      <c r="K143" s="168"/>
      <c r="L143" s="168"/>
      <c r="M143" s="168"/>
      <c r="N143" s="168"/>
      <c r="O143" s="168"/>
      <c r="P143" s="168"/>
      <c r="Q143" s="168"/>
      <c r="R143" s="168"/>
      <c r="S143" s="168"/>
      <c r="T143" s="168"/>
      <c r="U143" s="168"/>
      <c r="V143" s="168"/>
      <c r="W143" s="168"/>
      <c r="X143" s="167">
        <v>97892213.810000002</v>
      </c>
    </row>
    <row r="144" spans="1:24" ht="14.4" x14ac:dyDescent="0.3">
      <c r="A144" s="163" t="s">
        <v>237</v>
      </c>
      <c r="B144" s="164">
        <v>2010</v>
      </c>
      <c r="C144" s="167">
        <v>5770298.7000000002</v>
      </c>
      <c r="D144" s="167">
        <v>58053335.009999998</v>
      </c>
      <c r="E144" s="167">
        <v>89467490.280000001</v>
      </c>
      <c r="F144" s="167">
        <v>110526869.28</v>
      </c>
      <c r="G144" s="167">
        <v>122394012.22</v>
      </c>
      <c r="H144" s="167">
        <v>120652076.53</v>
      </c>
      <c r="I144" s="168"/>
      <c r="J144" s="168"/>
      <c r="K144" s="168"/>
      <c r="L144" s="168"/>
      <c r="M144" s="168"/>
      <c r="N144" s="168"/>
      <c r="O144" s="168"/>
      <c r="P144" s="168"/>
      <c r="Q144" s="168"/>
      <c r="R144" s="168"/>
      <c r="S144" s="168"/>
      <c r="T144" s="168"/>
      <c r="U144" s="168"/>
      <c r="V144" s="168"/>
      <c r="W144" s="168"/>
      <c r="X144" s="167">
        <v>120652076.53</v>
      </c>
    </row>
    <row r="145" spans="1:25" ht="14.4" x14ac:dyDescent="0.3">
      <c r="A145" s="163" t="s">
        <v>237</v>
      </c>
      <c r="B145" s="164">
        <v>2011</v>
      </c>
      <c r="C145" s="167">
        <v>10159061.66</v>
      </c>
      <c r="D145" s="167">
        <v>49928184.549999997</v>
      </c>
      <c r="E145" s="167">
        <v>93271212.010000005</v>
      </c>
      <c r="F145" s="167">
        <v>110906842.35000001</v>
      </c>
      <c r="G145" s="167">
        <v>130908757.96000001</v>
      </c>
      <c r="H145" s="168"/>
      <c r="I145" s="168"/>
      <c r="J145" s="168"/>
      <c r="K145" s="168"/>
      <c r="L145" s="168"/>
      <c r="M145" s="168"/>
      <c r="N145" s="168"/>
      <c r="O145" s="168"/>
      <c r="P145" s="168"/>
      <c r="Q145" s="168"/>
      <c r="R145" s="168"/>
      <c r="S145" s="168"/>
      <c r="T145" s="168"/>
      <c r="U145" s="168"/>
      <c r="V145" s="168"/>
      <c r="W145" s="168"/>
      <c r="X145" s="167">
        <v>130908757.96000001</v>
      </c>
    </row>
    <row r="146" spans="1:25" ht="14.4" x14ac:dyDescent="0.3">
      <c r="A146" s="163" t="s">
        <v>237</v>
      </c>
      <c r="B146" s="164">
        <v>2012</v>
      </c>
      <c r="C146" s="167">
        <v>16417356.449999999</v>
      </c>
      <c r="D146" s="167">
        <v>70585617.49000001</v>
      </c>
      <c r="E146" s="167">
        <v>102666628.88000001</v>
      </c>
      <c r="F146" s="167">
        <v>105293516.11999999</v>
      </c>
      <c r="G146" s="168"/>
      <c r="H146" s="168"/>
      <c r="I146" s="168"/>
      <c r="J146" s="168"/>
      <c r="K146" s="168"/>
      <c r="L146" s="168"/>
      <c r="M146" s="168"/>
      <c r="N146" s="168"/>
      <c r="O146" s="168"/>
      <c r="P146" s="168"/>
      <c r="Q146" s="168"/>
      <c r="R146" s="168"/>
      <c r="S146" s="168"/>
      <c r="T146" s="168"/>
      <c r="U146" s="168"/>
      <c r="V146" s="168"/>
      <c r="W146" s="168"/>
      <c r="X146" s="167">
        <v>105293516.11999999</v>
      </c>
    </row>
    <row r="147" spans="1:25" ht="14.4" x14ac:dyDescent="0.3">
      <c r="A147" s="163" t="s">
        <v>237</v>
      </c>
      <c r="B147" s="164">
        <v>2013</v>
      </c>
      <c r="C147" s="167">
        <v>16505839.6</v>
      </c>
      <c r="D147" s="167">
        <v>69953355.020000011</v>
      </c>
      <c r="E147" s="167">
        <v>91700933.460000008</v>
      </c>
      <c r="F147" s="168"/>
      <c r="G147" s="168"/>
      <c r="H147" s="168"/>
      <c r="I147" s="168"/>
      <c r="J147" s="168"/>
      <c r="K147" s="168"/>
      <c r="L147" s="168"/>
      <c r="M147" s="168"/>
      <c r="N147" s="168"/>
      <c r="O147" s="168"/>
      <c r="P147" s="168"/>
      <c r="Q147" s="168"/>
      <c r="R147" s="168"/>
      <c r="S147" s="168"/>
      <c r="T147" s="168"/>
      <c r="U147" s="168"/>
      <c r="V147" s="168"/>
      <c r="W147" s="168"/>
      <c r="X147" s="167">
        <v>91700933.460000008</v>
      </c>
    </row>
    <row r="148" spans="1:25" ht="14.4" x14ac:dyDescent="0.3">
      <c r="A148" s="163" t="s">
        <v>237</v>
      </c>
      <c r="B148" s="164">
        <v>2014</v>
      </c>
      <c r="C148" s="167">
        <v>11963041.279999999</v>
      </c>
      <c r="D148" s="167">
        <v>56836063.490000002</v>
      </c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8"/>
      <c r="P148" s="168"/>
      <c r="Q148" s="168"/>
      <c r="R148" s="168"/>
      <c r="S148" s="168"/>
      <c r="T148" s="168"/>
      <c r="U148" s="168"/>
      <c r="V148" s="168"/>
      <c r="W148" s="168"/>
      <c r="X148" s="167">
        <v>56836063.490000002</v>
      </c>
    </row>
    <row r="149" spans="1:25" ht="14.4" x14ac:dyDescent="0.3">
      <c r="A149" s="163" t="s">
        <v>237</v>
      </c>
      <c r="B149" s="164">
        <v>2015</v>
      </c>
      <c r="C149" s="167">
        <v>18493564.27</v>
      </c>
      <c r="D149" s="168"/>
      <c r="E149" s="168"/>
      <c r="F149" s="168"/>
      <c r="G149" s="168"/>
      <c r="H149" s="168"/>
      <c r="I149" s="168"/>
      <c r="J149" s="168"/>
      <c r="K149" s="168"/>
      <c r="L149" s="168"/>
      <c r="M149" s="168"/>
      <c r="N149" s="168"/>
      <c r="O149" s="168"/>
      <c r="P149" s="168"/>
      <c r="Q149" s="168"/>
      <c r="R149" s="168"/>
      <c r="S149" s="168"/>
      <c r="T149" s="168"/>
      <c r="U149" s="168"/>
      <c r="V149" s="168"/>
      <c r="W149" s="168"/>
      <c r="X149" s="167">
        <v>18493564.27</v>
      </c>
    </row>
    <row r="150" spans="1:25" ht="14.4" x14ac:dyDescent="0.3">
      <c r="A150" s="163" t="s">
        <v>238</v>
      </c>
      <c r="B150" s="164">
        <v>1995</v>
      </c>
      <c r="C150" s="167">
        <v>24596533</v>
      </c>
      <c r="D150" s="167">
        <v>20637691.670000002</v>
      </c>
      <c r="E150" s="167">
        <v>29488570.530000001</v>
      </c>
      <c r="F150" s="167">
        <v>41878838.020000003</v>
      </c>
      <c r="G150" s="167">
        <v>46749618.259999998</v>
      </c>
      <c r="H150" s="167">
        <v>50258094.019999996</v>
      </c>
      <c r="I150" s="167">
        <v>55546837.68</v>
      </c>
      <c r="J150" s="167">
        <v>66309194.450000003</v>
      </c>
      <c r="K150" s="167">
        <v>78821796.730000004</v>
      </c>
      <c r="L150" s="167">
        <v>90969868.149999991</v>
      </c>
      <c r="M150" s="167">
        <v>97985270.820000008</v>
      </c>
      <c r="N150" s="167">
        <v>104242146.14</v>
      </c>
      <c r="O150" s="167">
        <v>113558286.86</v>
      </c>
      <c r="P150" s="167">
        <v>122404419.92999999</v>
      </c>
      <c r="Q150" s="167">
        <v>123069034.88000001</v>
      </c>
      <c r="R150" s="167">
        <v>118801388.69000001</v>
      </c>
      <c r="S150" s="167">
        <v>126921564.29000001</v>
      </c>
      <c r="T150" s="167">
        <v>132639149.12</v>
      </c>
      <c r="U150" s="167">
        <v>137212907.59</v>
      </c>
      <c r="V150" s="167">
        <v>142742809.31</v>
      </c>
      <c r="W150" s="167">
        <v>146896290.04000002</v>
      </c>
      <c r="X150" s="167">
        <v>146896290.04000002</v>
      </c>
      <c r="Y150" s="154">
        <f>X150-INDEX($B$150:$W$170,B150-$B$150+1,$B$170-B150+1)</f>
        <v>4153480.7300000191</v>
      </c>
    </row>
    <row r="151" spans="1:25" ht="14.4" x14ac:dyDescent="0.3">
      <c r="A151" s="163" t="s">
        <v>238</v>
      </c>
      <c r="B151" s="164">
        <v>1996</v>
      </c>
      <c r="C151" s="167">
        <v>8892284</v>
      </c>
      <c r="D151" s="167">
        <v>20386595.460000001</v>
      </c>
      <c r="E151" s="167">
        <v>24963430.420000002</v>
      </c>
      <c r="F151" s="167">
        <v>34262701.760000005</v>
      </c>
      <c r="G151" s="167">
        <v>36198020.020000003</v>
      </c>
      <c r="H151" s="167">
        <v>40473633.770000003</v>
      </c>
      <c r="I151" s="167">
        <v>52416414.810000002</v>
      </c>
      <c r="J151" s="167">
        <v>63030523.829999998</v>
      </c>
      <c r="K151" s="167">
        <v>79710876.659999996</v>
      </c>
      <c r="L151" s="167">
        <v>92350611.270000011</v>
      </c>
      <c r="M151" s="167">
        <v>98068802.5</v>
      </c>
      <c r="N151" s="167">
        <v>108722704.45</v>
      </c>
      <c r="O151" s="167">
        <v>109136266.27</v>
      </c>
      <c r="P151" s="167">
        <v>113555108.83</v>
      </c>
      <c r="Q151" s="167">
        <v>115901461.39999999</v>
      </c>
      <c r="R151" s="167">
        <v>132357510.64</v>
      </c>
      <c r="S151" s="167">
        <v>134096040.01000001</v>
      </c>
      <c r="T151" s="167">
        <v>139276949.08999997</v>
      </c>
      <c r="U151" s="167">
        <v>138818500.97999996</v>
      </c>
      <c r="V151" s="167">
        <v>152382363.93999997</v>
      </c>
      <c r="W151" s="168"/>
      <c r="X151" s="167">
        <v>152382363.93999997</v>
      </c>
      <c r="Y151" s="154">
        <f t="shared" ref="Y151:Y170" si="0">X151-INDEX($B$150:$W$170,B151-$B$150+1,$B$170-B151+1)</f>
        <v>13563862.960000008</v>
      </c>
    </row>
    <row r="152" spans="1:25" ht="14.4" x14ac:dyDescent="0.3">
      <c r="A152" s="163" t="s">
        <v>238</v>
      </c>
      <c r="B152" s="164">
        <v>1997</v>
      </c>
      <c r="C152" s="167">
        <v>4872274.54</v>
      </c>
      <c r="D152" s="167">
        <v>37155519.119999997</v>
      </c>
      <c r="E152" s="167">
        <v>45795584.880000003</v>
      </c>
      <c r="F152" s="167">
        <v>52828090.509999998</v>
      </c>
      <c r="G152" s="167">
        <v>63561319.469999999</v>
      </c>
      <c r="H152" s="167">
        <v>65447592.75</v>
      </c>
      <c r="I152" s="167">
        <v>84452952.219999999</v>
      </c>
      <c r="J152" s="167">
        <v>98523694.890000015</v>
      </c>
      <c r="K152" s="167">
        <v>116843855.02000001</v>
      </c>
      <c r="L152" s="167">
        <v>126972251.79000001</v>
      </c>
      <c r="M152" s="167">
        <v>133775601.49000001</v>
      </c>
      <c r="N152" s="167">
        <v>142984192.52000001</v>
      </c>
      <c r="O152" s="167">
        <v>138999622.56</v>
      </c>
      <c r="P152" s="167">
        <v>146241153.60999998</v>
      </c>
      <c r="Q152" s="167">
        <v>149915441.28999999</v>
      </c>
      <c r="R152" s="167">
        <v>151894426.62</v>
      </c>
      <c r="S152" s="167">
        <v>148788202.66</v>
      </c>
      <c r="T152" s="167">
        <v>151054696.32999998</v>
      </c>
      <c r="U152" s="167">
        <v>164711406.95999998</v>
      </c>
      <c r="V152" s="168"/>
      <c r="W152" s="168"/>
      <c r="X152" s="167">
        <v>164711406.95999998</v>
      </c>
      <c r="Y152" s="154">
        <f t="shared" si="0"/>
        <v>13656710.629999995</v>
      </c>
    </row>
    <row r="153" spans="1:25" ht="14.4" x14ac:dyDescent="0.3">
      <c r="A153" s="163" t="s">
        <v>238</v>
      </c>
      <c r="B153" s="164">
        <v>1998</v>
      </c>
      <c r="C153" s="167">
        <v>13015889</v>
      </c>
      <c r="D153" s="167">
        <v>23786563.609999999</v>
      </c>
      <c r="E153" s="167">
        <v>32620789.809999999</v>
      </c>
      <c r="F153" s="167">
        <v>39131507.809999995</v>
      </c>
      <c r="G153" s="167">
        <v>58475654.579999998</v>
      </c>
      <c r="H153" s="167">
        <v>81941211.75999999</v>
      </c>
      <c r="I153" s="167">
        <v>103197311.77</v>
      </c>
      <c r="J153" s="167">
        <v>126152823.33</v>
      </c>
      <c r="K153" s="167">
        <v>139381004.01000002</v>
      </c>
      <c r="L153" s="167">
        <v>146618374.66999999</v>
      </c>
      <c r="M153" s="167">
        <v>168251209.94999999</v>
      </c>
      <c r="N153" s="167">
        <v>172420676.14000002</v>
      </c>
      <c r="O153" s="167">
        <v>174103046.60999998</v>
      </c>
      <c r="P153" s="167">
        <v>184675996.20000002</v>
      </c>
      <c r="Q153" s="167">
        <v>196318494.01000002</v>
      </c>
      <c r="R153" s="167">
        <v>206801238.34999999</v>
      </c>
      <c r="S153" s="167">
        <v>207066851.06999999</v>
      </c>
      <c r="T153" s="167">
        <v>218339473.67000002</v>
      </c>
      <c r="U153" s="168"/>
      <c r="V153" s="168"/>
      <c r="W153" s="168"/>
      <c r="X153" s="167">
        <v>218339473.67000002</v>
      </c>
      <c r="Y153" s="154">
        <f t="shared" si="0"/>
        <v>11272622.600000024</v>
      </c>
    </row>
    <row r="154" spans="1:25" ht="14.4" x14ac:dyDescent="0.3">
      <c r="A154" s="163" t="s">
        <v>238</v>
      </c>
      <c r="B154" s="164">
        <v>1999</v>
      </c>
      <c r="C154" s="167">
        <v>19256470.619999997</v>
      </c>
      <c r="D154" s="167">
        <v>29067774.609999999</v>
      </c>
      <c r="E154" s="167">
        <v>49010029.710000001</v>
      </c>
      <c r="F154" s="167">
        <v>62209375.059999995</v>
      </c>
      <c r="G154" s="167">
        <v>86782501.799999997</v>
      </c>
      <c r="H154" s="167">
        <v>119222245.7</v>
      </c>
      <c r="I154" s="167">
        <v>137742273.37</v>
      </c>
      <c r="J154" s="167">
        <v>157006057.14000002</v>
      </c>
      <c r="K154" s="167">
        <v>168972465.98999998</v>
      </c>
      <c r="L154" s="167">
        <v>202678011.37</v>
      </c>
      <c r="M154" s="167">
        <v>209824647.26000002</v>
      </c>
      <c r="N154" s="167">
        <v>188590551.91</v>
      </c>
      <c r="O154" s="167">
        <v>195664655.88</v>
      </c>
      <c r="P154" s="167">
        <v>202803277.65000001</v>
      </c>
      <c r="Q154" s="167">
        <v>208461465.76999998</v>
      </c>
      <c r="R154" s="167">
        <v>210382032.79999998</v>
      </c>
      <c r="S154" s="167">
        <v>219808021.19</v>
      </c>
      <c r="T154" s="168"/>
      <c r="U154" s="168"/>
      <c r="V154" s="168"/>
      <c r="W154" s="168"/>
      <c r="X154" s="167">
        <v>219808021.19</v>
      </c>
      <c r="Y154" s="154">
        <f t="shared" si="0"/>
        <v>9425988.3900000155</v>
      </c>
    </row>
    <row r="155" spans="1:25" ht="14.4" x14ac:dyDescent="0.3">
      <c r="A155" s="163" t="s">
        <v>238</v>
      </c>
      <c r="B155" s="164">
        <v>2000</v>
      </c>
      <c r="C155" s="167">
        <v>3577966.67</v>
      </c>
      <c r="D155" s="167">
        <v>21300428.960000001</v>
      </c>
      <c r="E155" s="167">
        <v>38440012.949999996</v>
      </c>
      <c r="F155" s="167">
        <v>51854785.270000003</v>
      </c>
      <c r="G155" s="167">
        <v>88026300.590000004</v>
      </c>
      <c r="H155" s="167">
        <v>110000214.28</v>
      </c>
      <c r="I155" s="167">
        <v>132382444.66</v>
      </c>
      <c r="J155" s="167">
        <v>157519707.03</v>
      </c>
      <c r="K155" s="167">
        <v>192424003.96000001</v>
      </c>
      <c r="L155" s="167">
        <v>205998483.12</v>
      </c>
      <c r="M155" s="167">
        <v>228307872.37</v>
      </c>
      <c r="N155" s="167">
        <v>238803815.25</v>
      </c>
      <c r="O155" s="167">
        <v>249693346.28</v>
      </c>
      <c r="P155" s="167">
        <v>252335164.12</v>
      </c>
      <c r="Q155" s="167">
        <v>255579661.03</v>
      </c>
      <c r="R155" s="167">
        <v>259732879.88</v>
      </c>
      <c r="S155" s="168"/>
      <c r="T155" s="168"/>
      <c r="U155" s="168"/>
      <c r="V155" s="168"/>
      <c r="W155" s="168"/>
      <c r="X155" s="167">
        <v>259732879.88</v>
      </c>
      <c r="Y155" s="154">
        <f t="shared" si="0"/>
        <v>4153218.849999994</v>
      </c>
    </row>
    <row r="156" spans="1:25" ht="14.4" x14ac:dyDescent="0.3">
      <c r="A156" s="163" t="s">
        <v>238</v>
      </c>
      <c r="B156" s="164">
        <v>2001</v>
      </c>
      <c r="C156" s="167">
        <v>11229261.77</v>
      </c>
      <c r="D156" s="167">
        <v>26602460.539999999</v>
      </c>
      <c r="E156" s="167">
        <v>52177891.849999994</v>
      </c>
      <c r="F156" s="167">
        <v>67434911.030000001</v>
      </c>
      <c r="G156" s="167">
        <v>102939539.60000001</v>
      </c>
      <c r="H156" s="167">
        <v>115686961.95999999</v>
      </c>
      <c r="I156" s="167">
        <v>137155014.39000002</v>
      </c>
      <c r="J156" s="167">
        <v>151073699.59999999</v>
      </c>
      <c r="K156" s="167">
        <v>166634678.91</v>
      </c>
      <c r="L156" s="167">
        <v>187155124.16999999</v>
      </c>
      <c r="M156" s="167">
        <v>197149104.32999998</v>
      </c>
      <c r="N156" s="167">
        <v>210075950.07000002</v>
      </c>
      <c r="O156" s="167">
        <v>208452407.94999999</v>
      </c>
      <c r="P156" s="167">
        <v>213142799.31</v>
      </c>
      <c r="Q156" s="167">
        <v>212636397.43000001</v>
      </c>
      <c r="R156" s="168"/>
      <c r="S156" s="168"/>
      <c r="T156" s="168"/>
      <c r="U156" s="168"/>
      <c r="V156" s="168"/>
      <c r="W156" s="168"/>
      <c r="X156" s="167">
        <v>212636397.43000001</v>
      </c>
      <c r="Y156" s="154">
        <f t="shared" si="0"/>
        <v>-506401.87999999523</v>
      </c>
    </row>
    <row r="157" spans="1:25" ht="14.4" x14ac:dyDescent="0.3">
      <c r="A157" s="163" t="s">
        <v>238</v>
      </c>
      <c r="B157" s="164">
        <v>2002</v>
      </c>
      <c r="C157" s="167">
        <v>8986510.2700000014</v>
      </c>
      <c r="D157" s="167">
        <v>26902994.709999997</v>
      </c>
      <c r="E157" s="167">
        <v>37842333.339999996</v>
      </c>
      <c r="F157" s="167">
        <v>50206730.149999999</v>
      </c>
      <c r="G157" s="167">
        <v>59851152.349999994</v>
      </c>
      <c r="H157" s="167">
        <v>71232850.609999999</v>
      </c>
      <c r="I157" s="167">
        <v>81539099.459999993</v>
      </c>
      <c r="J157" s="167">
        <v>90591157.980000004</v>
      </c>
      <c r="K157" s="167">
        <v>99870979.75</v>
      </c>
      <c r="L157" s="167">
        <v>121372917.58</v>
      </c>
      <c r="M157" s="167">
        <v>121265022.24000001</v>
      </c>
      <c r="N157" s="167">
        <v>131931493.3</v>
      </c>
      <c r="O157" s="167">
        <v>139739252.89000002</v>
      </c>
      <c r="P157" s="167">
        <v>146775830.02000001</v>
      </c>
      <c r="Q157" s="168"/>
      <c r="R157" s="168"/>
      <c r="S157" s="168"/>
      <c r="T157" s="168"/>
      <c r="U157" s="168"/>
      <c r="V157" s="168"/>
      <c r="W157" s="168"/>
      <c r="X157" s="167">
        <v>146775830.02000001</v>
      </c>
      <c r="Y157" s="154">
        <f t="shared" si="0"/>
        <v>7036577.1299999952</v>
      </c>
    </row>
    <row r="158" spans="1:25" ht="14.4" x14ac:dyDescent="0.3">
      <c r="A158" s="163" t="s">
        <v>238</v>
      </c>
      <c r="B158" s="164">
        <v>2003</v>
      </c>
      <c r="C158" s="167">
        <v>19117811</v>
      </c>
      <c r="D158" s="167">
        <v>16744587.460000001</v>
      </c>
      <c r="E158" s="167">
        <v>26117663.689999998</v>
      </c>
      <c r="F158" s="167">
        <v>27727920.199999999</v>
      </c>
      <c r="G158" s="167">
        <v>29161595.040000003</v>
      </c>
      <c r="H158" s="167">
        <v>36121289.989999995</v>
      </c>
      <c r="I158" s="167">
        <v>39402127.149999999</v>
      </c>
      <c r="J158" s="167">
        <v>42838919.68</v>
      </c>
      <c r="K158" s="167">
        <v>47770735.830000006</v>
      </c>
      <c r="L158" s="167">
        <v>50681355.289999999</v>
      </c>
      <c r="M158" s="167">
        <v>54435096.129999995</v>
      </c>
      <c r="N158" s="167">
        <v>54835702.600000001</v>
      </c>
      <c r="O158" s="167">
        <v>59355250.210000001</v>
      </c>
      <c r="P158" s="168"/>
      <c r="Q158" s="168"/>
      <c r="R158" s="168"/>
      <c r="S158" s="168"/>
      <c r="T158" s="168"/>
      <c r="U158" s="168"/>
      <c r="V158" s="168"/>
      <c r="W158" s="168"/>
      <c r="X158" s="167">
        <v>59355250.210000001</v>
      </c>
      <c r="Y158" s="154">
        <f t="shared" si="0"/>
        <v>4519547.6099999994</v>
      </c>
    </row>
    <row r="159" spans="1:25" ht="14.4" x14ac:dyDescent="0.3">
      <c r="A159" s="163" t="s">
        <v>238</v>
      </c>
      <c r="B159" s="164">
        <v>2004</v>
      </c>
      <c r="C159" s="167">
        <v>2382428.87</v>
      </c>
      <c r="D159" s="167">
        <v>14811975.91</v>
      </c>
      <c r="E159" s="167">
        <v>16261757.699999999</v>
      </c>
      <c r="F159" s="167">
        <v>27038849.48</v>
      </c>
      <c r="G159" s="167">
        <v>29119550.25</v>
      </c>
      <c r="H159" s="167">
        <v>32094295.41</v>
      </c>
      <c r="I159" s="167">
        <v>33675029.060000002</v>
      </c>
      <c r="J159" s="167">
        <v>33952332.390000001</v>
      </c>
      <c r="K159" s="167">
        <v>33508630.870000001</v>
      </c>
      <c r="L159" s="167">
        <v>39071407.520000003</v>
      </c>
      <c r="M159" s="167">
        <v>38520324.100000001</v>
      </c>
      <c r="N159" s="167">
        <v>39928137.230000004</v>
      </c>
      <c r="O159" s="168"/>
      <c r="P159" s="168"/>
      <c r="Q159" s="168"/>
      <c r="R159" s="168"/>
      <c r="S159" s="168"/>
      <c r="T159" s="168"/>
      <c r="U159" s="168"/>
      <c r="V159" s="168"/>
      <c r="W159" s="168"/>
      <c r="X159" s="167">
        <v>39928137.230000004</v>
      </c>
      <c r="Y159" s="154">
        <f t="shared" si="0"/>
        <v>1407813.1300000027</v>
      </c>
    </row>
    <row r="160" spans="1:25" ht="14.4" x14ac:dyDescent="0.3">
      <c r="A160" s="163" t="s">
        <v>238</v>
      </c>
      <c r="B160" s="164">
        <v>2005</v>
      </c>
      <c r="C160" s="167">
        <v>808224</v>
      </c>
      <c r="D160" s="167">
        <v>5835878.2300000004</v>
      </c>
      <c r="E160" s="167">
        <v>7536954.7299999995</v>
      </c>
      <c r="F160" s="167">
        <v>8260638.9199999999</v>
      </c>
      <c r="G160" s="167">
        <v>10721692.75</v>
      </c>
      <c r="H160" s="167">
        <v>13813926.279999999</v>
      </c>
      <c r="I160" s="167">
        <v>17902998.300000001</v>
      </c>
      <c r="J160" s="167">
        <v>19709326.890000001</v>
      </c>
      <c r="K160" s="167">
        <v>25111056.359999999</v>
      </c>
      <c r="L160" s="167">
        <v>26056124.469999999</v>
      </c>
      <c r="M160" s="167">
        <v>26415878.150000002</v>
      </c>
      <c r="N160" s="168"/>
      <c r="O160" s="168"/>
      <c r="P160" s="168"/>
      <c r="Q160" s="168"/>
      <c r="R160" s="168"/>
      <c r="S160" s="168"/>
      <c r="T160" s="168"/>
      <c r="U160" s="168"/>
      <c r="V160" s="168"/>
      <c r="W160" s="168"/>
      <c r="X160" s="167">
        <v>26415878.150000002</v>
      </c>
      <c r="Y160" s="154">
        <f t="shared" si="0"/>
        <v>359753.68000000343</v>
      </c>
    </row>
    <row r="161" spans="1:50" ht="14.4" x14ac:dyDescent="0.3">
      <c r="A161" s="163" t="s">
        <v>238</v>
      </c>
      <c r="B161" s="164">
        <v>2006</v>
      </c>
      <c r="C161" s="167">
        <v>2516061</v>
      </c>
      <c r="D161" s="167">
        <v>5867032</v>
      </c>
      <c r="E161" s="167">
        <v>7202618.6800000006</v>
      </c>
      <c r="F161" s="167">
        <v>10788159.460000001</v>
      </c>
      <c r="G161" s="167">
        <v>11712946.460000001</v>
      </c>
      <c r="H161" s="167">
        <v>16603193.289999999</v>
      </c>
      <c r="I161" s="167">
        <v>16436672.790000001</v>
      </c>
      <c r="J161" s="167">
        <v>17337180.129999999</v>
      </c>
      <c r="K161" s="167">
        <v>19009861.260000002</v>
      </c>
      <c r="L161" s="167">
        <v>24511819.319999997</v>
      </c>
      <c r="M161" s="168"/>
      <c r="N161" s="168"/>
      <c r="O161" s="168"/>
      <c r="P161" s="168"/>
      <c r="Q161" s="168"/>
      <c r="R161" s="168"/>
      <c r="S161" s="168"/>
      <c r="T161" s="168"/>
      <c r="U161" s="168"/>
      <c r="V161" s="168"/>
      <c r="W161" s="168"/>
      <c r="X161" s="167">
        <v>24511819.319999997</v>
      </c>
      <c r="Y161" s="154">
        <f t="shared" si="0"/>
        <v>5501958.0599999949</v>
      </c>
    </row>
    <row r="162" spans="1:50" ht="14.4" x14ac:dyDescent="0.3">
      <c r="A162" s="163" t="s">
        <v>238</v>
      </c>
      <c r="B162" s="164">
        <v>2007</v>
      </c>
      <c r="C162" s="54">
        <f>D162/2.4525/1.1</f>
        <v>836537.4849411546</v>
      </c>
      <c r="D162" s="167">
        <v>2256769</v>
      </c>
      <c r="E162" s="167">
        <v>2658601.8200000003</v>
      </c>
      <c r="F162" s="167">
        <v>3627769.6399999997</v>
      </c>
      <c r="G162" s="167">
        <v>5482007.6699999999</v>
      </c>
      <c r="H162" s="167">
        <v>6170203.71</v>
      </c>
      <c r="I162" s="167">
        <v>7758893.2199999997</v>
      </c>
      <c r="J162" s="167">
        <v>8424301.3499999996</v>
      </c>
      <c r="K162" s="167">
        <v>8742405.1099999994</v>
      </c>
      <c r="L162" s="168"/>
      <c r="M162" s="168"/>
      <c r="N162" s="168"/>
      <c r="O162" s="168"/>
      <c r="P162" s="168"/>
      <c r="Q162" s="168"/>
      <c r="R162" s="168"/>
      <c r="S162" s="168"/>
      <c r="T162" s="168"/>
      <c r="U162" s="168"/>
      <c r="V162" s="168"/>
      <c r="W162" s="168"/>
      <c r="X162" s="167">
        <v>8742405.1099999994</v>
      </c>
      <c r="Y162" s="154">
        <f t="shared" si="0"/>
        <v>318103.75999999978</v>
      </c>
    </row>
    <row r="163" spans="1:50" ht="14.4" x14ac:dyDescent="0.3">
      <c r="A163" s="163" t="s">
        <v>238</v>
      </c>
      <c r="B163" s="164">
        <v>2008</v>
      </c>
      <c r="C163" s="167">
        <v>1</v>
      </c>
      <c r="D163" s="167">
        <v>0</v>
      </c>
      <c r="E163" s="167">
        <v>0</v>
      </c>
      <c r="F163" s="167">
        <v>0</v>
      </c>
      <c r="G163" s="167">
        <v>0</v>
      </c>
      <c r="H163" s="167">
        <v>0</v>
      </c>
      <c r="I163" s="167">
        <v>0</v>
      </c>
      <c r="J163" s="167">
        <v>0</v>
      </c>
      <c r="K163" s="168"/>
      <c r="L163" s="168"/>
      <c r="M163" s="168"/>
      <c r="N163" s="168"/>
      <c r="O163" s="168"/>
      <c r="P163" s="168"/>
      <c r="Q163" s="168"/>
      <c r="R163" s="168"/>
      <c r="S163" s="168"/>
      <c r="T163" s="168"/>
      <c r="U163" s="168"/>
      <c r="V163" s="168"/>
      <c r="W163" s="168"/>
      <c r="X163" s="167">
        <v>0</v>
      </c>
      <c r="Y163" s="154">
        <f t="shared" si="0"/>
        <v>0</v>
      </c>
    </row>
    <row r="164" spans="1:50" ht="14.4" x14ac:dyDescent="0.3">
      <c r="A164" s="163" t="s">
        <v>238</v>
      </c>
      <c r="B164" s="164">
        <v>2009</v>
      </c>
      <c r="C164" s="167">
        <v>0</v>
      </c>
      <c r="D164" s="167">
        <v>0</v>
      </c>
      <c r="E164" s="167">
        <v>0</v>
      </c>
      <c r="F164" s="167">
        <v>0</v>
      </c>
      <c r="G164" s="167">
        <v>0</v>
      </c>
      <c r="H164" s="167">
        <v>0</v>
      </c>
      <c r="I164" s="167">
        <v>0</v>
      </c>
      <c r="J164" s="168"/>
      <c r="K164" s="168"/>
      <c r="L164" s="168"/>
      <c r="M164" s="168"/>
      <c r="N164" s="168"/>
      <c r="O164" s="168"/>
      <c r="P164" s="168"/>
      <c r="Q164" s="168"/>
      <c r="R164" s="168"/>
      <c r="S164" s="168"/>
      <c r="T164" s="168"/>
      <c r="U164" s="168"/>
      <c r="V164" s="168"/>
      <c r="W164" s="168"/>
      <c r="X164" s="167">
        <v>0</v>
      </c>
      <c r="Y164" s="154">
        <f t="shared" si="0"/>
        <v>0</v>
      </c>
    </row>
    <row r="165" spans="1:50" ht="14.4" x14ac:dyDescent="0.3">
      <c r="A165" s="163" t="s">
        <v>238</v>
      </c>
      <c r="B165" s="164">
        <v>2010</v>
      </c>
      <c r="C165" s="167">
        <v>0</v>
      </c>
      <c r="D165" s="167">
        <v>0</v>
      </c>
      <c r="E165" s="167">
        <v>0</v>
      </c>
      <c r="F165" s="167">
        <v>0</v>
      </c>
      <c r="G165" s="167">
        <v>0</v>
      </c>
      <c r="H165" s="167">
        <v>0</v>
      </c>
      <c r="I165" s="168"/>
      <c r="J165" s="168"/>
      <c r="K165" s="168"/>
      <c r="L165" s="168"/>
      <c r="M165" s="168"/>
      <c r="N165" s="168"/>
      <c r="O165" s="168"/>
      <c r="P165" s="168"/>
      <c r="Q165" s="168"/>
      <c r="R165" s="168"/>
      <c r="S165" s="168"/>
      <c r="T165" s="168"/>
      <c r="U165" s="168"/>
      <c r="V165" s="168"/>
      <c r="W165" s="168"/>
      <c r="X165" s="167">
        <v>0</v>
      </c>
      <c r="Y165" s="154">
        <f t="shared" si="0"/>
        <v>0</v>
      </c>
    </row>
    <row r="166" spans="1:50" ht="14.4" x14ac:dyDescent="0.3">
      <c r="A166" s="163" t="s">
        <v>238</v>
      </c>
      <c r="B166" s="164">
        <v>2011</v>
      </c>
      <c r="C166" s="167">
        <v>0</v>
      </c>
      <c r="D166" s="167">
        <v>0</v>
      </c>
      <c r="E166" s="167">
        <v>0</v>
      </c>
      <c r="F166" s="167">
        <v>0</v>
      </c>
      <c r="G166" s="167">
        <v>0</v>
      </c>
      <c r="H166" s="168"/>
      <c r="I166" s="168"/>
      <c r="J166" s="168"/>
      <c r="K166" s="168"/>
      <c r="L166" s="168"/>
      <c r="M166" s="168"/>
      <c r="N166" s="168"/>
      <c r="O166" s="168"/>
      <c r="P166" s="168"/>
      <c r="Q166" s="168"/>
      <c r="R166" s="168"/>
      <c r="S166" s="168"/>
      <c r="T166" s="168"/>
      <c r="U166" s="168"/>
      <c r="V166" s="168"/>
      <c r="W166" s="168"/>
      <c r="X166" s="167">
        <v>0</v>
      </c>
      <c r="Y166" s="154">
        <f t="shared" si="0"/>
        <v>0</v>
      </c>
    </row>
    <row r="167" spans="1:50" ht="14.4" x14ac:dyDescent="0.3">
      <c r="A167" s="163" t="s">
        <v>238</v>
      </c>
      <c r="B167" s="164">
        <v>2012</v>
      </c>
      <c r="C167" s="167">
        <v>0</v>
      </c>
      <c r="D167" s="167">
        <v>0</v>
      </c>
      <c r="E167" s="167">
        <v>0</v>
      </c>
      <c r="F167" s="167">
        <v>0</v>
      </c>
      <c r="G167" s="168"/>
      <c r="H167" s="168"/>
      <c r="I167" s="168"/>
      <c r="J167" s="168"/>
      <c r="K167" s="168"/>
      <c r="L167" s="168"/>
      <c r="M167" s="168"/>
      <c r="N167" s="168"/>
      <c r="O167" s="168"/>
      <c r="P167" s="168"/>
      <c r="Q167" s="168"/>
      <c r="R167" s="168"/>
      <c r="S167" s="168"/>
      <c r="T167" s="168"/>
      <c r="U167" s="168"/>
      <c r="V167" s="168"/>
      <c r="W167" s="168"/>
      <c r="X167" s="167">
        <v>0</v>
      </c>
      <c r="Y167" s="154">
        <f t="shared" si="0"/>
        <v>0</v>
      </c>
    </row>
    <row r="168" spans="1:50" ht="14.4" x14ac:dyDescent="0.3">
      <c r="A168" s="163" t="s">
        <v>238</v>
      </c>
      <c r="B168" s="164">
        <v>2013</v>
      </c>
      <c r="C168" s="167">
        <v>0</v>
      </c>
      <c r="D168" s="167">
        <v>0</v>
      </c>
      <c r="E168" s="167">
        <v>0</v>
      </c>
      <c r="F168" s="168"/>
      <c r="G168" s="168"/>
      <c r="H168" s="168"/>
      <c r="I168" s="168"/>
      <c r="J168" s="168"/>
      <c r="K168" s="168"/>
      <c r="L168" s="168"/>
      <c r="M168" s="168"/>
      <c r="N168" s="168"/>
      <c r="O168" s="168"/>
      <c r="P168" s="168"/>
      <c r="Q168" s="168"/>
      <c r="R168" s="168"/>
      <c r="S168" s="168"/>
      <c r="T168" s="168"/>
      <c r="U168" s="168"/>
      <c r="V168" s="168"/>
      <c r="W168" s="168"/>
      <c r="X168" s="167">
        <v>0</v>
      </c>
      <c r="Y168" s="154">
        <f t="shared" si="0"/>
        <v>0</v>
      </c>
    </row>
    <row r="169" spans="1:50" ht="14.4" x14ac:dyDescent="0.3">
      <c r="A169" s="163" t="s">
        <v>238</v>
      </c>
      <c r="B169" s="164">
        <v>2014</v>
      </c>
      <c r="C169" s="167">
        <v>0</v>
      </c>
      <c r="D169" s="167">
        <v>0</v>
      </c>
      <c r="E169" s="168"/>
      <c r="F169" s="168"/>
      <c r="G169" s="168"/>
      <c r="H169" s="168"/>
      <c r="I169" s="168"/>
      <c r="J169" s="168"/>
      <c r="K169" s="168"/>
      <c r="L169" s="168"/>
      <c r="M169" s="168"/>
      <c r="N169" s="168"/>
      <c r="O169" s="168"/>
      <c r="P169" s="168"/>
      <c r="Q169" s="168"/>
      <c r="R169" s="168"/>
      <c r="S169" s="168"/>
      <c r="T169" s="168"/>
      <c r="U169" s="168"/>
      <c r="V169" s="168"/>
      <c r="W169" s="168"/>
      <c r="X169" s="167">
        <v>0</v>
      </c>
      <c r="Y169" s="154">
        <f t="shared" si="0"/>
        <v>0</v>
      </c>
    </row>
    <row r="170" spans="1:50" ht="14.4" x14ac:dyDescent="0.3">
      <c r="A170" s="163" t="s">
        <v>238</v>
      </c>
      <c r="B170" s="164">
        <v>2015</v>
      </c>
      <c r="C170" s="167">
        <v>0</v>
      </c>
      <c r="D170" s="168"/>
      <c r="E170" s="168"/>
      <c r="F170" s="168"/>
      <c r="G170" s="168"/>
      <c r="H170" s="168"/>
      <c r="I170" s="168"/>
      <c r="J170" s="168"/>
      <c r="K170" s="168"/>
      <c r="L170" s="168"/>
      <c r="M170" s="168"/>
      <c r="N170" s="168"/>
      <c r="O170" s="168"/>
      <c r="P170" s="168"/>
      <c r="Q170" s="168"/>
      <c r="R170" s="168"/>
      <c r="S170" s="168"/>
      <c r="T170" s="168"/>
      <c r="U170" s="168"/>
      <c r="V170" s="168"/>
      <c r="W170" s="168"/>
      <c r="X170" s="167">
        <v>0</v>
      </c>
      <c r="Y170" s="154">
        <f t="shared" si="0"/>
        <v>-2015</v>
      </c>
      <c r="Z170" s="127" t="s">
        <v>210</v>
      </c>
      <c r="AA170" s="127" t="s">
        <v>213</v>
      </c>
      <c r="AB170" s="127" t="s">
        <v>184</v>
      </c>
      <c r="AC170" s="127" t="s">
        <v>185</v>
      </c>
      <c r="AD170" s="127" t="s">
        <v>186</v>
      </c>
      <c r="AE170" s="127" t="s">
        <v>187</v>
      </c>
      <c r="AF170" s="127" t="s">
        <v>188</v>
      </c>
      <c r="AG170" s="127" t="s">
        <v>189</v>
      </c>
      <c r="AH170" s="127" t="s">
        <v>190</v>
      </c>
      <c r="AI170" s="127" t="s">
        <v>191</v>
      </c>
      <c r="AJ170" s="127" t="s">
        <v>192</v>
      </c>
      <c r="AK170" s="127" t="s">
        <v>193</v>
      </c>
      <c r="AL170" s="127" t="s">
        <v>194</v>
      </c>
      <c r="AM170" s="127" t="s">
        <v>195</v>
      </c>
      <c r="AN170" s="127" t="s">
        <v>196</v>
      </c>
      <c r="AO170" s="127" t="s">
        <v>197</v>
      </c>
      <c r="AP170" s="127" t="s">
        <v>198</v>
      </c>
      <c r="AQ170" s="127" t="s">
        <v>199</v>
      </c>
      <c r="AR170" s="127" t="s">
        <v>200</v>
      </c>
      <c r="AS170" s="127" t="s">
        <v>201</v>
      </c>
      <c r="AT170" s="127" t="s">
        <v>202</v>
      </c>
      <c r="AU170" s="127" t="s">
        <v>203</v>
      </c>
      <c r="AV170" s="127" t="s">
        <v>204</v>
      </c>
      <c r="AW170" s="127" t="s">
        <v>205</v>
      </c>
      <c r="AX170" s="127" t="s">
        <v>100</v>
      </c>
    </row>
    <row r="171" spans="1:50" ht="14.4" x14ac:dyDescent="0.3">
      <c r="A171" s="163" t="s">
        <v>239</v>
      </c>
      <c r="B171" s="164">
        <v>1995</v>
      </c>
      <c r="C171" s="167">
        <v>1216493.98</v>
      </c>
      <c r="D171" s="167">
        <v>1259560.28</v>
      </c>
      <c r="E171" s="167">
        <v>1254174.77</v>
      </c>
      <c r="F171" s="167">
        <v>1203004.3899999999</v>
      </c>
      <c r="G171" s="167">
        <v>1193694.7899999998</v>
      </c>
      <c r="H171" s="167">
        <v>1194350.18</v>
      </c>
      <c r="I171" s="167">
        <v>1194698.8799999999</v>
      </c>
      <c r="J171" s="167">
        <v>1195111.3799999999</v>
      </c>
      <c r="K171" s="167">
        <v>1178260.52</v>
      </c>
      <c r="L171" s="167">
        <v>1178260.52</v>
      </c>
      <c r="M171" s="167">
        <v>1178260.52</v>
      </c>
      <c r="N171" s="167">
        <v>1178260.52</v>
      </c>
      <c r="O171" s="167">
        <v>1178260.52</v>
      </c>
      <c r="P171" s="167">
        <v>1178260.52</v>
      </c>
      <c r="Q171" s="167">
        <v>1178260.52</v>
      </c>
      <c r="R171" s="167">
        <v>1178260.52</v>
      </c>
      <c r="S171" s="167">
        <v>1178260.52</v>
      </c>
      <c r="T171" s="167">
        <v>1178260.52</v>
      </c>
      <c r="U171" s="167">
        <v>1178260.52</v>
      </c>
      <c r="V171" s="167">
        <v>1178260.52</v>
      </c>
      <c r="W171" s="167">
        <v>1178260.52</v>
      </c>
      <c r="X171" s="167">
        <v>1178260.52</v>
      </c>
      <c r="Y171" s="154">
        <f>X171-INDEX($B$171:$W$191,B171-$B$171+1,$B$191-B171+1)</f>
        <v>0</v>
      </c>
      <c r="Z171" s="128" t="s">
        <v>206</v>
      </c>
      <c r="AA171" s="128" t="s">
        <v>143</v>
      </c>
      <c r="AB171" s="129">
        <v>1992</v>
      </c>
      <c r="AC171" s="138">
        <v>911550633.17999995</v>
      </c>
      <c r="AD171" s="138">
        <v>978294665.22000003</v>
      </c>
      <c r="AE171" s="138">
        <v>1019980235.9299999</v>
      </c>
      <c r="AF171" s="138">
        <v>1034979720.5599999</v>
      </c>
      <c r="AG171" s="138">
        <v>1051467189.13</v>
      </c>
      <c r="AH171" s="138">
        <v>1054687184.37</v>
      </c>
      <c r="AI171" s="138">
        <v>1064040562.75</v>
      </c>
      <c r="AJ171" s="138">
        <v>1063869045.11</v>
      </c>
      <c r="AK171" s="138">
        <v>1064646680.0700001</v>
      </c>
      <c r="AL171" s="138">
        <v>1066753404.52</v>
      </c>
      <c r="AM171" s="138">
        <v>1067582186.39</v>
      </c>
      <c r="AN171" s="138">
        <v>1072370268.08</v>
      </c>
      <c r="AO171" s="138">
        <v>1073463824.4400001</v>
      </c>
      <c r="AP171" s="138">
        <v>1073037109.28</v>
      </c>
      <c r="AQ171" s="138">
        <v>1072526248.1300001</v>
      </c>
      <c r="AR171" s="138">
        <v>1074666582.49</v>
      </c>
      <c r="AS171" s="138">
        <v>1075008276.0999999</v>
      </c>
      <c r="AT171" s="138">
        <v>1075412531.1900001</v>
      </c>
      <c r="AU171" s="138">
        <v>1075415450.95</v>
      </c>
      <c r="AV171" s="138">
        <v>1074972562.49</v>
      </c>
      <c r="AW171" s="138">
        <v>1074984042.55</v>
      </c>
      <c r="AX171" s="138">
        <v>1074984042.55</v>
      </c>
    </row>
    <row r="172" spans="1:50" ht="14.4" x14ac:dyDescent="0.3">
      <c r="A172" s="163" t="s">
        <v>239</v>
      </c>
      <c r="B172" s="164">
        <v>1996</v>
      </c>
      <c r="C172" s="167">
        <v>10012413.84</v>
      </c>
      <c r="D172" s="167">
        <v>14426163.09</v>
      </c>
      <c r="E172" s="167">
        <v>14761860.73</v>
      </c>
      <c r="F172" s="167">
        <v>13627728.689999999</v>
      </c>
      <c r="G172" s="167">
        <v>13722533.68</v>
      </c>
      <c r="H172" s="167">
        <v>13745720.460000001</v>
      </c>
      <c r="I172" s="167">
        <v>13751282.279999999</v>
      </c>
      <c r="J172" s="167">
        <v>13781330.58</v>
      </c>
      <c r="K172" s="167">
        <v>13667182.630000001</v>
      </c>
      <c r="L172" s="167">
        <v>13667182.630000001</v>
      </c>
      <c r="M172" s="167">
        <v>13626409.359999999</v>
      </c>
      <c r="N172" s="167">
        <v>13626409.359999999</v>
      </c>
      <c r="O172" s="167">
        <v>13626409.359999999</v>
      </c>
      <c r="P172" s="167">
        <v>13626409.359999999</v>
      </c>
      <c r="Q172" s="167">
        <v>13626409.359999999</v>
      </c>
      <c r="R172" s="167">
        <v>13626409.359999999</v>
      </c>
      <c r="S172" s="167">
        <v>13626409.359999999</v>
      </c>
      <c r="T172" s="167">
        <v>13626409.359999999</v>
      </c>
      <c r="U172" s="167">
        <v>13626409.359999999</v>
      </c>
      <c r="V172" s="167">
        <v>13626409.359999999</v>
      </c>
      <c r="W172" s="168"/>
      <c r="X172" s="167">
        <v>13626409.359999999</v>
      </c>
      <c r="Y172" s="154">
        <f t="shared" ref="Y172:Y191" si="1">X172-INDEX($B$171:$W$191,B172-$B$171+1,$B$191-B172+1)</f>
        <v>0</v>
      </c>
      <c r="Z172" s="128" t="s">
        <v>206</v>
      </c>
      <c r="AA172" s="128" t="s">
        <v>143</v>
      </c>
      <c r="AB172" s="129">
        <v>1993</v>
      </c>
      <c r="AC172" s="138">
        <v>1475758.43</v>
      </c>
      <c r="AD172" s="138">
        <v>5058772.3600000003</v>
      </c>
      <c r="AE172" s="138">
        <v>13523015.289999999</v>
      </c>
      <c r="AF172" s="138">
        <v>25951686.869999997</v>
      </c>
      <c r="AG172" s="138">
        <v>30230296.649999999</v>
      </c>
      <c r="AH172" s="138">
        <v>29299050.790000003</v>
      </c>
      <c r="AI172" s="138">
        <v>31343793.090000004</v>
      </c>
      <c r="AJ172" s="138">
        <v>31146369.450000003</v>
      </c>
      <c r="AK172" s="138">
        <v>31370046.809999999</v>
      </c>
      <c r="AL172" s="138">
        <v>31601009.43</v>
      </c>
      <c r="AM172" s="138">
        <v>31719563.960000001</v>
      </c>
      <c r="AN172" s="138">
        <v>31418655.239999998</v>
      </c>
      <c r="AO172" s="138">
        <v>31802006.949999999</v>
      </c>
      <c r="AP172" s="138">
        <v>32209657.34</v>
      </c>
      <c r="AQ172" s="138">
        <v>32189936.869999997</v>
      </c>
      <c r="AR172" s="138">
        <v>32157805.189999998</v>
      </c>
      <c r="AS172" s="138">
        <v>32157805.189999998</v>
      </c>
      <c r="AT172" s="138">
        <v>32157805.189999998</v>
      </c>
      <c r="AU172" s="138">
        <v>32157805.189999998</v>
      </c>
      <c r="AV172" s="138">
        <v>32157805.189999998</v>
      </c>
      <c r="AW172" s="139"/>
      <c r="AX172" s="138">
        <v>32157805.189999998</v>
      </c>
    </row>
    <row r="173" spans="1:50" ht="14.4" x14ac:dyDescent="0.3">
      <c r="A173" s="163" t="s">
        <v>239</v>
      </c>
      <c r="B173" s="164">
        <v>1997</v>
      </c>
      <c r="C173" s="167">
        <v>17864574.670000002</v>
      </c>
      <c r="D173" s="167">
        <v>20716132.400000002</v>
      </c>
      <c r="E173" s="167">
        <v>17453445.07</v>
      </c>
      <c r="F173" s="167">
        <v>17145165</v>
      </c>
      <c r="G173" s="167">
        <v>17167034.280000001</v>
      </c>
      <c r="H173" s="167">
        <v>17167535.43</v>
      </c>
      <c r="I173" s="167">
        <v>17209342.210000001</v>
      </c>
      <c r="J173" s="167">
        <v>17167535.43</v>
      </c>
      <c r="K173" s="167">
        <v>17167535.43</v>
      </c>
      <c r="L173" s="167">
        <v>17169367.27</v>
      </c>
      <c r="M173" s="167">
        <v>17169367.27</v>
      </c>
      <c r="N173" s="167">
        <v>17169367.27</v>
      </c>
      <c r="O173" s="167">
        <v>17169367.27</v>
      </c>
      <c r="P173" s="167">
        <v>17169367.27</v>
      </c>
      <c r="Q173" s="167">
        <v>17169367.27</v>
      </c>
      <c r="R173" s="167">
        <v>17169367.27</v>
      </c>
      <c r="S173" s="167">
        <v>17169367.27</v>
      </c>
      <c r="T173" s="167">
        <v>17169367.27</v>
      </c>
      <c r="U173" s="167">
        <v>17169367.27</v>
      </c>
      <c r="V173" s="168"/>
      <c r="W173" s="168"/>
      <c r="X173" s="167">
        <v>17169367.27</v>
      </c>
      <c r="Y173" s="154">
        <f t="shared" si="1"/>
        <v>0</v>
      </c>
      <c r="Z173" s="128" t="s">
        <v>206</v>
      </c>
      <c r="AA173" s="128" t="s">
        <v>143</v>
      </c>
      <c r="AB173" s="129">
        <v>1994</v>
      </c>
      <c r="AC173" s="138">
        <v>981546.92</v>
      </c>
      <c r="AD173" s="138">
        <v>5651358.7799999993</v>
      </c>
      <c r="AE173" s="138">
        <v>17496277.640000001</v>
      </c>
      <c r="AF173" s="138">
        <v>23750079.099999998</v>
      </c>
      <c r="AG173" s="138">
        <v>25902140.530000001</v>
      </c>
      <c r="AH173" s="138">
        <v>27599315.869999997</v>
      </c>
      <c r="AI173" s="138">
        <v>30946963.75</v>
      </c>
      <c r="AJ173" s="138">
        <v>31732685.75</v>
      </c>
      <c r="AK173" s="138">
        <v>31018069.289999999</v>
      </c>
      <c r="AL173" s="138">
        <v>31801361.419999998</v>
      </c>
      <c r="AM173" s="138">
        <v>32073206.57</v>
      </c>
      <c r="AN173" s="138">
        <v>32137157.289999999</v>
      </c>
      <c r="AO173" s="138">
        <v>32141348.43</v>
      </c>
      <c r="AP173" s="138">
        <v>32267533.579999998</v>
      </c>
      <c r="AQ173" s="138">
        <v>32251126.009999998</v>
      </c>
      <c r="AR173" s="138">
        <v>32251125.009999998</v>
      </c>
      <c r="AS173" s="138">
        <v>32251125.009999998</v>
      </c>
      <c r="AT173" s="138">
        <v>32251551.149999999</v>
      </c>
      <c r="AU173" s="138">
        <v>32257746.359999999</v>
      </c>
      <c r="AV173" s="139"/>
      <c r="AW173" s="139"/>
      <c r="AX173" s="138">
        <v>32257746.359999999</v>
      </c>
    </row>
    <row r="174" spans="1:50" ht="14.4" x14ac:dyDescent="0.3">
      <c r="A174" s="163" t="s">
        <v>239</v>
      </c>
      <c r="B174" s="164">
        <v>1998</v>
      </c>
      <c r="C174" s="167">
        <v>18185291.93</v>
      </c>
      <c r="D174" s="167">
        <v>49941972.099999994</v>
      </c>
      <c r="E174" s="167">
        <v>47428100.239999995</v>
      </c>
      <c r="F174" s="167">
        <v>46798329</v>
      </c>
      <c r="G174" s="167">
        <v>47154811.120000005</v>
      </c>
      <c r="H174" s="167">
        <v>45225882.140000001</v>
      </c>
      <c r="I174" s="167">
        <v>45277150.289999999</v>
      </c>
      <c r="J174" s="167">
        <v>45152509.509999998</v>
      </c>
      <c r="K174" s="167">
        <v>45236414.899999999</v>
      </c>
      <c r="L174" s="167">
        <v>45243149.809999995</v>
      </c>
      <c r="M174" s="167">
        <v>45248107.019999996</v>
      </c>
      <c r="N174" s="167">
        <v>45248926.980000004</v>
      </c>
      <c r="O174" s="167">
        <v>45248926.980000004</v>
      </c>
      <c r="P174" s="167">
        <v>45245882.980000004</v>
      </c>
      <c r="Q174" s="167">
        <v>45245882.980000004</v>
      </c>
      <c r="R174" s="167">
        <v>45245882.980000004</v>
      </c>
      <c r="S174" s="167">
        <v>45245882.980000004</v>
      </c>
      <c r="T174" s="167">
        <v>45245882.980000004</v>
      </c>
      <c r="U174" s="168"/>
      <c r="V174" s="168"/>
      <c r="W174" s="168"/>
      <c r="X174" s="167">
        <v>45245882.980000004</v>
      </c>
      <c r="Y174" s="154">
        <f t="shared" si="1"/>
        <v>0</v>
      </c>
      <c r="Z174" s="128" t="s">
        <v>206</v>
      </c>
      <c r="AA174" s="128" t="s">
        <v>143</v>
      </c>
      <c r="AB174" s="129">
        <v>1995</v>
      </c>
      <c r="AC174" s="138">
        <v>2317135.37</v>
      </c>
      <c r="AD174" s="138">
        <v>6044547.1799999997</v>
      </c>
      <c r="AE174" s="138">
        <v>13251710.039999999</v>
      </c>
      <c r="AF174" s="138">
        <v>18235667.169999998</v>
      </c>
      <c r="AG174" s="138">
        <v>21378027.359999999</v>
      </c>
      <c r="AH174" s="138">
        <v>26179926.719999999</v>
      </c>
      <c r="AI174" s="138">
        <v>26725546.580000002</v>
      </c>
      <c r="AJ174" s="138">
        <v>27101030.080000002</v>
      </c>
      <c r="AK174" s="138">
        <v>27473316.260000002</v>
      </c>
      <c r="AL174" s="138">
        <v>27131332.219999999</v>
      </c>
      <c r="AM174" s="138">
        <v>27199716.460000001</v>
      </c>
      <c r="AN174" s="138">
        <v>26558720.18</v>
      </c>
      <c r="AO174" s="138">
        <v>26911015.379999999</v>
      </c>
      <c r="AP174" s="138">
        <v>26911159.170000002</v>
      </c>
      <c r="AQ174" s="138">
        <v>26911271.170000002</v>
      </c>
      <c r="AR174" s="138">
        <v>26901875.869999997</v>
      </c>
      <c r="AS174" s="138">
        <v>26901875.869999997</v>
      </c>
      <c r="AT174" s="138">
        <v>26901875.869999997</v>
      </c>
      <c r="AU174" s="139"/>
      <c r="AV174" s="139"/>
      <c r="AW174" s="139"/>
      <c r="AX174" s="138">
        <v>26901875.869999997</v>
      </c>
    </row>
    <row r="175" spans="1:50" ht="14.4" x14ac:dyDescent="0.3">
      <c r="A175" s="163" t="s">
        <v>239</v>
      </c>
      <c r="B175" s="164">
        <v>1999</v>
      </c>
      <c r="C175" s="167">
        <v>81662459.680000007</v>
      </c>
      <c r="D175" s="167">
        <v>97227483.780000001</v>
      </c>
      <c r="E175" s="167">
        <v>97347050.890000015</v>
      </c>
      <c r="F175" s="167">
        <v>95995030.879999995</v>
      </c>
      <c r="G175" s="167">
        <v>104739410.22999999</v>
      </c>
      <c r="H175" s="167">
        <v>110061579.05999999</v>
      </c>
      <c r="I175" s="167">
        <v>115354218.31000002</v>
      </c>
      <c r="J175" s="167">
        <v>115790758.02999999</v>
      </c>
      <c r="K175" s="167">
        <v>115876233.33999999</v>
      </c>
      <c r="L175" s="167">
        <v>115626104.01000001</v>
      </c>
      <c r="M175" s="167">
        <v>115621030.80999999</v>
      </c>
      <c r="N175" s="167">
        <v>115628104.12</v>
      </c>
      <c r="O175" s="167">
        <v>115605784.00999999</v>
      </c>
      <c r="P175" s="167">
        <v>115605544.00999999</v>
      </c>
      <c r="Q175" s="167">
        <v>115564750.34999999</v>
      </c>
      <c r="R175" s="167">
        <v>115564295.34999999</v>
      </c>
      <c r="S175" s="167">
        <v>115564295.34999999</v>
      </c>
      <c r="T175" s="168"/>
      <c r="U175" s="168"/>
      <c r="V175" s="168"/>
      <c r="W175" s="168"/>
      <c r="X175" s="167">
        <v>115564295.34999999</v>
      </c>
      <c r="Y175" s="154">
        <f t="shared" si="1"/>
        <v>0</v>
      </c>
      <c r="Z175" s="128" t="s">
        <v>206</v>
      </c>
      <c r="AA175" s="128" t="s">
        <v>143</v>
      </c>
      <c r="AB175" s="129">
        <v>1996</v>
      </c>
      <c r="AC175" s="138">
        <v>1483465.72</v>
      </c>
      <c r="AD175" s="138">
        <v>10725025.229999999</v>
      </c>
      <c r="AE175" s="138">
        <v>23167235.560000002</v>
      </c>
      <c r="AF175" s="138">
        <v>37800363.510000005</v>
      </c>
      <c r="AG175" s="138">
        <v>47842435.600000001</v>
      </c>
      <c r="AH175" s="138">
        <v>49583997.359999999</v>
      </c>
      <c r="AI175" s="138">
        <v>51335830.140000001</v>
      </c>
      <c r="AJ175" s="138">
        <v>50863787.100000001</v>
      </c>
      <c r="AK175" s="138">
        <v>50613058.789999999</v>
      </c>
      <c r="AL175" s="138">
        <v>52407968.030000001</v>
      </c>
      <c r="AM175" s="138">
        <v>52419856.910000004</v>
      </c>
      <c r="AN175" s="138">
        <v>52031702.340000004</v>
      </c>
      <c r="AO175" s="138">
        <v>52133399.68</v>
      </c>
      <c r="AP175" s="138">
        <v>52251304.849999994</v>
      </c>
      <c r="AQ175" s="138">
        <v>52178821.739999995</v>
      </c>
      <c r="AR175" s="138">
        <v>52233498.269999996</v>
      </c>
      <c r="AS175" s="138">
        <v>52159035.769999996</v>
      </c>
      <c r="AT175" s="139"/>
      <c r="AU175" s="139"/>
      <c r="AV175" s="139"/>
      <c r="AW175" s="139"/>
      <c r="AX175" s="138">
        <v>52159035.769999996</v>
      </c>
    </row>
    <row r="176" spans="1:50" ht="14.4" x14ac:dyDescent="0.3">
      <c r="A176" s="163" t="s">
        <v>239</v>
      </c>
      <c r="B176" s="164">
        <v>2000</v>
      </c>
      <c r="C176" s="167">
        <v>68492895.789999992</v>
      </c>
      <c r="D176" s="167">
        <v>74704025.129999995</v>
      </c>
      <c r="E176" s="167">
        <v>73952466.109999999</v>
      </c>
      <c r="F176" s="167">
        <v>78594751.150000006</v>
      </c>
      <c r="G176" s="167">
        <v>78949412.090000004</v>
      </c>
      <c r="H176" s="167">
        <v>79557639.090000004</v>
      </c>
      <c r="I176" s="167">
        <v>79599068.179999992</v>
      </c>
      <c r="J176" s="167">
        <v>78640833.810000002</v>
      </c>
      <c r="K176" s="167">
        <v>78707292.489999995</v>
      </c>
      <c r="L176" s="167">
        <v>77751903.049999997</v>
      </c>
      <c r="M176" s="167">
        <v>83413683.980000019</v>
      </c>
      <c r="N176" s="167">
        <v>83279155.970000014</v>
      </c>
      <c r="O176" s="167">
        <v>83279155.970000014</v>
      </c>
      <c r="P176" s="167">
        <v>83263383.950000003</v>
      </c>
      <c r="Q176" s="167">
        <v>83263383.950000003</v>
      </c>
      <c r="R176" s="167">
        <v>83249982.950000003</v>
      </c>
      <c r="S176" s="168"/>
      <c r="T176" s="168"/>
      <c r="U176" s="168"/>
      <c r="V176" s="168"/>
      <c r="W176" s="168"/>
      <c r="X176" s="167">
        <v>83249982.950000003</v>
      </c>
      <c r="Y176" s="154">
        <f t="shared" si="1"/>
        <v>-13401</v>
      </c>
      <c r="Z176" s="128" t="s">
        <v>206</v>
      </c>
      <c r="AA176" s="128" t="s">
        <v>143</v>
      </c>
      <c r="AB176" s="129">
        <v>1997</v>
      </c>
      <c r="AC176" s="138">
        <v>1636722.88</v>
      </c>
      <c r="AD176" s="138">
        <v>9466786.2899999991</v>
      </c>
      <c r="AE176" s="138">
        <v>19623400.850000001</v>
      </c>
      <c r="AF176" s="138">
        <v>25059147.489999998</v>
      </c>
      <c r="AG176" s="138">
        <v>31175725.239999998</v>
      </c>
      <c r="AH176" s="138">
        <v>38072173.43</v>
      </c>
      <c r="AI176" s="138">
        <v>41321173.280000001</v>
      </c>
      <c r="AJ176" s="138">
        <v>41722183.409999996</v>
      </c>
      <c r="AK176" s="138">
        <v>40841671.100000001</v>
      </c>
      <c r="AL176" s="138">
        <v>40709995.560000002</v>
      </c>
      <c r="AM176" s="138">
        <v>41125377.939999998</v>
      </c>
      <c r="AN176" s="138">
        <v>41123346.379999995</v>
      </c>
      <c r="AO176" s="138">
        <v>40785657.689999998</v>
      </c>
      <c r="AP176" s="138">
        <v>40785659.689999998</v>
      </c>
      <c r="AQ176" s="138">
        <v>40786323.810000002</v>
      </c>
      <c r="AR176" s="138">
        <v>40784640.489999995</v>
      </c>
      <c r="AS176" s="139"/>
      <c r="AT176" s="139"/>
      <c r="AU176" s="139"/>
      <c r="AV176" s="139"/>
      <c r="AW176" s="139"/>
      <c r="AX176" s="138">
        <v>40784640.489999995</v>
      </c>
    </row>
    <row r="177" spans="1:50" ht="14.4" x14ac:dyDescent="0.3">
      <c r="A177" s="163" t="s">
        <v>239</v>
      </c>
      <c r="B177" s="164">
        <v>2001</v>
      </c>
      <c r="C177" s="167">
        <v>101898713.41999999</v>
      </c>
      <c r="D177" s="167">
        <v>125814146.47000003</v>
      </c>
      <c r="E177" s="167">
        <v>102599909.35999995</v>
      </c>
      <c r="F177" s="167">
        <v>106652250.02999997</v>
      </c>
      <c r="G177" s="167">
        <v>105419349.90000001</v>
      </c>
      <c r="H177" s="167">
        <v>106142469.12</v>
      </c>
      <c r="I177" s="167">
        <v>105334798.88</v>
      </c>
      <c r="J177" s="167">
        <v>104351039.78000003</v>
      </c>
      <c r="K177" s="167">
        <v>104369692.21000004</v>
      </c>
      <c r="L177" s="167">
        <v>104230250.22</v>
      </c>
      <c r="M177" s="167">
        <v>104413506.66999999</v>
      </c>
      <c r="N177" s="167">
        <v>104415110.30000004</v>
      </c>
      <c r="O177" s="167">
        <v>104466828.03000003</v>
      </c>
      <c r="P177" s="167">
        <v>104445830.71000004</v>
      </c>
      <c r="Q177" s="167">
        <v>104342222.79000005</v>
      </c>
      <c r="R177" s="168"/>
      <c r="S177" s="168"/>
      <c r="T177" s="168"/>
      <c r="U177" s="168"/>
      <c r="V177" s="168"/>
      <c r="W177" s="168"/>
      <c r="X177" s="167">
        <v>104342222.79000005</v>
      </c>
      <c r="Y177" s="154">
        <f t="shared" si="1"/>
        <v>-103607.91999998689</v>
      </c>
      <c r="Z177" s="128" t="s">
        <v>206</v>
      </c>
      <c r="AA177" s="128" t="s">
        <v>143</v>
      </c>
      <c r="AB177" s="129">
        <v>1998</v>
      </c>
      <c r="AC177" s="138">
        <v>1427372.38</v>
      </c>
      <c r="AD177" s="138">
        <v>5274647.45</v>
      </c>
      <c r="AE177" s="138">
        <v>13068274.640000001</v>
      </c>
      <c r="AF177" s="138">
        <v>20107304.66</v>
      </c>
      <c r="AG177" s="138">
        <v>30318431.650000002</v>
      </c>
      <c r="AH177" s="138">
        <v>34450775.850000001</v>
      </c>
      <c r="AI177" s="138">
        <v>36314217.049999997</v>
      </c>
      <c r="AJ177" s="138">
        <v>37415240.240000002</v>
      </c>
      <c r="AK177" s="138">
        <v>37349488.670000002</v>
      </c>
      <c r="AL177" s="138">
        <v>38471675.590000004</v>
      </c>
      <c r="AM177" s="138">
        <v>38506481.890000001</v>
      </c>
      <c r="AN177" s="138">
        <v>38594139.170000002</v>
      </c>
      <c r="AO177" s="138">
        <v>37735506.299999997</v>
      </c>
      <c r="AP177" s="138">
        <v>37765882.07</v>
      </c>
      <c r="AQ177" s="138">
        <v>37824392.769999996</v>
      </c>
      <c r="AR177" s="139"/>
      <c r="AS177" s="139"/>
      <c r="AT177" s="139"/>
      <c r="AU177" s="139"/>
      <c r="AV177" s="139"/>
      <c r="AW177" s="139"/>
      <c r="AX177" s="138">
        <v>37824392.769999996</v>
      </c>
    </row>
    <row r="178" spans="1:50" ht="14.4" x14ac:dyDescent="0.3">
      <c r="A178" s="163" t="s">
        <v>239</v>
      </c>
      <c r="B178" s="164">
        <v>2002</v>
      </c>
      <c r="C178" s="167">
        <v>14323418.16</v>
      </c>
      <c r="D178" s="167">
        <v>22262620.619999997</v>
      </c>
      <c r="E178" s="167">
        <v>21964435.890000001</v>
      </c>
      <c r="F178" s="167">
        <v>21500802.559999999</v>
      </c>
      <c r="G178" s="167">
        <v>22521257.260000002</v>
      </c>
      <c r="H178" s="167">
        <v>22645316.66</v>
      </c>
      <c r="I178" s="167">
        <v>21730705.259999998</v>
      </c>
      <c r="J178" s="167">
        <v>21723552.590000004</v>
      </c>
      <c r="K178" s="167">
        <v>21709193.68</v>
      </c>
      <c r="L178" s="167">
        <v>22594155.890000001</v>
      </c>
      <c r="M178" s="167">
        <v>22588544.030000001</v>
      </c>
      <c r="N178" s="167">
        <v>22595073.789999999</v>
      </c>
      <c r="O178" s="167">
        <v>22595073.789999999</v>
      </c>
      <c r="P178" s="167">
        <v>22591537.68</v>
      </c>
      <c r="Q178" s="168"/>
      <c r="R178" s="168"/>
      <c r="S178" s="168"/>
      <c r="T178" s="168"/>
      <c r="U178" s="168"/>
      <c r="V178" s="168"/>
      <c r="W178" s="168"/>
      <c r="X178" s="167">
        <v>22591537.68</v>
      </c>
      <c r="Y178" s="154">
        <f t="shared" si="1"/>
        <v>-3536.109999999404</v>
      </c>
      <c r="Z178" s="128" t="s">
        <v>206</v>
      </c>
      <c r="AA178" s="128" t="s">
        <v>143</v>
      </c>
      <c r="AB178" s="129">
        <v>1999</v>
      </c>
      <c r="AC178" s="138">
        <v>451456.27</v>
      </c>
      <c r="AD178" s="138">
        <v>5027912.91</v>
      </c>
      <c r="AE178" s="138">
        <v>17490181.289999999</v>
      </c>
      <c r="AF178" s="138">
        <v>29771444.440000001</v>
      </c>
      <c r="AG178" s="138">
        <v>38644353.530000001</v>
      </c>
      <c r="AH178" s="138">
        <v>40001623.460000001</v>
      </c>
      <c r="AI178" s="138">
        <v>39221195.560000002</v>
      </c>
      <c r="AJ178" s="138">
        <v>42167299.989999995</v>
      </c>
      <c r="AK178" s="138">
        <v>41988382.649999999</v>
      </c>
      <c r="AL178" s="138">
        <v>40875596.230000004</v>
      </c>
      <c r="AM178" s="138">
        <v>44280448.579999998</v>
      </c>
      <c r="AN178" s="138">
        <v>44364906.660000004</v>
      </c>
      <c r="AO178" s="138">
        <v>45193022.68</v>
      </c>
      <c r="AP178" s="138">
        <v>45184368.310000002</v>
      </c>
      <c r="AQ178" s="139"/>
      <c r="AR178" s="139"/>
      <c r="AS178" s="139"/>
      <c r="AT178" s="139"/>
      <c r="AU178" s="139"/>
      <c r="AV178" s="139"/>
      <c r="AW178" s="139"/>
      <c r="AX178" s="138">
        <v>45184368.310000002</v>
      </c>
    </row>
    <row r="179" spans="1:50" ht="14.4" x14ac:dyDescent="0.3">
      <c r="A179" s="163" t="s">
        <v>239</v>
      </c>
      <c r="B179" s="164">
        <v>2003</v>
      </c>
      <c r="C179" s="167">
        <v>37799698.720000006</v>
      </c>
      <c r="D179" s="167">
        <v>47425999.619999997</v>
      </c>
      <c r="E179" s="167">
        <v>47009158.420000002</v>
      </c>
      <c r="F179" s="167">
        <v>45067031.640000001</v>
      </c>
      <c r="G179" s="167">
        <v>44228566.939999998</v>
      </c>
      <c r="H179" s="167">
        <v>44074681.479999997</v>
      </c>
      <c r="I179" s="167">
        <v>44096122.149999999</v>
      </c>
      <c r="J179" s="167">
        <v>44069805.399999999</v>
      </c>
      <c r="K179" s="167">
        <v>44067340.359999999</v>
      </c>
      <c r="L179" s="167">
        <v>44087221.82</v>
      </c>
      <c r="M179" s="167">
        <v>44088021.109999999</v>
      </c>
      <c r="N179" s="167">
        <v>44088021.109999999</v>
      </c>
      <c r="O179" s="167">
        <v>44088021.109999999</v>
      </c>
      <c r="P179" s="168"/>
      <c r="Q179" s="168"/>
      <c r="R179" s="168"/>
      <c r="S179" s="168"/>
      <c r="T179" s="168"/>
      <c r="U179" s="168"/>
      <c r="V179" s="168"/>
      <c r="W179" s="168"/>
      <c r="X179" s="167">
        <v>44088021.109999999</v>
      </c>
      <c r="Y179" s="154">
        <f t="shared" si="1"/>
        <v>0</v>
      </c>
      <c r="Z179" s="128" t="s">
        <v>206</v>
      </c>
      <c r="AA179" s="128" t="s">
        <v>143</v>
      </c>
      <c r="AB179" s="129">
        <v>2000</v>
      </c>
      <c r="AC179" s="138">
        <v>9109041.3100000005</v>
      </c>
      <c r="AD179" s="138">
        <v>17180039.370000001</v>
      </c>
      <c r="AE179" s="138">
        <v>25623761.27</v>
      </c>
      <c r="AF179" s="138">
        <v>42949999.810000002</v>
      </c>
      <c r="AG179" s="138">
        <v>47916667.539999999</v>
      </c>
      <c r="AH179" s="138">
        <v>53689172.880000003</v>
      </c>
      <c r="AI179" s="138">
        <v>54673508.57</v>
      </c>
      <c r="AJ179" s="138">
        <v>61279119.890000001</v>
      </c>
      <c r="AK179" s="138">
        <v>60384094.780000001</v>
      </c>
      <c r="AL179" s="138">
        <v>60225255.640000001</v>
      </c>
      <c r="AM179" s="138">
        <v>60080172.979999997</v>
      </c>
      <c r="AN179" s="138">
        <v>60824766.519999996</v>
      </c>
      <c r="AO179" s="138">
        <v>61621388.989999995</v>
      </c>
      <c r="AP179" s="139"/>
      <c r="AQ179" s="139"/>
      <c r="AR179" s="139"/>
      <c r="AS179" s="139"/>
      <c r="AT179" s="139"/>
      <c r="AU179" s="139"/>
      <c r="AV179" s="139"/>
      <c r="AW179" s="139"/>
      <c r="AX179" s="138">
        <v>61621388.989999995</v>
      </c>
    </row>
    <row r="180" spans="1:50" ht="14.4" x14ac:dyDescent="0.3">
      <c r="A180" s="163" t="s">
        <v>239</v>
      </c>
      <c r="B180" s="164">
        <v>2004</v>
      </c>
      <c r="C180" s="167">
        <v>51326197.890000001</v>
      </c>
      <c r="D180" s="167">
        <v>62528154.329999998</v>
      </c>
      <c r="E180" s="167">
        <v>63796796.949999996</v>
      </c>
      <c r="F180" s="167">
        <v>60232982.329999998</v>
      </c>
      <c r="G180" s="167">
        <v>59437566.899999999</v>
      </c>
      <c r="H180" s="167">
        <v>59484280.609999999</v>
      </c>
      <c r="I180" s="167">
        <v>59666668.549999997</v>
      </c>
      <c r="J180" s="167">
        <v>60069268.109999999</v>
      </c>
      <c r="K180" s="167">
        <v>59898436.439999998</v>
      </c>
      <c r="L180" s="167">
        <v>59897721.540000007</v>
      </c>
      <c r="M180" s="167">
        <v>59905538.920000002</v>
      </c>
      <c r="N180" s="167">
        <v>59905538.920000002</v>
      </c>
      <c r="O180" s="168"/>
      <c r="P180" s="168"/>
      <c r="Q180" s="168"/>
      <c r="R180" s="168"/>
      <c r="S180" s="168"/>
      <c r="T180" s="168"/>
      <c r="U180" s="168"/>
      <c r="V180" s="168"/>
      <c r="W180" s="168"/>
      <c r="X180" s="167">
        <v>59905538.920000002</v>
      </c>
      <c r="Y180" s="154">
        <f t="shared" si="1"/>
        <v>0</v>
      </c>
      <c r="Z180" s="128" t="s">
        <v>206</v>
      </c>
      <c r="AA180" s="128" t="s">
        <v>143</v>
      </c>
      <c r="AB180" s="129">
        <v>2001</v>
      </c>
      <c r="AC180" s="138">
        <v>676808.83</v>
      </c>
      <c r="AD180" s="138">
        <v>12419130.370000001</v>
      </c>
      <c r="AE180" s="138">
        <v>34602199.960000001</v>
      </c>
      <c r="AF180" s="138">
        <v>50488852.739999995</v>
      </c>
      <c r="AG180" s="138">
        <v>58814155.969999999</v>
      </c>
      <c r="AH180" s="138">
        <v>61447468.340000004</v>
      </c>
      <c r="AI180" s="138">
        <v>57685044.040000007</v>
      </c>
      <c r="AJ180" s="138">
        <v>56780278.640000001</v>
      </c>
      <c r="AK180" s="138">
        <v>57322331.380000003</v>
      </c>
      <c r="AL180" s="138">
        <v>57331734.890000001</v>
      </c>
      <c r="AM180" s="138">
        <v>56992679.640000001</v>
      </c>
      <c r="AN180" s="138">
        <v>57026347.18</v>
      </c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8">
        <v>57026347.18</v>
      </c>
    </row>
    <row r="181" spans="1:50" ht="14.4" x14ac:dyDescent="0.3">
      <c r="A181" s="163" t="s">
        <v>239</v>
      </c>
      <c r="B181" s="164">
        <v>2005</v>
      </c>
      <c r="C181" s="167">
        <v>85241999.060000002</v>
      </c>
      <c r="D181" s="167">
        <v>187525073.89000005</v>
      </c>
      <c r="E181" s="167">
        <v>198955738.82000005</v>
      </c>
      <c r="F181" s="167">
        <v>205222447.83000004</v>
      </c>
      <c r="G181" s="167">
        <v>204431836.20000005</v>
      </c>
      <c r="H181" s="167">
        <v>216264736.92999995</v>
      </c>
      <c r="I181" s="167">
        <v>220051072.31</v>
      </c>
      <c r="J181" s="167">
        <v>220273085.48999995</v>
      </c>
      <c r="K181" s="167">
        <v>210218455.83999997</v>
      </c>
      <c r="L181" s="167">
        <v>210234854.08999997</v>
      </c>
      <c r="M181" s="167">
        <v>210238113.50999999</v>
      </c>
      <c r="N181" s="168"/>
      <c r="O181" s="168"/>
      <c r="P181" s="168"/>
      <c r="Q181" s="168"/>
      <c r="R181" s="168"/>
      <c r="S181" s="168"/>
      <c r="T181" s="168"/>
      <c r="U181" s="168"/>
      <c r="V181" s="168"/>
      <c r="W181" s="168"/>
      <c r="X181" s="167">
        <v>210238113.50999999</v>
      </c>
      <c r="Y181" s="154">
        <f t="shared" si="1"/>
        <v>3259.4200000166893</v>
      </c>
      <c r="Z181" s="128" t="s">
        <v>206</v>
      </c>
      <c r="AA181" s="128" t="s">
        <v>143</v>
      </c>
      <c r="AB181" s="129">
        <v>2002</v>
      </c>
      <c r="AC181" s="138">
        <v>1230704.78</v>
      </c>
      <c r="AD181" s="138">
        <v>14208520.109999999</v>
      </c>
      <c r="AE181" s="138">
        <v>41855523.079999998</v>
      </c>
      <c r="AF181" s="138">
        <v>65089259.609999999</v>
      </c>
      <c r="AG181" s="138">
        <v>64599362.009999998</v>
      </c>
      <c r="AH181" s="138">
        <v>67597247.120000005</v>
      </c>
      <c r="AI181" s="138">
        <v>73346277.680000007</v>
      </c>
      <c r="AJ181" s="138">
        <v>72546953.320000008</v>
      </c>
      <c r="AK181" s="138">
        <v>72005628.359999999</v>
      </c>
      <c r="AL181" s="138">
        <v>72200700.810000002</v>
      </c>
      <c r="AM181" s="138">
        <v>71529269.960000008</v>
      </c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8">
        <v>71529269.960000008</v>
      </c>
    </row>
    <row r="182" spans="1:50" ht="14.4" x14ac:dyDescent="0.3">
      <c r="A182" s="163" t="s">
        <v>239</v>
      </c>
      <c r="B182" s="164">
        <v>2006</v>
      </c>
      <c r="C182" s="167">
        <v>75934923.060000002</v>
      </c>
      <c r="D182" s="167">
        <v>95773211.940000027</v>
      </c>
      <c r="E182" s="167">
        <v>91480750.139999986</v>
      </c>
      <c r="F182" s="167">
        <v>92143618.440000027</v>
      </c>
      <c r="G182" s="167">
        <v>91819423.320000023</v>
      </c>
      <c r="H182" s="167">
        <v>91542382.629999995</v>
      </c>
      <c r="I182" s="167">
        <v>90674005.189999998</v>
      </c>
      <c r="J182" s="167">
        <v>93047210.25</v>
      </c>
      <c r="K182" s="167">
        <v>93055499.300000012</v>
      </c>
      <c r="L182" s="167">
        <v>93100835.349999994</v>
      </c>
      <c r="M182" s="168"/>
      <c r="N182" s="168"/>
      <c r="O182" s="168"/>
      <c r="P182" s="168"/>
      <c r="Q182" s="168"/>
      <c r="R182" s="168"/>
      <c r="S182" s="168"/>
      <c r="T182" s="168"/>
      <c r="U182" s="168"/>
      <c r="V182" s="168"/>
      <c r="W182" s="168"/>
      <c r="X182" s="167">
        <v>93100835.349999994</v>
      </c>
      <c r="Y182" s="154">
        <f t="shared" si="1"/>
        <v>45336.049999982119</v>
      </c>
      <c r="Z182" s="128" t="s">
        <v>206</v>
      </c>
      <c r="AA182" s="128" t="s">
        <v>143</v>
      </c>
      <c r="AB182" s="129">
        <v>2003</v>
      </c>
      <c r="AC182" s="138">
        <v>4000048.08</v>
      </c>
      <c r="AD182" s="138">
        <v>16348953.609999999</v>
      </c>
      <c r="AE182" s="138">
        <v>36025303.009999998</v>
      </c>
      <c r="AF182" s="138">
        <v>56055716.619999997</v>
      </c>
      <c r="AG182" s="138">
        <v>65367319.009999998</v>
      </c>
      <c r="AH182" s="138">
        <v>69805789.24000001</v>
      </c>
      <c r="AI182" s="138">
        <v>72286260.189999998</v>
      </c>
      <c r="AJ182" s="138">
        <v>71541082.439999998</v>
      </c>
      <c r="AK182" s="138">
        <v>72370186.400000006</v>
      </c>
      <c r="AL182" s="138">
        <v>69264884.730000004</v>
      </c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8">
        <v>69264884.730000004</v>
      </c>
    </row>
    <row r="183" spans="1:50" ht="14.4" x14ac:dyDescent="0.3">
      <c r="A183" s="163" t="s">
        <v>239</v>
      </c>
      <c r="B183" s="164">
        <v>2007</v>
      </c>
      <c r="C183" s="167">
        <v>71358759.390000001</v>
      </c>
      <c r="D183" s="167">
        <v>107870302.47</v>
      </c>
      <c r="E183" s="167">
        <v>95212051.489999995</v>
      </c>
      <c r="F183" s="167">
        <v>95980940.590000004</v>
      </c>
      <c r="G183" s="167">
        <v>97331225.780000001</v>
      </c>
      <c r="H183" s="167">
        <v>97578916.86999999</v>
      </c>
      <c r="I183" s="167">
        <v>96789079.109999999</v>
      </c>
      <c r="J183" s="167">
        <v>95935042.830000013</v>
      </c>
      <c r="K183" s="167">
        <v>95935224.360000014</v>
      </c>
      <c r="L183" s="168"/>
      <c r="M183" s="168"/>
      <c r="N183" s="168"/>
      <c r="O183" s="168"/>
      <c r="P183" s="168"/>
      <c r="Q183" s="168"/>
      <c r="R183" s="168"/>
      <c r="S183" s="168"/>
      <c r="T183" s="168"/>
      <c r="U183" s="168"/>
      <c r="V183" s="168"/>
      <c r="W183" s="168"/>
      <c r="X183" s="167">
        <v>95935224.360000014</v>
      </c>
      <c r="Y183" s="154">
        <f t="shared" si="1"/>
        <v>181.53000000119209</v>
      </c>
      <c r="Z183" s="128" t="s">
        <v>206</v>
      </c>
      <c r="AA183" s="128" t="s">
        <v>143</v>
      </c>
      <c r="AB183" s="129">
        <v>2004</v>
      </c>
      <c r="AC183" s="138">
        <v>1615270.15</v>
      </c>
      <c r="AD183" s="138">
        <v>10785577.73</v>
      </c>
      <c r="AE183" s="138">
        <v>25851598.419999998</v>
      </c>
      <c r="AF183" s="138">
        <v>42695084.18</v>
      </c>
      <c r="AG183" s="138">
        <v>53477420.189999998</v>
      </c>
      <c r="AH183" s="138">
        <v>57247493.950000003</v>
      </c>
      <c r="AI183" s="138">
        <v>56926048.57</v>
      </c>
      <c r="AJ183" s="138">
        <v>58988290.670000002</v>
      </c>
      <c r="AK183" s="138">
        <v>58389399.68</v>
      </c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8">
        <v>58389399.68</v>
      </c>
    </row>
    <row r="184" spans="1:50" ht="14.4" x14ac:dyDescent="0.3">
      <c r="A184" s="163" t="s">
        <v>239</v>
      </c>
      <c r="B184" s="164">
        <v>2008</v>
      </c>
      <c r="C184" s="167">
        <v>220111224.15000001</v>
      </c>
      <c r="D184" s="167">
        <v>191609844.53999999</v>
      </c>
      <c r="E184" s="167">
        <v>179640565.83000001</v>
      </c>
      <c r="F184" s="167">
        <v>181140856.31999999</v>
      </c>
      <c r="G184" s="167">
        <v>182248502.22999999</v>
      </c>
      <c r="H184" s="167">
        <v>185148380.66000003</v>
      </c>
      <c r="I184" s="167">
        <v>185022586.41000003</v>
      </c>
      <c r="J184" s="167">
        <v>185032662.11000001</v>
      </c>
      <c r="K184" s="168"/>
      <c r="L184" s="168"/>
      <c r="M184" s="168"/>
      <c r="N184" s="168"/>
      <c r="O184" s="168"/>
      <c r="P184" s="168"/>
      <c r="Q184" s="168"/>
      <c r="R184" s="168"/>
      <c r="S184" s="168"/>
      <c r="T184" s="168"/>
      <c r="U184" s="168"/>
      <c r="V184" s="168"/>
      <c r="W184" s="168"/>
      <c r="X184" s="167">
        <v>185032662.11000001</v>
      </c>
      <c r="Y184" s="154">
        <f t="shared" si="1"/>
        <v>10075.699999988079</v>
      </c>
      <c r="Z184" s="128" t="s">
        <v>206</v>
      </c>
      <c r="AA184" s="128" t="s">
        <v>143</v>
      </c>
      <c r="AB184" s="129">
        <v>2005</v>
      </c>
      <c r="AC184" s="138">
        <v>1343216.73</v>
      </c>
      <c r="AD184" s="138">
        <v>11214948.85</v>
      </c>
      <c r="AE184" s="138">
        <v>31428460.600000001</v>
      </c>
      <c r="AF184" s="138">
        <v>56610632.200000003</v>
      </c>
      <c r="AG184" s="138">
        <v>63452548.520000003</v>
      </c>
      <c r="AH184" s="138">
        <v>67595931.049999997</v>
      </c>
      <c r="AI184" s="138">
        <v>68767491.730000004</v>
      </c>
      <c r="AJ184" s="138">
        <v>70089768.109999999</v>
      </c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8">
        <v>70089768.109999999</v>
      </c>
    </row>
    <row r="185" spans="1:50" ht="14.4" x14ac:dyDescent="0.3">
      <c r="A185" s="163" t="s">
        <v>239</v>
      </c>
      <c r="B185" s="164">
        <v>2009</v>
      </c>
      <c r="C185" s="167">
        <v>122790503.29000002</v>
      </c>
      <c r="D185" s="167">
        <v>151943459.38000003</v>
      </c>
      <c r="E185" s="167">
        <v>151160439.45999998</v>
      </c>
      <c r="F185" s="167">
        <v>150109374.61000001</v>
      </c>
      <c r="G185" s="167">
        <v>148330947.27000001</v>
      </c>
      <c r="H185" s="167">
        <v>149295732.30000001</v>
      </c>
      <c r="I185" s="167">
        <v>149099378.29999998</v>
      </c>
      <c r="J185" s="168"/>
      <c r="K185" s="168"/>
      <c r="L185" s="168"/>
      <c r="M185" s="168"/>
      <c r="N185" s="168"/>
      <c r="O185" s="168"/>
      <c r="P185" s="168"/>
      <c r="Q185" s="168"/>
      <c r="R185" s="168"/>
      <c r="S185" s="168"/>
      <c r="T185" s="168"/>
      <c r="U185" s="168"/>
      <c r="V185" s="168"/>
      <c r="W185" s="168"/>
      <c r="X185" s="167">
        <v>149099378.29999998</v>
      </c>
      <c r="Y185" s="154">
        <f t="shared" si="1"/>
        <v>-196354.0000000298</v>
      </c>
      <c r="Z185" s="128" t="s">
        <v>206</v>
      </c>
      <c r="AA185" s="128" t="s">
        <v>143</v>
      </c>
      <c r="AB185" s="129">
        <v>2006</v>
      </c>
      <c r="AC185" s="138">
        <v>469596.81</v>
      </c>
      <c r="AD185" s="138">
        <v>8789521.3000000007</v>
      </c>
      <c r="AE185" s="138">
        <v>30203549.960000001</v>
      </c>
      <c r="AF185" s="138">
        <v>50438952.109999999</v>
      </c>
      <c r="AG185" s="138">
        <v>59684609.549999997</v>
      </c>
      <c r="AH185" s="138">
        <v>56574558.140000001</v>
      </c>
      <c r="AI185" s="138">
        <v>56996282.230000004</v>
      </c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8">
        <v>56996282.230000004</v>
      </c>
    </row>
    <row r="186" spans="1:50" ht="14.4" x14ac:dyDescent="0.3">
      <c r="A186" s="163" t="s">
        <v>239</v>
      </c>
      <c r="B186" s="164">
        <v>2010</v>
      </c>
      <c r="C186" s="167">
        <v>74280778.579999998</v>
      </c>
      <c r="D186" s="167">
        <v>84306825.689999998</v>
      </c>
      <c r="E186" s="167">
        <v>83867172.510000005</v>
      </c>
      <c r="F186" s="167">
        <v>78228744.379999995</v>
      </c>
      <c r="G186" s="167">
        <v>78631365.99000001</v>
      </c>
      <c r="H186" s="167">
        <v>78633608.659999996</v>
      </c>
      <c r="I186" s="168"/>
      <c r="J186" s="168"/>
      <c r="K186" s="168"/>
      <c r="L186" s="168"/>
      <c r="M186" s="168"/>
      <c r="N186" s="168"/>
      <c r="O186" s="168"/>
      <c r="P186" s="168"/>
      <c r="Q186" s="168"/>
      <c r="R186" s="168"/>
      <c r="S186" s="168"/>
      <c r="T186" s="168"/>
      <c r="U186" s="168"/>
      <c r="V186" s="168"/>
      <c r="W186" s="168"/>
      <c r="X186" s="167">
        <v>78633608.659999996</v>
      </c>
      <c r="Y186" s="154">
        <f t="shared" si="1"/>
        <v>2242.669999986887</v>
      </c>
      <c r="Z186" s="128" t="s">
        <v>206</v>
      </c>
      <c r="AA186" s="128" t="s">
        <v>143</v>
      </c>
      <c r="AB186" s="129">
        <v>2007</v>
      </c>
      <c r="AC186" s="138">
        <v>2845105.4</v>
      </c>
      <c r="AD186" s="138">
        <v>14548618.470000001</v>
      </c>
      <c r="AE186" s="138">
        <v>37271871.609999999</v>
      </c>
      <c r="AF186" s="138">
        <v>59007118.439999998</v>
      </c>
      <c r="AG186" s="138">
        <v>68200546.450000003</v>
      </c>
      <c r="AH186" s="138">
        <v>69757781.469999999</v>
      </c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8">
        <v>69757781.469999999</v>
      </c>
    </row>
    <row r="187" spans="1:50" ht="14.4" x14ac:dyDescent="0.3">
      <c r="A187" s="163" t="s">
        <v>239</v>
      </c>
      <c r="B187" s="164">
        <v>2011</v>
      </c>
      <c r="C187" s="167">
        <v>166837284.96000001</v>
      </c>
      <c r="D187" s="167">
        <v>188401283.94999999</v>
      </c>
      <c r="E187" s="167">
        <v>185539948.10000002</v>
      </c>
      <c r="F187" s="167">
        <v>181027460.07999998</v>
      </c>
      <c r="G187" s="167">
        <v>181663509.05000001</v>
      </c>
      <c r="H187" s="168"/>
      <c r="I187" s="168"/>
      <c r="J187" s="168"/>
      <c r="K187" s="168"/>
      <c r="L187" s="168"/>
      <c r="M187" s="168"/>
      <c r="N187" s="168"/>
      <c r="O187" s="168"/>
      <c r="P187" s="168"/>
      <c r="Q187" s="168"/>
      <c r="R187" s="168"/>
      <c r="S187" s="168"/>
      <c r="T187" s="168"/>
      <c r="U187" s="168"/>
      <c r="V187" s="168"/>
      <c r="W187" s="168"/>
      <c r="X187" s="167">
        <v>181663509.05000001</v>
      </c>
      <c r="Y187" s="154">
        <f t="shared" si="1"/>
        <v>636048.97000002861</v>
      </c>
      <c r="Z187" s="128" t="s">
        <v>206</v>
      </c>
      <c r="AA187" s="128" t="s">
        <v>143</v>
      </c>
      <c r="AB187" s="129">
        <v>2008</v>
      </c>
      <c r="AC187" s="138">
        <v>1520079.53</v>
      </c>
      <c r="AD187" s="138">
        <v>13252662.65</v>
      </c>
      <c r="AE187" s="138">
        <v>34724912.119999997</v>
      </c>
      <c r="AF187" s="138">
        <v>56878509.960000001</v>
      </c>
      <c r="AG187" s="138">
        <v>69358524.209999993</v>
      </c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8">
        <v>69358524.209999993</v>
      </c>
    </row>
    <row r="188" spans="1:50" ht="14.4" x14ac:dyDescent="0.3">
      <c r="A188" s="163" t="s">
        <v>239</v>
      </c>
      <c r="B188" s="164">
        <v>2012</v>
      </c>
      <c r="C188" s="167">
        <v>109848088.42999999</v>
      </c>
      <c r="D188" s="167">
        <v>208221652.74000001</v>
      </c>
      <c r="E188" s="167">
        <v>214505007.50999999</v>
      </c>
      <c r="F188" s="167">
        <v>212830165.03999999</v>
      </c>
      <c r="G188" s="168"/>
      <c r="H188" s="168"/>
      <c r="I188" s="168"/>
      <c r="J188" s="168"/>
      <c r="K188" s="168"/>
      <c r="L188" s="168"/>
      <c r="M188" s="168"/>
      <c r="N188" s="168"/>
      <c r="O188" s="168"/>
      <c r="P188" s="168"/>
      <c r="Q188" s="168"/>
      <c r="R188" s="168"/>
      <c r="S188" s="168"/>
      <c r="T188" s="168"/>
      <c r="U188" s="168"/>
      <c r="V188" s="168"/>
      <c r="W188" s="168"/>
      <c r="X188" s="167">
        <v>212830165.03999999</v>
      </c>
      <c r="Y188" s="154">
        <f t="shared" si="1"/>
        <v>-1674842.4699999988</v>
      </c>
      <c r="Z188" s="128" t="s">
        <v>206</v>
      </c>
      <c r="AA188" s="128" t="s">
        <v>143</v>
      </c>
      <c r="AB188" s="129">
        <v>2009</v>
      </c>
      <c r="AC188" s="138">
        <v>1732578.52</v>
      </c>
      <c r="AD188" s="138">
        <v>13371921.76</v>
      </c>
      <c r="AE188" s="138">
        <v>30924538.93</v>
      </c>
      <c r="AF188" s="138">
        <v>44720280.409999996</v>
      </c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8">
        <v>44720280.409999996</v>
      </c>
    </row>
    <row r="189" spans="1:50" ht="14.4" x14ac:dyDescent="0.3">
      <c r="A189" s="163" t="s">
        <v>239</v>
      </c>
      <c r="B189" s="164">
        <v>2013</v>
      </c>
      <c r="C189" s="167">
        <v>119087317.63</v>
      </c>
      <c r="D189" s="167">
        <v>128548384.88</v>
      </c>
      <c r="E189" s="167">
        <v>127785363.33</v>
      </c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7">
        <v>127785363.33</v>
      </c>
      <c r="Y189" s="154">
        <f t="shared" si="1"/>
        <v>-763021.54999999702</v>
      </c>
      <c r="Z189" s="128" t="s">
        <v>206</v>
      </c>
      <c r="AA189" s="128" t="s">
        <v>143</v>
      </c>
      <c r="AB189" s="129">
        <v>2010</v>
      </c>
      <c r="AC189" s="138">
        <v>2363460.2599999998</v>
      </c>
      <c r="AD189" s="138">
        <v>13434547.58</v>
      </c>
      <c r="AE189" s="138">
        <v>30955113.98</v>
      </c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8">
        <v>30955113.98</v>
      </c>
    </row>
    <row r="190" spans="1:50" ht="14.4" x14ac:dyDescent="0.3">
      <c r="A190" s="163" t="s">
        <v>239</v>
      </c>
      <c r="B190" s="164">
        <v>2014</v>
      </c>
      <c r="C190" s="167">
        <v>113575549.11</v>
      </c>
      <c r="D190" s="167">
        <v>126591682.31</v>
      </c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7">
        <v>126591682.31</v>
      </c>
      <c r="Y190" s="154">
        <f t="shared" si="1"/>
        <v>13016133.200000003</v>
      </c>
      <c r="Z190" s="128" t="s">
        <v>206</v>
      </c>
      <c r="AA190" s="128" t="s">
        <v>143</v>
      </c>
      <c r="AB190" s="129">
        <v>2011</v>
      </c>
      <c r="AC190" s="138">
        <v>2484618.13</v>
      </c>
      <c r="AD190" s="138">
        <v>18988931.640000001</v>
      </c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8">
        <v>18988931.640000001</v>
      </c>
    </row>
    <row r="191" spans="1:50" ht="14.4" x14ac:dyDescent="0.3">
      <c r="A191" s="163" t="s">
        <v>239</v>
      </c>
      <c r="B191" s="164">
        <v>2015</v>
      </c>
      <c r="C191" s="167">
        <v>118589605.38000001</v>
      </c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7">
        <v>118589605.38000001</v>
      </c>
      <c r="Y191" s="154">
        <f t="shared" si="1"/>
        <v>118587590.38000001</v>
      </c>
      <c r="Z191" s="128" t="s">
        <v>206</v>
      </c>
      <c r="AA191" s="128" t="s">
        <v>143</v>
      </c>
      <c r="AB191" s="129">
        <v>2012</v>
      </c>
      <c r="AC191" s="138">
        <v>2766360.62</v>
      </c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8">
        <v>2766360.62</v>
      </c>
    </row>
    <row r="192" spans="1:50" ht="14.4" x14ac:dyDescent="0.3">
      <c r="A192" s="163" t="s">
        <v>253</v>
      </c>
      <c r="B192" s="164">
        <v>1995</v>
      </c>
      <c r="C192" s="167">
        <v>351522788.34999996</v>
      </c>
      <c r="D192" s="167">
        <v>419819149.61000001</v>
      </c>
      <c r="E192" s="167">
        <v>431189602.44</v>
      </c>
      <c r="F192" s="167">
        <v>433756424.37</v>
      </c>
      <c r="G192" s="167">
        <v>435561176.16999996</v>
      </c>
      <c r="H192" s="167">
        <v>437175940.04999995</v>
      </c>
      <c r="I192" s="167">
        <v>437727620.65000004</v>
      </c>
      <c r="J192" s="167">
        <v>437725275.34999996</v>
      </c>
      <c r="K192" s="167">
        <v>437791114.10000002</v>
      </c>
      <c r="L192" s="167">
        <v>437315478.17000002</v>
      </c>
      <c r="M192" s="167">
        <v>437291787.70999998</v>
      </c>
      <c r="N192" s="167">
        <v>437308094.59999996</v>
      </c>
      <c r="O192" s="167">
        <v>437373996.13999999</v>
      </c>
      <c r="P192" s="167">
        <v>437363694.92000002</v>
      </c>
      <c r="Q192" s="167">
        <v>437373178.32999998</v>
      </c>
      <c r="R192" s="167">
        <v>437358623.63999999</v>
      </c>
      <c r="S192" s="167">
        <v>437352306.73000002</v>
      </c>
      <c r="T192" s="167">
        <v>437346846.05000001</v>
      </c>
      <c r="U192" s="167">
        <v>437161022.80000001</v>
      </c>
      <c r="V192" s="167">
        <v>437162308.24000001</v>
      </c>
      <c r="W192" s="167">
        <v>437138525.23000002</v>
      </c>
      <c r="X192" s="167">
        <v>437138525.23000002</v>
      </c>
    </row>
    <row r="193" spans="1:24" ht="14.4" x14ac:dyDescent="0.3">
      <c r="A193" s="163" t="s">
        <v>253</v>
      </c>
      <c r="B193" s="164">
        <v>1996</v>
      </c>
      <c r="C193" s="167">
        <v>370715668.01999998</v>
      </c>
      <c r="D193" s="167">
        <v>428527405.38999999</v>
      </c>
      <c r="E193" s="167">
        <v>428105607.24000001</v>
      </c>
      <c r="F193" s="167">
        <v>430363302.96000004</v>
      </c>
      <c r="G193" s="167">
        <v>429832446.03999996</v>
      </c>
      <c r="H193" s="167">
        <v>431867984.12</v>
      </c>
      <c r="I193" s="167">
        <v>431044439.50999999</v>
      </c>
      <c r="J193" s="167">
        <v>433075535.68000001</v>
      </c>
      <c r="K193" s="167">
        <v>434113035.87</v>
      </c>
      <c r="L193" s="167">
        <v>433578577.59999996</v>
      </c>
      <c r="M193" s="167">
        <v>433539841.00999999</v>
      </c>
      <c r="N193" s="167">
        <v>432970293.5</v>
      </c>
      <c r="O193" s="167">
        <v>432958994.28000003</v>
      </c>
      <c r="P193" s="167">
        <v>432944908.53000003</v>
      </c>
      <c r="Q193" s="167">
        <v>432935834.97000003</v>
      </c>
      <c r="R193" s="167">
        <v>432930192.45000005</v>
      </c>
      <c r="S193" s="167">
        <v>432925791.55000001</v>
      </c>
      <c r="T193" s="167">
        <v>432920314.56</v>
      </c>
      <c r="U193" s="167">
        <v>432913101.56999999</v>
      </c>
      <c r="V193" s="167">
        <v>432904084.49000001</v>
      </c>
      <c r="W193" s="168"/>
      <c r="X193" s="167">
        <v>432904084.49000001</v>
      </c>
    </row>
    <row r="194" spans="1:24" ht="14.4" x14ac:dyDescent="0.3">
      <c r="A194" s="163" t="s">
        <v>253</v>
      </c>
      <c r="B194" s="164">
        <v>1997</v>
      </c>
      <c r="C194" s="167">
        <v>290200871.27999997</v>
      </c>
      <c r="D194" s="167">
        <v>326094826.62</v>
      </c>
      <c r="E194" s="167">
        <v>333011798.17000002</v>
      </c>
      <c r="F194" s="167">
        <v>336013457.48000002</v>
      </c>
      <c r="G194" s="167">
        <v>337500603.75</v>
      </c>
      <c r="H194" s="167">
        <v>337772641.79999995</v>
      </c>
      <c r="I194" s="167">
        <v>337580971.10000002</v>
      </c>
      <c r="J194" s="167">
        <v>336862163.04999995</v>
      </c>
      <c r="K194" s="167">
        <v>336881168.56</v>
      </c>
      <c r="L194" s="167">
        <v>337404882.14999998</v>
      </c>
      <c r="M194" s="167">
        <v>337755289.5</v>
      </c>
      <c r="N194" s="167">
        <v>337730277.43000001</v>
      </c>
      <c r="O194" s="167">
        <v>337682633.13</v>
      </c>
      <c r="P194" s="167">
        <v>337682547.21000004</v>
      </c>
      <c r="Q194" s="167">
        <v>337674810.13999999</v>
      </c>
      <c r="R194" s="167">
        <v>337958609.80000001</v>
      </c>
      <c r="S194" s="167">
        <v>337638957.44</v>
      </c>
      <c r="T194" s="167">
        <v>337635963.05000001</v>
      </c>
      <c r="U194" s="167">
        <v>337627655.30000001</v>
      </c>
      <c r="V194" s="168"/>
      <c r="W194" s="168"/>
      <c r="X194" s="167">
        <v>337627655.30000001</v>
      </c>
    </row>
    <row r="195" spans="1:24" ht="14.4" x14ac:dyDescent="0.3">
      <c r="A195" s="163" t="s">
        <v>253</v>
      </c>
      <c r="B195" s="164">
        <v>1998</v>
      </c>
      <c r="C195" s="167">
        <v>323573773.26000005</v>
      </c>
      <c r="D195" s="167">
        <v>394954886.74000001</v>
      </c>
      <c r="E195" s="167">
        <v>399030059.09999996</v>
      </c>
      <c r="F195" s="167">
        <v>399449984.56999999</v>
      </c>
      <c r="G195" s="167">
        <v>401436768.36000001</v>
      </c>
      <c r="H195" s="167">
        <v>402527773.69999999</v>
      </c>
      <c r="I195" s="167">
        <v>403668348.69</v>
      </c>
      <c r="J195" s="167">
        <v>401907563.77000004</v>
      </c>
      <c r="K195" s="167">
        <v>403103608.25999999</v>
      </c>
      <c r="L195" s="167">
        <v>403021111.81</v>
      </c>
      <c r="M195" s="167">
        <v>403017953.45000005</v>
      </c>
      <c r="N195" s="167">
        <v>402860714.88999999</v>
      </c>
      <c r="O195" s="167">
        <v>402865007.08999997</v>
      </c>
      <c r="P195" s="167">
        <v>402850016.76999998</v>
      </c>
      <c r="Q195" s="167">
        <v>402840712.74000001</v>
      </c>
      <c r="R195" s="167">
        <v>402827659.38999999</v>
      </c>
      <c r="S195" s="167">
        <v>402796262.03999996</v>
      </c>
      <c r="T195" s="167">
        <v>402786958.09999996</v>
      </c>
      <c r="U195" s="168"/>
      <c r="V195" s="168"/>
      <c r="W195" s="168"/>
      <c r="X195" s="167">
        <v>402786958.09999996</v>
      </c>
    </row>
    <row r="196" spans="1:24" ht="14.4" x14ac:dyDescent="0.3">
      <c r="A196" s="163" t="s">
        <v>253</v>
      </c>
      <c r="B196" s="164">
        <v>1999</v>
      </c>
      <c r="C196" s="167">
        <v>396760017.39999998</v>
      </c>
      <c r="D196" s="167">
        <v>458729222.21000004</v>
      </c>
      <c r="E196" s="167">
        <v>463299683.29000008</v>
      </c>
      <c r="F196" s="167">
        <v>467026767.48000008</v>
      </c>
      <c r="G196" s="167">
        <v>469816366.73000002</v>
      </c>
      <c r="H196" s="167">
        <v>471167103.42000008</v>
      </c>
      <c r="I196" s="167">
        <v>470526584.78000009</v>
      </c>
      <c r="J196" s="167">
        <v>470896046.34000009</v>
      </c>
      <c r="K196" s="167">
        <v>470315918.85000002</v>
      </c>
      <c r="L196" s="167">
        <v>471452091.36000007</v>
      </c>
      <c r="M196" s="167">
        <v>471651727.59000003</v>
      </c>
      <c r="N196" s="167">
        <v>471898367.95000005</v>
      </c>
      <c r="O196" s="167">
        <v>471910375.37</v>
      </c>
      <c r="P196" s="167">
        <v>471911641.16000003</v>
      </c>
      <c r="Q196" s="167">
        <v>471906013.97000003</v>
      </c>
      <c r="R196" s="167">
        <v>471915496.04000002</v>
      </c>
      <c r="S196" s="167">
        <v>471888474.00000006</v>
      </c>
      <c r="T196" s="168"/>
      <c r="U196" s="168"/>
      <c r="V196" s="168"/>
      <c r="W196" s="168"/>
      <c r="X196" s="167">
        <v>471888474.00000006</v>
      </c>
    </row>
    <row r="197" spans="1:24" ht="14.4" x14ac:dyDescent="0.3">
      <c r="A197" s="163" t="s">
        <v>253</v>
      </c>
      <c r="B197" s="164">
        <v>2000</v>
      </c>
      <c r="C197" s="167">
        <v>340500726.11000001</v>
      </c>
      <c r="D197" s="167">
        <v>398874401.15000004</v>
      </c>
      <c r="E197" s="167">
        <v>408791849.60000002</v>
      </c>
      <c r="F197" s="167">
        <v>416364773.10000002</v>
      </c>
      <c r="G197" s="167">
        <v>419122173.33999997</v>
      </c>
      <c r="H197" s="167">
        <v>418578578.45999998</v>
      </c>
      <c r="I197" s="167">
        <v>419348704.13</v>
      </c>
      <c r="J197" s="167">
        <v>419387343.25999999</v>
      </c>
      <c r="K197" s="167">
        <v>421444017.37</v>
      </c>
      <c r="L197" s="167">
        <v>421384285.5</v>
      </c>
      <c r="M197" s="167">
        <v>421337496.72000003</v>
      </c>
      <c r="N197" s="167">
        <v>421373465.71000004</v>
      </c>
      <c r="O197" s="167">
        <v>421353253.37</v>
      </c>
      <c r="P197" s="167">
        <v>421339522.32999998</v>
      </c>
      <c r="Q197" s="167">
        <v>421307537.61999995</v>
      </c>
      <c r="R197" s="167">
        <v>421296606.79999995</v>
      </c>
      <c r="S197" s="168"/>
      <c r="T197" s="168"/>
      <c r="U197" s="168"/>
      <c r="V197" s="168"/>
      <c r="W197" s="168"/>
      <c r="X197" s="167">
        <v>421296606.79999995</v>
      </c>
    </row>
    <row r="198" spans="1:24" ht="14.4" x14ac:dyDescent="0.3">
      <c r="A198" s="163" t="s">
        <v>253</v>
      </c>
      <c r="B198" s="164">
        <v>2001</v>
      </c>
      <c r="C198" s="167">
        <v>329772512.56</v>
      </c>
      <c r="D198" s="167">
        <v>377640778.85000002</v>
      </c>
      <c r="E198" s="167">
        <v>390172516.27999997</v>
      </c>
      <c r="F198" s="167">
        <v>395972434.50999999</v>
      </c>
      <c r="G198" s="167">
        <v>397586859.06999999</v>
      </c>
      <c r="H198" s="167">
        <v>397512174.38</v>
      </c>
      <c r="I198" s="167">
        <v>399909025.69999999</v>
      </c>
      <c r="J198" s="167">
        <v>399193667.50999999</v>
      </c>
      <c r="K198" s="167">
        <v>399127884.34000003</v>
      </c>
      <c r="L198" s="167">
        <v>399120342.37</v>
      </c>
      <c r="M198" s="167">
        <v>399143901.73000002</v>
      </c>
      <c r="N198" s="167">
        <v>399108665.12</v>
      </c>
      <c r="O198" s="167">
        <v>399592049</v>
      </c>
      <c r="P198" s="167">
        <v>399573855.58000004</v>
      </c>
      <c r="Q198" s="167">
        <v>399540936.86000001</v>
      </c>
      <c r="R198" s="168"/>
      <c r="S198" s="168"/>
      <c r="T198" s="168"/>
      <c r="U198" s="168"/>
      <c r="V198" s="168"/>
      <c r="W198" s="168"/>
      <c r="X198" s="167">
        <v>399540936.86000001</v>
      </c>
    </row>
    <row r="199" spans="1:24" ht="14.4" x14ac:dyDescent="0.3">
      <c r="A199" s="163" t="s">
        <v>253</v>
      </c>
      <c r="B199" s="164">
        <v>2002</v>
      </c>
      <c r="C199" s="167">
        <v>244098547.94</v>
      </c>
      <c r="D199" s="167">
        <v>296496197.58999997</v>
      </c>
      <c r="E199" s="167">
        <v>310369105.02000004</v>
      </c>
      <c r="F199" s="167">
        <v>318829686.88999999</v>
      </c>
      <c r="G199" s="167">
        <v>322605790.84000003</v>
      </c>
      <c r="H199" s="167">
        <v>319939272.61999995</v>
      </c>
      <c r="I199" s="167">
        <v>319412278.82999998</v>
      </c>
      <c r="J199" s="167">
        <v>319615589.69999999</v>
      </c>
      <c r="K199" s="167">
        <v>319480298.80000001</v>
      </c>
      <c r="L199" s="167">
        <v>319205646.88999999</v>
      </c>
      <c r="M199" s="167">
        <v>318826518.15999997</v>
      </c>
      <c r="N199" s="167">
        <v>318809492.64999998</v>
      </c>
      <c r="O199" s="167">
        <v>318796742.39999998</v>
      </c>
      <c r="P199" s="167">
        <v>318788818.06</v>
      </c>
      <c r="Q199" s="168"/>
      <c r="R199" s="168"/>
      <c r="S199" s="168"/>
      <c r="T199" s="168"/>
      <c r="U199" s="168"/>
      <c r="V199" s="168"/>
      <c r="W199" s="168"/>
      <c r="X199" s="167">
        <v>318788818.06</v>
      </c>
    </row>
    <row r="200" spans="1:24" ht="14.4" x14ac:dyDescent="0.3">
      <c r="A200" s="163" t="s">
        <v>253</v>
      </c>
      <c r="B200" s="164">
        <v>2003</v>
      </c>
      <c r="C200" s="167">
        <v>245764782.04999998</v>
      </c>
      <c r="D200" s="167">
        <v>287658320.54000002</v>
      </c>
      <c r="E200" s="167">
        <v>292648496.02999997</v>
      </c>
      <c r="F200" s="167">
        <v>291395978.53000003</v>
      </c>
      <c r="G200" s="167">
        <v>292775849.19</v>
      </c>
      <c r="H200" s="167">
        <v>290304236.79000002</v>
      </c>
      <c r="I200" s="167">
        <v>290449535.49000001</v>
      </c>
      <c r="J200" s="167">
        <v>290673422.50999999</v>
      </c>
      <c r="K200" s="167">
        <v>290189373.48000002</v>
      </c>
      <c r="L200" s="167">
        <v>290133066.34000003</v>
      </c>
      <c r="M200" s="167">
        <v>290113157.02000004</v>
      </c>
      <c r="N200" s="167">
        <v>290095592.89999998</v>
      </c>
      <c r="O200" s="167">
        <v>290090942.06999999</v>
      </c>
      <c r="P200" s="168"/>
      <c r="Q200" s="168"/>
      <c r="R200" s="168"/>
      <c r="S200" s="168"/>
      <c r="T200" s="168"/>
      <c r="U200" s="168"/>
      <c r="V200" s="168"/>
      <c r="W200" s="168"/>
      <c r="X200" s="167">
        <v>290090942.06999999</v>
      </c>
    </row>
    <row r="201" spans="1:24" ht="14.4" x14ac:dyDescent="0.3">
      <c r="A201" s="163" t="s">
        <v>253</v>
      </c>
      <c r="B201" s="164">
        <v>2004</v>
      </c>
      <c r="C201" s="167">
        <v>317362844.94</v>
      </c>
      <c r="D201" s="167">
        <v>353735137.56</v>
      </c>
      <c r="E201" s="167">
        <v>359515073.93000001</v>
      </c>
      <c r="F201" s="167">
        <v>355929432.29999995</v>
      </c>
      <c r="G201" s="167">
        <v>354575234.51999998</v>
      </c>
      <c r="H201" s="167">
        <v>353387791.74000001</v>
      </c>
      <c r="I201" s="167">
        <v>353003583.14000005</v>
      </c>
      <c r="J201" s="167">
        <v>353031945.54000002</v>
      </c>
      <c r="K201" s="167">
        <v>352905066.41999996</v>
      </c>
      <c r="L201" s="167">
        <v>352874888.47000003</v>
      </c>
      <c r="M201" s="167">
        <v>352847209.10999995</v>
      </c>
      <c r="N201" s="167">
        <v>352822526.05000001</v>
      </c>
      <c r="O201" s="168"/>
      <c r="P201" s="168"/>
      <c r="Q201" s="168"/>
      <c r="R201" s="168"/>
      <c r="S201" s="168"/>
      <c r="T201" s="168"/>
      <c r="U201" s="168"/>
      <c r="V201" s="168"/>
      <c r="W201" s="168"/>
      <c r="X201" s="167">
        <v>352822526.05000001</v>
      </c>
    </row>
    <row r="202" spans="1:24" ht="14.4" x14ac:dyDescent="0.3">
      <c r="A202" s="163" t="s">
        <v>253</v>
      </c>
      <c r="B202" s="164">
        <v>2005</v>
      </c>
      <c r="C202" s="167">
        <v>261476486.06999999</v>
      </c>
      <c r="D202" s="167">
        <v>383031132.47999996</v>
      </c>
      <c r="E202" s="167">
        <v>394382771.63</v>
      </c>
      <c r="F202" s="167">
        <v>393743844.54999995</v>
      </c>
      <c r="G202" s="167">
        <v>400340451.37</v>
      </c>
      <c r="H202" s="167">
        <v>396203378.91000003</v>
      </c>
      <c r="I202" s="167">
        <v>398080984.61000001</v>
      </c>
      <c r="J202" s="167">
        <v>399895414.19999999</v>
      </c>
      <c r="K202" s="167">
        <v>400889515.74000001</v>
      </c>
      <c r="L202" s="167">
        <v>400892545.61000001</v>
      </c>
      <c r="M202" s="167">
        <v>401160717.55000001</v>
      </c>
      <c r="N202" s="168"/>
      <c r="O202" s="168"/>
      <c r="P202" s="168"/>
      <c r="Q202" s="168"/>
      <c r="R202" s="168"/>
      <c r="S202" s="168"/>
      <c r="T202" s="168"/>
      <c r="U202" s="168"/>
      <c r="V202" s="168"/>
      <c r="W202" s="168"/>
      <c r="X202" s="167">
        <v>401160717.55000001</v>
      </c>
    </row>
    <row r="203" spans="1:24" ht="14.4" x14ac:dyDescent="0.3">
      <c r="A203" s="163" t="s">
        <v>253</v>
      </c>
      <c r="B203" s="164">
        <v>2006</v>
      </c>
      <c r="C203" s="167">
        <v>184503418.22999999</v>
      </c>
      <c r="D203" s="167">
        <v>230370751.01999998</v>
      </c>
      <c r="E203" s="167">
        <v>230160470.25999999</v>
      </c>
      <c r="F203" s="167">
        <v>230794507.46000001</v>
      </c>
      <c r="G203" s="167">
        <v>230843891.31999999</v>
      </c>
      <c r="H203" s="167">
        <v>230868058.96000001</v>
      </c>
      <c r="I203" s="167">
        <v>230247636.93000001</v>
      </c>
      <c r="J203" s="167">
        <v>230205438.31999999</v>
      </c>
      <c r="K203" s="167">
        <v>230217355.66999999</v>
      </c>
      <c r="L203" s="167">
        <v>229922210</v>
      </c>
      <c r="M203" s="168"/>
      <c r="N203" s="168"/>
      <c r="O203" s="168"/>
      <c r="P203" s="168"/>
      <c r="Q203" s="168"/>
      <c r="R203" s="168"/>
      <c r="S203" s="168"/>
      <c r="T203" s="168"/>
      <c r="U203" s="168"/>
      <c r="V203" s="168"/>
      <c r="W203" s="168"/>
      <c r="X203" s="167">
        <v>229922210</v>
      </c>
    </row>
    <row r="204" spans="1:24" ht="14.4" x14ac:dyDescent="0.3">
      <c r="A204" s="163" t="s">
        <v>253</v>
      </c>
      <c r="B204" s="164">
        <v>2007</v>
      </c>
      <c r="C204" s="167">
        <v>238340850.06</v>
      </c>
      <c r="D204" s="167">
        <v>277017281.86000001</v>
      </c>
      <c r="E204" s="167">
        <v>275522840.40000004</v>
      </c>
      <c r="F204" s="167">
        <v>271658860.17000002</v>
      </c>
      <c r="G204" s="167">
        <v>274443048.61000001</v>
      </c>
      <c r="H204" s="167">
        <v>274284345.15000004</v>
      </c>
      <c r="I204" s="167">
        <v>274717000.64999998</v>
      </c>
      <c r="J204" s="167">
        <v>274583812.96999997</v>
      </c>
      <c r="K204" s="167">
        <v>274898607.69999999</v>
      </c>
      <c r="L204" s="168"/>
      <c r="M204" s="168"/>
      <c r="N204" s="168"/>
      <c r="O204" s="168"/>
      <c r="P204" s="168"/>
      <c r="Q204" s="168"/>
      <c r="R204" s="168"/>
      <c r="S204" s="168"/>
      <c r="T204" s="168"/>
      <c r="U204" s="168"/>
      <c r="V204" s="168"/>
      <c r="W204" s="168"/>
      <c r="X204" s="167">
        <v>274898607.69999999</v>
      </c>
    </row>
    <row r="205" spans="1:24" ht="14.4" x14ac:dyDescent="0.3">
      <c r="A205" s="163" t="s">
        <v>253</v>
      </c>
      <c r="B205" s="164">
        <v>2008</v>
      </c>
      <c r="C205" s="167">
        <v>285938715.08999997</v>
      </c>
      <c r="D205" s="167">
        <v>330385528.37</v>
      </c>
      <c r="E205" s="167">
        <v>331356305.94</v>
      </c>
      <c r="F205" s="167">
        <v>336279170</v>
      </c>
      <c r="G205" s="167">
        <v>335997936.45999998</v>
      </c>
      <c r="H205" s="167">
        <v>343394730.63999999</v>
      </c>
      <c r="I205" s="167">
        <v>343309373.02999997</v>
      </c>
      <c r="J205" s="167">
        <v>342920310.05000001</v>
      </c>
      <c r="K205" s="168"/>
      <c r="L205" s="168"/>
      <c r="M205" s="168"/>
      <c r="N205" s="168"/>
      <c r="O205" s="168"/>
      <c r="P205" s="168"/>
      <c r="Q205" s="168"/>
      <c r="R205" s="168"/>
      <c r="S205" s="168"/>
      <c r="T205" s="168"/>
      <c r="U205" s="168"/>
      <c r="V205" s="168"/>
      <c r="W205" s="168"/>
      <c r="X205" s="167">
        <v>342920310.05000001</v>
      </c>
    </row>
    <row r="206" spans="1:24" ht="14.4" x14ac:dyDescent="0.3">
      <c r="A206" s="163" t="s">
        <v>253</v>
      </c>
      <c r="B206" s="164">
        <v>2009</v>
      </c>
      <c r="C206" s="167">
        <v>196786549.03999999</v>
      </c>
      <c r="D206" s="167">
        <v>224665947.12</v>
      </c>
      <c r="E206" s="167">
        <v>224937001.50999999</v>
      </c>
      <c r="F206" s="167">
        <v>222749740.98000002</v>
      </c>
      <c r="G206" s="167">
        <v>222750760.98999998</v>
      </c>
      <c r="H206" s="167">
        <v>222847709.03</v>
      </c>
      <c r="I206" s="167">
        <v>222772553.46000001</v>
      </c>
      <c r="J206" s="168"/>
      <c r="K206" s="168"/>
      <c r="L206" s="168"/>
      <c r="M206" s="168"/>
      <c r="N206" s="168"/>
      <c r="O206" s="168"/>
      <c r="P206" s="168"/>
      <c r="Q206" s="168"/>
      <c r="R206" s="168"/>
      <c r="S206" s="168"/>
      <c r="T206" s="168"/>
      <c r="U206" s="168"/>
      <c r="V206" s="168"/>
      <c r="W206" s="168"/>
      <c r="X206" s="167">
        <v>222772553.46000001</v>
      </c>
    </row>
    <row r="207" spans="1:24" ht="14.4" x14ac:dyDescent="0.3">
      <c r="A207" s="163" t="s">
        <v>253</v>
      </c>
      <c r="B207" s="164">
        <v>2010</v>
      </c>
      <c r="C207" s="167">
        <v>207784255.56</v>
      </c>
      <c r="D207" s="167">
        <v>256547050.53</v>
      </c>
      <c r="E207" s="167">
        <v>255534543.22</v>
      </c>
      <c r="F207" s="167">
        <v>255078965.42000002</v>
      </c>
      <c r="G207" s="167">
        <v>254991996.05000001</v>
      </c>
      <c r="H207" s="167">
        <v>254430306.75999999</v>
      </c>
      <c r="I207" s="168"/>
      <c r="J207" s="168"/>
      <c r="K207" s="168"/>
      <c r="L207" s="168"/>
      <c r="M207" s="168"/>
      <c r="N207" s="168"/>
      <c r="O207" s="168"/>
      <c r="P207" s="168"/>
      <c r="Q207" s="168"/>
      <c r="R207" s="168"/>
      <c r="S207" s="168"/>
      <c r="T207" s="168"/>
      <c r="U207" s="168"/>
      <c r="V207" s="168"/>
      <c r="W207" s="168"/>
      <c r="X207" s="167">
        <v>254430306.75999999</v>
      </c>
    </row>
    <row r="208" spans="1:24" ht="14.4" x14ac:dyDescent="0.3">
      <c r="A208" s="163" t="s">
        <v>253</v>
      </c>
      <c r="B208" s="164">
        <v>2011</v>
      </c>
      <c r="C208" s="167">
        <v>266852562.56999999</v>
      </c>
      <c r="D208" s="167">
        <v>317785282.02999997</v>
      </c>
      <c r="E208" s="167">
        <v>320335721.23999995</v>
      </c>
      <c r="F208" s="167">
        <v>322328396.00999999</v>
      </c>
      <c r="G208" s="167">
        <v>322428044.43000001</v>
      </c>
      <c r="H208" s="168"/>
      <c r="I208" s="168"/>
      <c r="J208" s="168"/>
      <c r="K208" s="168"/>
      <c r="L208" s="168"/>
      <c r="M208" s="168"/>
      <c r="N208" s="168"/>
      <c r="O208" s="168"/>
      <c r="P208" s="168"/>
      <c r="Q208" s="168"/>
      <c r="R208" s="168"/>
      <c r="S208" s="168"/>
      <c r="T208" s="168"/>
      <c r="U208" s="168"/>
      <c r="V208" s="168"/>
      <c r="W208" s="168"/>
      <c r="X208" s="167">
        <v>322428044.43000001</v>
      </c>
    </row>
    <row r="209" spans="1:25" ht="14.4" x14ac:dyDescent="0.3">
      <c r="A209" s="163" t="s">
        <v>253</v>
      </c>
      <c r="B209" s="164">
        <v>2012</v>
      </c>
      <c r="C209" s="167">
        <v>297780326.31999999</v>
      </c>
      <c r="D209" s="167">
        <v>386476083.80000001</v>
      </c>
      <c r="E209" s="167">
        <v>389651016.77999997</v>
      </c>
      <c r="F209" s="167">
        <v>390926059.84999996</v>
      </c>
      <c r="G209" s="168"/>
      <c r="H209" s="168"/>
      <c r="I209" s="168"/>
      <c r="J209" s="168"/>
      <c r="K209" s="168"/>
      <c r="L209" s="168"/>
      <c r="M209" s="168"/>
      <c r="N209" s="168"/>
      <c r="O209" s="168"/>
      <c r="P209" s="168"/>
      <c r="Q209" s="168"/>
      <c r="R209" s="168"/>
      <c r="S209" s="168"/>
      <c r="T209" s="168"/>
      <c r="U209" s="168"/>
      <c r="V209" s="168"/>
      <c r="W209" s="168"/>
      <c r="X209" s="167">
        <v>390926059.84999996</v>
      </c>
    </row>
    <row r="210" spans="1:25" ht="14.4" x14ac:dyDescent="0.3">
      <c r="A210" s="163" t="s">
        <v>253</v>
      </c>
      <c r="B210" s="164">
        <v>2013</v>
      </c>
      <c r="C210" s="167">
        <v>258044967.44</v>
      </c>
      <c r="D210" s="167">
        <v>301900141.97000003</v>
      </c>
      <c r="E210" s="167">
        <v>311874311.32999998</v>
      </c>
      <c r="F210" s="168"/>
      <c r="G210" s="168"/>
      <c r="H210" s="168"/>
      <c r="I210" s="168"/>
      <c r="J210" s="168"/>
      <c r="K210" s="168"/>
      <c r="L210" s="168"/>
      <c r="M210" s="168"/>
      <c r="N210" s="168"/>
      <c r="O210" s="168"/>
      <c r="P210" s="168"/>
      <c r="Q210" s="168"/>
      <c r="R210" s="168"/>
      <c r="S210" s="168"/>
      <c r="T210" s="168"/>
      <c r="U210" s="168"/>
      <c r="V210" s="168"/>
      <c r="W210" s="168"/>
      <c r="X210" s="167">
        <v>311874311.32999998</v>
      </c>
    </row>
    <row r="211" spans="1:25" ht="14.4" x14ac:dyDescent="0.3">
      <c r="A211" s="163" t="s">
        <v>253</v>
      </c>
      <c r="B211" s="164">
        <v>2014</v>
      </c>
      <c r="C211" s="167">
        <v>234406266.95000002</v>
      </c>
      <c r="D211" s="167">
        <v>260882191.39999998</v>
      </c>
      <c r="E211" s="168"/>
      <c r="F211" s="168"/>
      <c r="G211" s="168"/>
      <c r="H211" s="168"/>
      <c r="I211" s="168"/>
      <c r="J211" s="168"/>
      <c r="K211" s="168"/>
      <c r="L211" s="168"/>
      <c r="M211" s="168"/>
      <c r="N211" s="168"/>
      <c r="O211" s="168"/>
      <c r="P211" s="168"/>
      <c r="Q211" s="168"/>
      <c r="R211" s="168"/>
      <c r="S211" s="168"/>
      <c r="T211" s="168"/>
      <c r="U211" s="168"/>
      <c r="V211" s="168"/>
      <c r="W211" s="168"/>
      <c r="X211" s="167">
        <v>260882191.39999998</v>
      </c>
    </row>
    <row r="212" spans="1:25" ht="14.4" x14ac:dyDescent="0.3">
      <c r="A212" s="163" t="s">
        <v>253</v>
      </c>
      <c r="B212" s="164">
        <v>2015</v>
      </c>
      <c r="C212" s="167">
        <v>219538580.08000001</v>
      </c>
      <c r="D212" s="168"/>
      <c r="E212" s="168"/>
      <c r="F212" s="168"/>
      <c r="G212" s="168"/>
      <c r="H212" s="168"/>
      <c r="I212" s="168"/>
      <c r="J212" s="168"/>
      <c r="K212" s="168"/>
      <c r="L212" s="168"/>
      <c r="M212" s="168"/>
      <c r="N212" s="168"/>
      <c r="O212" s="168"/>
      <c r="P212" s="168"/>
      <c r="Q212" s="168"/>
      <c r="R212" s="168"/>
      <c r="S212" s="168"/>
      <c r="T212" s="168"/>
      <c r="U212" s="168"/>
      <c r="V212" s="168"/>
      <c r="W212" s="168"/>
      <c r="X212" s="167">
        <v>219538580.08000001</v>
      </c>
    </row>
    <row r="213" spans="1:25" ht="14.4" x14ac:dyDescent="0.3">
      <c r="A213" s="163" t="s">
        <v>254</v>
      </c>
      <c r="B213" s="164">
        <v>1995</v>
      </c>
      <c r="C213" s="167">
        <v>142890209.08999997</v>
      </c>
      <c r="D213" s="167">
        <v>178897209.22</v>
      </c>
      <c r="E213" s="167">
        <v>186086228</v>
      </c>
      <c r="F213" s="167">
        <v>189938982.78999999</v>
      </c>
      <c r="G213" s="167">
        <v>193800481.69</v>
      </c>
      <c r="H213" s="167">
        <v>193637085.53</v>
      </c>
      <c r="I213" s="167">
        <v>193138575.41</v>
      </c>
      <c r="J213" s="167">
        <v>193675225.77000001</v>
      </c>
      <c r="K213" s="167">
        <v>195209234</v>
      </c>
      <c r="L213" s="167">
        <v>194862406.35999998</v>
      </c>
      <c r="M213" s="167">
        <v>194357077.29999998</v>
      </c>
      <c r="N213" s="167">
        <v>194465514.88</v>
      </c>
      <c r="O213" s="167">
        <v>193485918.59999999</v>
      </c>
      <c r="P213" s="167">
        <v>193427972.89000002</v>
      </c>
      <c r="Q213" s="167">
        <v>192988906.38999999</v>
      </c>
      <c r="R213" s="167">
        <v>192980034.94999999</v>
      </c>
      <c r="S213" s="167">
        <v>192958113.92000002</v>
      </c>
      <c r="T213" s="167">
        <v>192568569.43000001</v>
      </c>
      <c r="U213" s="167">
        <v>192568570.43000001</v>
      </c>
      <c r="V213" s="167">
        <v>192517170.43000001</v>
      </c>
      <c r="W213" s="167">
        <v>192516170.43000001</v>
      </c>
      <c r="X213" s="167">
        <v>192516170.43000001</v>
      </c>
      <c r="Y213" s="154">
        <f>X213-INDEX($B$213:$W$233,B213-$B$213+1,$B$233-B213+1)</f>
        <v>-1000</v>
      </c>
    </row>
    <row r="214" spans="1:25" ht="14.4" x14ac:dyDescent="0.3">
      <c r="A214" s="163" t="s">
        <v>254</v>
      </c>
      <c r="B214" s="164">
        <v>1996</v>
      </c>
      <c r="C214" s="167">
        <v>157921575.44</v>
      </c>
      <c r="D214" s="167">
        <v>210214107.63000003</v>
      </c>
      <c r="E214" s="167">
        <v>216185615.82999998</v>
      </c>
      <c r="F214" s="167">
        <v>221966805.32999998</v>
      </c>
      <c r="G214" s="167">
        <v>222648695.69999999</v>
      </c>
      <c r="H214" s="167">
        <v>221744693.84</v>
      </c>
      <c r="I214" s="167">
        <v>220842203.71000001</v>
      </c>
      <c r="J214" s="167">
        <v>220565884.92000002</v>
      </c>
      <c r="K214" s="167">
        <v>221196424.44999999</v>
      </c>
      <c r="L214" s="167">
        <v>221374169.89999998</v>
      </c>
      <c r="M214" s="167">
        <v>219893356.47</v>
      </c>
      <c r="N214" s="167">
        <v>219865049.91</v>
      </c>
      <c r="O214" s="167">
        <v>220151699.66000003</v>
      </c>
      <c r="P214" s="167">
        <v>219359962.78000003</v>
      </c>
      <c r="Q214" s="167">
        <v>219462887.06999999</v>
      </c>
      <c r="R214" s="167">
        <v>219418847.98000002</v>
      </c>
      <c r="S214" s="167">
        <v>219355714.98000002</v>
      </c>
      <c r="T214" s="167">
        <v>219366492.96000001</v>
      </c>
      <c r="U214" s="167">
        <v>219238809.59000003</v>
      </c>
      <c r="V214" s="167">
        <v>219239550.19000003</v>
      </c>
      <c r="W214" s="168"/>
      <c r="X214" s="167">
        <v>219239550.19000003</v>
      </c>
      <c r="Y214" s="154">
        <f t="shared" ref="Y214:Y233" si="2">X214-INDEX($B$213:$W$233,B214-$B$213+1,$B$233-B214+1)</f>
        <v>740.59999999403954</v>
      </c>
    </row>
    <row r="215" spans="1:25" ht="14.4" x14ac:dyDescent="0.3">
      <c r="A215" s="163" t="s">
        <v>254</v>
      </c>
      <c r="B215" s="164">
        <v>1997</v>
      </c>
      <c r="C215" s="167">
        <v>169139877.00999999</v>
      </c>
      <c r="D215" s="167">
        <v>197445538.47</v>
      </c>
      <c r="E215" s="167">
        <v>219761772.23000002</v>
      </c>
      <c r="F215" s="167">
        <v>212200061.90000001</v>
      </c>
      <c r="G215" s="167">
        <v>210150268.84999999</v>
      </c>
      <c r="H215" s="167">
        <v>209308098.25</v>
      </c>
      <c r="I215" s="167">
        <v>207769901.56999999</v>
      </c>
      <c r="J215" s="167">
        <v>208080708.97999999</v>
      </c>
      <c r="K215" s="167">
        <v>207915537.66</v>
      </c>
      <c r="L215" s="167">
        <v>208133040.94999999</v>
      </c>
      <c r="M215" s="167">
        <v>207423045.53999999</v>
      </c>
      <c r="N215" s="167">
        <v>207113272.09</v>
      </c>
      <c r="O215" s="167">
        <v>207111926.47999999</v>
      </c>
      <c r="P215" s="167">
        <v>207132662.96000001</v>
      </c>
      <c r="Q215" s="167">
        <v>206968668.65000001</v>
      </c>
      <c r="R215" s="167">
        <v>206970290.50999999</v>
      </c>
      <c r="S215" s="167">
        <v>206968447.07999998</v>
      </c>
      <c r="T215" s="167">
        <v>206731873.84999999</v>
      </c>
      <c r="U215" s="167">
        <v>206731959.61000001</v>
      </c>
      <c r="V215" s="168"/>
      <c r="W215" s="168"/>
      <c r="X215" s="167">
        <v>206731959.61000001</v>
      </c>
      <c r="Y215" s="154">
        <f t="shared" si="2"/>
        <v>85.760000020265579</v>
      </c>
    </row>
    <row r="216" spans="1:25" ht="14.4" x14ac:dyDescent="0.3">
      <c r="A216" s="163" t="s">
        <v>254</v>
      </c>
      <c r="B216" s="164">
        <v>1998</v>
      </c>
      <c r="C216" s="167">
        <v>112913639.55</v>
      </c>
      <c r="D216" s="167">
        <v>168738020.85999998</v>
      </c>
      <c r="E216" s="167">
        <v>174066441.90000001</v>
      </c>
      <c r="F216" s="167">
        <v>176505825.5</v>
      </c>
      <c r="G216" s="167">
        <v>177345070.73000002</v>
      </c>
      <c r="H216" s="167">
        <v>181570947.34</v>
      </c>
      <c r="I216" s="167">
        <v>181419337.31999999</v>
      </c>
      <c r="J216" s="167">
        <v>182113502.44</v>
      </c>
      <c r="K216" s="167">
        <v>181645831.92000002</v>
      </c>
      <c r="L216" s="167">
        <v>181242249.53</v>
      </c>
      <c r="M216" s="167">
        <v>181218512.57000002</v>
      </c>
      <c r="N216" s="167">
        <v>181154730.78</v>
      </c>
      <c r="O216" s="167">
        <v>180969447.62</v>
      </c>
      <c r="P216" s="167">
        <v>179704428.51000002</v>
      </c>
      <c r="Q216" s="167">
        <v>179787448.17000002</v>
      </c>
      <c r="R216" s="167">
        <v>179785441.13</v>
      </c>
      <c r="S216" s="167">
        <v>179788670.63</v>
      </c>
      <c r="T216" s="167">
        <v>179786625.63</v>
      </c>
      <c r="U216" s="168"/>
      <c r="V216" s="168"/>
      <c r="W216" s="168"/>
      <c r="X216" s="167">
        <v>179786625.63</v>
      </c>
      <c r="Y216" s="154">
        <f t="shared" si="2"/>
        <v>-2045</v>
      </c>
    </row>
    <row r="217" spans="1:25" ht="14.4" x14ac:dyDescent="0.3">
      <c r="A217" s="163" t="s">
        <v>254</v>
      </c>
      <c r="B217" s="164">
        <v>1999</v>
      </c>
      <c r="C217" s="167">
        <v>105171023.36</v>
      </c>
      <c r="D217" s="167">
        <v>139570236.43000001</v>
      </c>
      <c r="E217" s="167">
        <v>156389180.46000001</v>
      </c>
      <c r="F217" s="167">
        <v>163655126.16000003</v>
      </c>
      <c r="G217" s="167">
        <v>158890555.5</v>
      </c>
      <c r="H217" s="167">
        <v>166114859.22999999</v>
      </c>
      <c r="I217" s="167">
        <v>165767311.66</v>
      </c>
      <c r="J217" s="167">
        <v>165531098.78</v>
      </c>
      <c r="K217" s="167">
        <v>164526651.56</v>
      </c>
      <c r="L217" s="167">
        <v>164136186.76999998</v>
      </c>
      <c r="M217" s="167">
        <v>163234812.63</v>
      </c>
      <c r="N217" s="167">
        <v>161912930.83000001</v>
      </c>
      <c r="O217" s="167">
        <v>162059331.81999999</v>
      </c>
      <c r="P217" s="167">
        <v>160845373.81</v>
      </c>
      <c r="Q217" s="167">
        <v>161108862.57999998</v>
      </c>
      <c r="R217" s="167">
        <v>161249082.57999998</v>
      </c>
      <c r="S217" s="167">
        <v>161249094.93000001</v>
      </c>
      <c r="T217" s="168"/>
      <c r="U217" s="168"/>
      <c r="V217" s="168"/>
      <c r="W217" s="168"/>
      <c r="X217" s="167">
        <v>161249094.93000001</v>
      </c>
      <c r="Y217" s="154">
        <f t="shared" si="2"/>
        <v>12.350000023841858</v>
      </c>
    </row>
    <row r="218" spans="1:25" ht="14.4" x14ac:dyDescent="0.3">
      <c r="A218" s="163" t="s">
        <v>254</v>
      </c>
      <c r="B218" s="164">
        <v>2000</v>
      </c>
      <c r="C218" s="167">
        <v>110919819.33</v>
      </c>
      <c r="D218" s="167">
        <v>164412059.72</v>
      </c>
      <c r="E218" s="167">
        <v>171641325.47</v>
      </c>
      <c r="F218" s="167">
        <v>182526866.66</v>
      </c>
      <c r="G218" s="167">
        <v>192645464.13000003</v>
      </c>
      <c r="H218" s="167">
        <v>193078669.10999998</v>
      </c>
      <c r="I218" s="167">
        <v>192839797.78999999</v>
      </c>
      <c r="J218" s="167">
        <v>196839132.47</v>
      </c>
      <c r="K218" s="167">
        <v>197602174.47000003</v>
      </c>
      <c r="L218" s="167">
        <v>197611228.41</v>
      </c>
      <c r="M218" s="167">
        <v>197597567.66</v>
      </c>
      <c r="N218" s="167">
        <v>197908866.94</v>
      </c>
      <c r="O218" s="167">
        <v>197684573.47999999</v>
      </c>
      <c r="P218" s="167">
        <v>197693330.19999999</v>
      </c>
      <c r="Q218" s="167">
        <v>197673465.75999999</v>
      </c>
      <c r="R218" s="167">
        <v>197674107.06999999</v>
      </c>
      <c r="S218" s="168"/>
      <c r="T218" s="168"/>
      <c r="U218" s="168"/>
      <c r="V218" s="168"/>
      <c r="W218" s="168"/>
      <c r="X218" s="167">
        <v>197674107.06999999</v>
      </c>
      <c r="Y218" s="154">
        <f t="shared" si="2"/>
        <v>641.31000000238419</v>
      </c>
    </row>
    <row r="219" spans="1:25" ht="14.4" x14ac:dyDescent="0.3">
      <c r="A219" s="163" t="s">
        <v>254</v>
      </c>
      <c r="B219" s="164">
        <v>2001</v>
      </c>
      <c r="C219" s="167">
        <v>117977238.22</v>
      </c>
      <c r="D219" s="167">
        <v>144340618.15000001</v>
      </c>
      <c r="E219" s="167">
        <v>153981105.74000001</v>
      </c>
      <c r="F219" s="167">
        <v>159646394.31</v>
      </c>
      <c r="G219" s="167">
        <v>160441352.22</v>
      </c>
      <c r="H219" s="167">
        <v>160328336.53999999</v>
      </c>
      <c r="I219" s="167">
        <v>156944316.72999999</v>
      </c>
      <c r="J219" s="167">
        <v>156740089.39999998</v>
      </c>
      <c r="K219" s="167">
        <v>156734955.28999999</v>
      </c>
      <c r="L219" s="167">
        <v>156551943.83000001</v>
      </c>
      <c r="M219" s="167">
        <v>156652381.91</v>
      </c>
      <c r="N219" s="167">
        <v>157018605.83000001</v>
      </c>
      <c r="O219" s="167">
        <v>157077239.03</v>
      </c>
      <c r="P219" s="167">
        <v>157094862.62</v>
      </c>
      <c r="Q219" s="167">
        <v>157083076.19</v>
      </c>
      <c r="R219" s="168"/>
      <c r="S219" s="168"/>
      <c r="T219" s="168"/>
      <c r="U219" s="168"/>
      <c r="V219" s="168"/>
      <c r="W219" s="168"/>
      <c r="X219" s="167">
        <v>157083076.19</v>
      </c>
      <c r="Y219" s="154">
        <f t="shared" si="2"/>
        <v>-11786.430000007153</v>
      </c>
    </row>
    <row r="220" spans="1:25" ht="14.4" x14ac:dyDescent="0.3">
      <c r="A220" s="163" t="s">
        <v>254</v>
      </c>
      <c r="B220" s="164">
        <v>2002</v>
      </c>
      <c r="C220" s="167">
        <v>115029997.79000001</v>
      </c>
      <c r="D220" s="167">
        <v>141514500.19999999</v>
      </c>
      <c r="E220" s="167">
        <v>151602008.87</v>
      </c>
      <c r="F220" s="167">
        <v>152522027.53999999</v>
      </c>
      <c r="G220" s="167">
        <v>156252390.21000001</v>
      </c>
      <c r="H220" s="167">
        <v>157046449.22</v>
      </c>
      <c r="I220" s="167">
        <v>154652510.88000003</v>
      </c>
      <c r="J220" s="167">
        <v>154200262.78</v>
      </c>
      <c r="K220" s="167">
        <v>153010950.80000001</v>
      </c>
      <c r="L220" s="167">
        <v>153049391.96000001</v>
      </c>
      <c r="M220" s="167">
        <v>152837479.88</v>
      </c>
      <c r="N220" s="167">
        <v>152863923.84999999</v>
      </c>
      <c r="O220" s="167">
        <v>152982162.45000002</v>
      </c>
      <c r="P220" s="167">
        <v>152999211.54999998</v>
      </c>
      <c r="Q220" s="168"/>
      <c r="R220" s="168"/>
      <c r="S220" s="168"/>
      <c r="T220" s="168"/>
      <c r="U220" s="168"/>
      <c r="V220" s="168"/>
      <c r="W220" s="168"/>
      <c r="X220" s="167">
        <v>152999211.54999998</v>
      </c>
      <c r="Y220" s="154">
        <f t="shared" si="2"/>
        <v>17049.099999964237</v>
      </c>
    </row>
    <row r="221" spans="1:25" ht="14.4" x14ac:dyDescent="0.3">
      <c r="A221" s="163" t="s">
        <v>254</v>
      </c>
      <c r="B221" s="164">
        <v>2003</v>
      </c>
      <c r="C221" s="167">
        <v>104659503.61</v>
      </c>
      <c r="D221" s="167">
        <v>137110462.43000001</v>
      </c>
      <c r="E221" s="167">
        <v>141082375</v>
      </c>
      <c r="F221" s="167">
        <v>145360421.21000001</v>
      </c>
      <c r="G221" s="167">
        <v>146928246.97</v>
      </c>
      <c r="H221" s="167">
        <v>146055837.66</v>
      </c>
      <c r="I221" s="167">
        <v>145944194.14000002</v>
      </c>
      <c r="J221" s="167">
        <v>145802928.90000001</v>
      </c>
      <c r="K221" s="167">
        <v>145592124.03</v>
      </c>
      <c r="L221" s="167">
        <v>146128627.94999999</v>
      </c>
      <c r="M221" s="167">
        <v>146042058.53999999</v>
      </c>
      <c r="N221" s="167">
        <v>145936813.88000003</v>
      </c>
      <c r="O221" s="167">
        <v>145938794.11000001</v>
      </c>
      <c r="P221" s="168"/>
      <c r="Q221" s="168"/>
      <c r="R221" s="168"/>
      <c r="S221" s="168"/>
      <c r="T221" s="168"/>
      <c r="U221" s="168"/>
      <c r="V221" s="168"/>
      <c r="W221" s="168"/>
      <c r="X221" s="167">
        <v>145938794.11000001</v>
      </c>
      <c r="Y221" s="154">
        <f t="shared" si="2"/>
        <v>1980.2299999892712</v>
      </c>
    </row>
    <row r="222" spans="1:25" ht="14.4" x14ac:dyDescent="0.3">
      <c r="A222" s="163" t="s">
        <v>254</v>
      </c>
      <c r="B222" s="164">
        <v>2004</v>
      </c>
      <c r="C222" s="167">
        <v>127989196.7</v>
      </c>
      <c r="D222" s="167">
        <v>137810280.13</v>
      </c>
      <c r="E222" s="167">
        <v>139311640.91</v>
      </c>
      <c r="F222" s="167">
        <v>143001839.06</v>
      </c>
      <c r="G222" s="167">
        <v>144792257</v>
      </c>
      <c r="H222" s="167">
        <v>145169488.29999998</v>
      </c>
      <c r="I222" s="167">
        <v>144561637.76000002</v>
      </c>
      <c r="J222" s="167">
        <v>145408943.59999999</v>
      </c>
      <c r="K222" s="167">
        <v>145384943.20000002</v>
      </c>
      <c r="L222" s="167">
        <v>144901468.98000002</v>
      </c>
      <c r="M222" s="167">
        <v>144906563.03999999</v>
      </c>
      <c r="N222" s="167">
        <v>144905665.31</v>
      </c>
      <c r="O222" s="168"/>
      <c r="P222" s="168"/>
      <c r="Q222" s="168"/>
      <c r="R222" s="168"/>
      <c r="S222" s="168"/>
      <c r="T222" s="168"/>
      <c r="U222" s="168"/>
      <c r="V222" s="168"/>
      <c r="W222" s="168"/>
      <c r="X222" s="167">
        <v>144905665.31</v>
      </c>
      <c r="Y222" s="154">
        <f t="shared" si="2"/>
        <v>-897.72999998927116</v>
      </c>
    </row>
    <row r="223" spans="1:25" ht="14.4" x14ac:dyDescent="0.3">
      <c r="A223" s="163" t="s">
        <v>254</v>
      </c>
      <c r="B223" s="164">
        <v>2005</v>
      </c>
      <c r="C223" s="167">
        <v>115738131.47</v>
      </c>
      <c r="D223" s="167">
        <v>105820972.19</v>
      </c>
      <c r="E223" s="167">
        <v>105299481.53</v>
      </c>
      <c r="F223" s="167">
        <v>108580763.04000002</v>
      </c>
      <c r="G223" s="167">
        <v>106992886.19000001</v>
      </c>
      <c r="H223" s="167">
        <v>104275261.61000001</v>
      </c>
      <c r="I223" s="167">
        <v>103439127.31999999</v>
      </c>
      <c r="J223" s="167">
        <v>103572390.26000002</v>
      </c>
      <c r="K223" s="167">
        <v>103550698.34</v>
      </c>
      <c r="L223" s="167">
        <v>103619492.17</v>
      </c>
      <c r="M223" s="167">
        <v>103572597.90000001</v>
      </c>
      <c r="N223" s="168"/>
      <c r="O223" s="168"/>
      <c r="P223" s="168"/>
      <c r="Q223" s="168"/>
      <c r="R223" s="168"/>
      <c r="S223" s="168"/>
      <c r="T223" s="168"/>
      <c r="U223" s="168"/>
      <c r="V223" s="168"/>
      <c r="W223" s="168"/>
      <c r="X223" s="167">
        <v>103572597.90000001</v>
      </c>
      <c r="Y223" s="154">
        <f t="shared" si="2"/>
        <v>-46894.269999995828</v>
      </c>
    </row>
    <row r="224" spans="1:25" ht="14.4" x14ac:dyDescent="0.3">
      <c r="A224" s="163" t="s">
        <v>254</v>
      </c>
      <c r="B224" s="164">
        <v>2006</v>
      </c>
      <c r="C224" s="167">
        <v>85951034.25</v>
      </c>
      <c r="D224" s="167">
        <v>106929790.75999999</v>
      </c>
      <c r="E224" s="167">
        <v>112481809.87</v>
      </c>
      <c r="F224" s="167">
        <v>111393353.22999999</v>
      </c>
      <c r="G224" s="167">
        <v>112216943.87</v>
      </c>
      <c r="H224" s="167">
        <v>111992946.82000001</v>
      </c>
      <c r="I224" s="167">
        <v>111992408.38</v>
      </c>
      <c r="J224" s="167">
        <v>111419546.37</v>
      </c>
      <c r="K224" s="167">
        <v>111328605.97999999</v>
      </c>
      <c r="L224" s="167">
        <v>111318096.09</v>
      </c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7">
        <v>111318096.09</v>
      </c>
      <c r="Y224" s="154">
        <f t="shared" si="2"/>
        <v>-10509.889999985695</v>
      </c>
    </row>
    <row r="225" spans="1:51" ht="14.4" x14ac:dyDescent="0.3">
      <c r="A225" s="163" t="s">
        <v>254</v>
      </c>
      <c r="B225" s="164">
        <v>2007</v>
      </c>
      <c r="C225" s="167">
        <v>72762419.170000002</v>
      </c>
      <c r="D225" s="167">
        <v>90477860.730000004</v>
      </c>
      <c r="E225" s="167">
        <v>102915643.17999999</v>
      </c>
      <c r="F225" s="167">
        <v>107219128.69</v>
      </c>
      <c r="G225" s="167">
        <v>107932841.89</v>
      </c>
      <c r="H225" s="167">
        <v>108866605.69</v>
      </c>
      <c r="I225" s="167">
        <v>104727186.46000001</v>
      </c>
      <c r="J225" s="167">
        <v>104914822.20999999</v>
      </c>
      <c r="K225" s="167">
        <v>104836094.89</v>
      </c>
      <c r="L225" s="168"/>
      <c r="M225" s="168"/>
      <c r="N225" s="168"/>
      <c r="O225" s="168"/>
      <c r="P225" s="168"/>
      <c r="Q225" s="168"/>
      <c r="R225" s="168"/>
      <c r="S225" s="168"/>
      <c r="T225" s="168"/>
      <c r="U225" s="168"/>
      <c r="V225" s="168"/>
      <c r="W225" s="168"/>
      <c r="X225" s="167">
        <v>104836094.89</v>
      </c>
      <c r="Y225" s="154">
        <f t="shared" si="2"/>
        <v>-78727.319999992847</v>
      </c>
    </row>
    <row r="226" spans="1:51" ht="14.4" x14ac:dyDescent="0.3">
      <c r="A226" s="163" t="s">
        <v>254</v>
      </c>
      <c r="B226" s="164">
        <v>2008</v>
      </c>
      <c r="C226" s="167">
        <v>101939182.23</v>
      </c>
      <c r="D226" s="167">
        <v>117945915.24000001</v>
      </c>
      <c r="E226" s="167">
        <v>123144516.44</v>
      </c>
      <c r="F226" s="167">
        <v>123230841.25</v>
      </c>
      <c r="G226" s="167">
        <v>123176171.05</v>
      </c>
      <c r="H226" s="167">
        <v>122103952.31</v>
      </c>
      <c r="I226" s="167">
        <v>122175422</v>
      </c>
      <c r="J226" s="167">
        <v>123020908.98999999</v>
      </c>
      <c r="K226" s="168"/>
      <c r="L226" s="168"/>
      <c r="M226" s="168"/>
      <c r="N226" s="168"/>
      <c r="O226" s="168"/>
      <c r="P226" s="168"/>
      <c r="Q226" s="168"/>
      <c r="R226" s="168"/>
      <c r="S226" s="168"/>
      <c r="T226" s="168"/>
      <c r="U226" s="168"/>
      <c r="V226" s="168"/>
      <c r="W226" s="168"/>
      <c r="X226" s="167">
        <v>123020908.98999999</v>
      </c>
      <c r="Y226" s="154">
        <f t="shared" si="2"/>
        <v>845486.98999999464</v>
      </c>
    </row>
    <row r="227" spans="1:51" ht="14.4" x14ac:dyDescent="0.3">
      <c r="A227" s="163" t="s">
        <v>254</v>
      </c>
      <c r="B227" s="164">
        <v>2009</v>
      </c>
      <c r="C227" s="167">
        <v>67030444.579999998</v>
      </c>
      <c r="D227" s="167">
        <v>78505368.859999999</v>
      </c>
      <c r="E227" s="167">
        <v>84005690.939999998</v>
      </c>
      <c r="F227" s="167">
        <v>86278964.419999987</v>
      </c>
      <c r="G227" s="167">
        <v>88051375.629999995</v>
      </c>
      <c r="H227" s="167">
        <v>87907080.319999993</v>
      </c>
      <c r="I227" s="167">
        <v>88288838.24000001</v>
      </c>
      <c r="J227" s="168"/>
      <c r="K227" s="168"/>
      <c r="L227" s="168"/>
      <c r="M227" s="168"/>
      <c r="N227" s="168"/>
      <c r="O227" s="168"/>
      <c r="P227" s="168"/>
      <c r="Q227" s="168"/>
      <c r="R227" s="168"/>
      <c r="S227" s="168"/>
      <c r="T227" s="168"/>
      <c r="U227" s="168"/>
      <c r="V227" s="168"/>
      <c r="W227" s="168"/>
      <c r="X227" s="167">
        <v>88288838.24000001</v>
      </c>
      <c r="Y227" s="154">
        <f t="shared" si="2"/>
        <v>381757.92000001669</v>
      </c>
    </row>
    <row r="228" spans="1:51" ht="14.4" x14ac:dyDescent="0.3">
      <c r="A228" s="163" t="s">
        <v>254</v>
      </c>
      <c r="B228" s="164">
        <v>2010</v>
      </c>
      <c r="C228" s="167">
        <v>99344972.170000002</v>
      </c>
      <c r="D228" s="167">
        <v>112682428.35000001</v>
      </c>
      <c r="E228" s="167">
        <v>115854410.53</v>
      </c>
      <c r="F228" s="167">
        <v>117906768.59999999</v>
      </c>
      <c r="G228" s="167">
        <v>118193258.59</v>
      </c>
      <c r="H228" s="167">
        <v>120348413.69999999</v>
      </c>
      <c r="I228" s="168"/>
      <c r="J228" s="168"/>
      <c r="K228" s="168"/>
      <c r="L228" s="168"/>
      <c r="M228" s="168"/>
      <c r="N228" s="168"/>
      <c r="O228" s="168"/>
      <c r="P228" s="168"/>
      <c r="Q228" s="168"/>
      <c r="R228" s="168"/>
      <c r="S228" s="168"/>
      <c r="T228" s="168"/>
      <c r="U228" s="168"/>
      <c r="V228" s="168"/>
      <c r="W228" s="168"/>
      <c r="X228" s="167">
        <v>120348413.69999999</v>
      </c>
      <c r="Y228" s="154">
        <f t="shared" si="2"/>
        <v>2155155.1099999845</v>
      </c>
    </row>
    <row r="229" spans="1:51" ht="14.4" x14ac:dyDescent="0.3">
      <c r="A229" s="163" t="s">
        <v>254</v>
      </c>
      <c r="B229" s="164">
        <v>2011</v>
      </c>
      <c r="C229" s="167">
        <v>78739543.100000009</v>
      </c>
      <c r="D229" s="167">
        <v>86646632.25</v>
      </c>
      <c r="E229" s="167">
        <v>92796807.780000001</v>
      </c>
      <c r="F229" s="167">
        <v>92238077.040000007</v>
      </c>
      <c r="G229" s="167">
        <v>91959215.50999999</v>
      </c>
      <c r="H229" s="168"/>
      <c r="I229" s="168"/>
      <c r="J229" s="168"/>
      <c r="K229" s="168"/>
      <c r="L229" s="168"/>
      <c r="M229" s="168"/>
      <c r="N229" s="168"/>
      <c r="O229" s="168"/>
      <c r="P229" s="168"/>
      <c r="Q229" s="168"/>
      <c r="R229" s="168"/>
      <c r="S229" s="168"/>
      <c r="T229" s="168"/>
      <c r="U229" s="168"/>
      <c r="V229" s="168"/>
      <c r="W229" s="168"/>
      <c r="X229" s="167">
        <v>91959215.50999999</v>
      </c>
      <c r="Y229" s="154">
        <f t="shared" si="2"/>
        <v>-278861.53000001609</v>
      </c>
    </row>
    <row r="230" spans="1:51" ht="14.4" x14ac:dyDescent="0.3">
      <c r="A230" s="163" t="s">
        <v>254</v>
      </c>
      <c r="B230" s="164">
        <v>2012</v>
      </c>
      <c r="C230" s="167">
        <v>120590348.34</v>
      </c>
      <c r="D230" s="167">
        <v>151661551.23000002</v>
      </c>
      <c r="E230" s="167">
        <v>154800999.00999999</v>
      </c>
      <c r="F230" s="167">
        <v>156801030.25</v>
      </c>
      <c r="G230" s="168"/>
      <c r="H230" s="168"/>
      <c r="I230" s="168"/>
      <c r="J230" s="168"/>
      <c r="K230" s="168"/>
      <c r="L230" s="168"/>
      <c r="M230" s="168"/>
      <c r="N230" s="168"/>
      <c r="O230" s="168"/>
      <c r="P230" s="168"/>
      <c r="Q230" s="168"/>
      <c r="R230" s="168"/>
      <c r="S230" s="168"/>
      <c r="T230" s="168"/>
      <c r="U230" s="168"/>
      <c r="V230" s="168"/>
      <c r="W230" s="168"/>
      <c r="X230" s="167">
        <v>156801030.25</v>
      </c>
      <c r="Y230" s="154">
        <f t="shared" si="2"/>
        <v>2000031.2400000095</v>
      </c>
    </row>
    <row r="231" spans="1:51" ht="14.4" x14ac:dyDescent="0.3">
      <c r="A231" s="163" t="s">
        <v>254</v>
      </c>
      <c r="B231" s="164">
        <v>2013</v>
      </c>
      <c r="C231" s="167">
        <v>42022329.839999996</v>
      </c>
      <c r="D231" s="167">
        <v>53864335.390000001</v>
      </c>
      <c r="E231" s="167">
        <v>53868297.640000001</v>
      </c>
      <c r="F231" s="168"/>
      <c r="G231" s="168"/>
      <c r="H231" s="168"/>
      <c r="I231" s="168"/>
      <c r="J231" s="168"/>
      <c r="K231" s="168"/>
      <c r="L231" s="168"/>
      <c r="M231" s="168"/>
      <c r="N231" s="168"/>
      <c r="O231" s="168"/>
      <c r="P231" s="168"/>
      <c r="Q231" s="168"/>
      <c r="R231" s="168"/>
      <c r="S231" s="168"/>
      <c r="T231" s="168"/>
      <c r="U231" s="168"/>
      <c r="V231" s="168"/>
      <c r="W231" s="168"/>
      <c r="X231" s="167">
        <v>53868297.640000001</v>
      </c>
      <c r="Y231" s="154">
        <f t="shared" si="2"/>
        <v>3962.25</v>
      </c>
    </row>
    <row r="232" spans="1:51" ht="14.4" x14ac:dyDescent="0.3">
      <c r="A232" s="163" t="s">
        <v>254</v>
      </c>
      <c r="B232" s="164">
        <v>2014</v>
      </c>
      <c r="C232" s="167">
        <v>25540580.370000001</v>
      </c>
      <c r="D232" s="167">
        <v>41036478.670000002</v>
      </c>
      <c r="E232" s="168"/>
      <c r="F232" s="168"/>
      <c r="G232" s="168"/>
      <c r="H232" s="168"/>
      <c r="I232" s="168"/>
      <c r="J232" s="168"/>
      <c r="K232" s="168"/>
      <c r="L232" s="168"/>
      <c r="M232" s="168"/>
      <c r="N232" s="168"/>
      <c r="O232" s="168"/>
      <c r="P232" s="168"/>
      <c r="Q232" s="168"/>
      <c r="R232" s="168"/>
      <c r="S232" s="168"/>
      <c r="T232" s="168"/>
      <c r="U232" s="168"/>
      <c r="V232" s="168"/>
      <c r="W232" s="168"/>
      <c r="X232" s="167">
        <v>41036478.670000002</v>
      </c>
      <c r="Y232" s="154">
        <f t="shared" si="2"/>
        <v>15495898.300000001</v>
      </c>
    </row>
    <row r="233" spans="1:51" ht="14.4" x14ac:dyDescent="0.3">
      <c r="A233" s="163" t="s">
        <v>254</v>
      </c>
      <c r="B233" s="164">
        <v>2015</v>
      </c>
      <c r="C233" s="167">
        <v>23289864.649999999</v>
      </c>
      <c r="D233" s="168"/>
      <c r="E233" s="168"/>
      <c r="F233" s="168"/>
      <c r="G233" s="168"/>
      <c r="H233" s="168"/>
      <c r="I233" s="168"/>
      <c r="J233" s="168"/>
      <c r="K233" s="168"/>
      <c r="L233" s="168"/>
      <c r="M233" s="168"/>
      <c r="N233" s="168"/>
      <c r="O233" s="168"/>
      <c r="P233" s="168"/>
      <c r="Q233" s="168"/>
      <c r="R233" s="168"/>
      <c r="S233" s="168"/>
      <c r="T233" s="168"/>
      <c r="U233" s="168"/>
      <c r="V233" s="168"/>
      <c r="W233" s="168"/>
      <c r="X233" s="167">
        <v>23289864.649999999</v>
      </c>
      <c r="Y233" s="154">
        <f t="shared" si="2"/>
        <v>23287849.649999999</v>
      </c>
    </row>
    <row r="234" spans="1:51" ht="14.4" x14ac:dyDescent="0.3">
      <c r="A234" s="163" t="s">
        <v>240</v>
      </c>
      <c r="B234" s="164">
        <v>1995</v>
      </c>
      <c r="C234" s="167">
        <v>167898240.63</v>
      </c>
      <c r="D234" s="167">
        <v>276859388.92000002</v>
      </c>
      <c r="E234" s="167">
        <v>333513307.94999999</v>
      </c>
      <c r="F234" s="167">
        <v>349546663.04999995</v>
      </c>
      <c r="G234" s="167">
        <v>361374509.46999997</v>
      </c>
      <c r="H234" s="167">
        <v>378410745.00000006</v>
      </c>
      <c r="I234" s="167">
        <v>383964977.94</v>
      </c>
      <c r="J234" s="167">
        <v>390257557.12</v>
      </c>
      <c r="K234" s="167">
        <v>391913754.35000002</v>
      </c>
      <c r="L234" s="167">
        <v>400413177.97000003</v>
      </c>
      <c r="M234" s="167">
        <v>401668322.19999993</v>
      </c>
      <c r="N234" s="167">
        <v>404400195.53999996</v>
      </c>
      <c r="O234" s="167">
        <v>406383154.86000001</v>
      </c>
      <c r="P234" s="167">
        <v>405661661.75</v>
      </c>
      <c r="Q234" s="167">
        <v>406191989.91999996</v>
      </c>
      <c r="R234" s="167">
        <v>406194821.80000001</v>
      </c>
      <c r="S234" s="167">
        <v>406230931.23000002</v>
      </c>
      <c r="T234" s="167">
        <v>406145255.37</v>
      </c>
      <c r="U234" s="167">
        <v>406487729.87000006</v>
      </c>
      <c r="V234" s="167">
        <v>406409704.78000003</v>
      </c>
      <c r="W234" s="167">
        <v>404600986.78000003</v>
      </c>
      <c r="X234" s="167">
        <v>404600986.78000003</v>
      </c>
      <c r="AB234" s="129"/>
      <c r="AC234" s="132"/>
      <c r="AD234" s="132"/>
      <c r="AE234" s="132"/>
      <c r="AF234" s="132"/>
      <c r="AG234" s="132"/>
      <c r="AH234" s="132"/>
      <c r="AI234" s="132"/>
      <c r="AJ234" s="132"/>
      <c r="AK234" s="132"/>
      <c r="AL234" s="132"/>
      <c r="AM234" s="132"/>
      <c r="AN234" s="132"/>
      <c r="AO234" s="132"/>
      <c r="AP234" s="132"/>
      <c r="AQ234" s="132"/>
      <c r="AR234" s="132"/>
      <c r="AS234" s="132"/>
      <c r="AT234" s="132"/>
      <c r="AU234" s="132"/>
      <c r="AV234" s="132"/>
      <c r="AW234" s="132"/>
      <c r="AX234" s="132"/>
      <c r="AY234" s="131"/>
    </row>
    <row r="235" spans="1:51" ht="14.4" x14ac:dyDescent="0.3">
      <c r="A235" s="163" t="s">
        <v>240</v>
      </c>
      <c r="B235" s="164">
        <v>1996</v>
      </c>
      <c r="C235" s="167">
        <v>220873027.08000001</v>
      </c>
      <c r="D235" s="167">
        <v>381562420.81999999</v>
      </c>
      <c r="E235" s="167">
        <v>433036745.41999996</v>
      </c>
      <c r="F235" s="167">
        <v>455846191.50999999</v>
      </c>
      <c r="G235" s="167">
        <v>474304402.51999998</v>
      </c>
      <c r="H235" s="167">
        <v>488942387.29000002</v>
      </c>
      <c r="I235" s="167">
        <v>496679921.64999998</v>
      </c>
      <c r="J235" s="167">
        <v>504390350.67000008</v>
      </c>
      <c r="K235" s="167">
        <v>521272421.01999998</v>
      </c>
      <c r="L235" s="167">
        <v>518039675.8900001</v>
      </c>
      <c r="M235" s="167">
        <v>519147490.48000008</v>
      </c>
      <c r="N235" s="167">
        <v>520628494.09999996</v>
      </c>
      <c r="O235" s="167">
        <v>523059392.63999999</v>
      </c>
      <c r="P235" s="167">
        <v>523427174.75999999</v>
      </c>
      <c r="Q235" s="167">
        <v>524640180.92000002</v>
      </c>
      <c r="R235" s="167">
        <v>525979048.52999991</v>
      </c>
      <c r="S235" s="167">
        <v>526532779.62</v>
      </c>
      <c r="T235" s="167">
        <v>527828083.08000004</v>
      </c>
      <c r="U235" s="167">
        <v>528380567.41000003</v>
      </c>
      <c r="V235" s="167">
        <v>529532647.93000001</v>
      </c>
      <c r="W235" s="168"/>
      <c r="X235" s="167">
        <v>529532647.93000001</v>
      </c>
      <c r="AB235" s="129"/>
      <c r="AC235" s="132"/>
      <c r="AD235" s="132"/>
      <c r="AE235" s="132"/>
      <c r="AF235" s="132"/>
      <c r="AG235" s="132"/>
      <c r="AH235" s="132"/>
      <c r="AI235" s="132"/>
      <c r="AJ235" s="132"/>
      <c r="AK235" s="132"/>
      <c r="AL235" s="132"/>
      <c r="AM235" s="132"/>
      <c r="AN235" s="132"/>
      <c r="AO235" s="132"/>
      <c r="AP235" s="132"/>
      <c r="AQ235" s="132"/>
      <c r="AR235" s="132"/>
      <c r="AS235" s="132"/>
      <c r="AT235" s="132"/>
      <c r="AU235" s="132"/>
      <c r="AV235" s="132"/>
      <c r="AW235" s="133"/>
      <c r="AX235" s="132"/>
      <c r="AY235" s="131"/>
    </row>
    <row r="236" spans="1:51" ht="14.4" x14ac:dyDescent="0.3">
      <c r="A236" s="163" t="s">
        <v>240</v>
      </c>
      <c r="B236" s="164">
        <v>1997</v>
      </c>
      <c r="C236" s="167">
        <v>302330431.38000005</v>
      </c>
      <c r="D236" s="167">
        <v>440991996.33999997</v>
      </c>
      <c r="E236" s="167">
        <v>468802649.19</v>
      </c>
      <c r="F236" s="167">
        <v>503571058.17000008</v>
      </c>
      <c r="G236" s="167">
        <v>542183903.19000006</v>
      </c>
      <c r="H236" s="167">
        <v>556161697.75999999</v>
      </c>
      <c r="I236" s="167">
        <v>565359927.57000005</v>
      </c>
      <c r="J236" s="167">
        <v>564272588.53999984</v>
      </c>
      <c r="K236" s="167">
        <v>569457397.20999992</v>
      </c>
      <c r="L236" s="167">
        <v>571616803.7299999</v>
      </c>
      <c r="M236" s="167">
        <v>572774851.73000014</v>
      </c>
      <c r="N236" s="167">
        <v>573752800.65999997</v>
      </c>
      <c r="O236" s="167">
        <v>575582465.38000011</v>
      </c>
      <c r="P236" s="167">
        <v>575738488.96999991</v>
      </c>
      <c r="Q236" s="167">
        <v>576527566.92000008</v>
      </c>
      <c r="R236" s="167">
        <v>577051614.91000009</v>
      </c>
      <c r="S236" s="167">
        <v>578820082.02999997</v>
      </c>
      <c r="T236" s="167">
        <v>579933433.76999986</v>
      </c>
      <c r="U236" s="167">
        <v>580453683.16000009</v>
      </c>
      <c r="V236" s="168"/>
      <c r="W236" s="168"/>
      <c r="X236" s="167">
        <v>580453683.16000009</v>
      </c>
      <c r="AB236" s="129"/>
      <c r="AC236" s="132"/>
      <c r="AD236" s="132"/>
      <c r="AE236" s="132"/>
      <c r="AF236" s="132"/>
      <c r="AG236" s="132"/>
      <c r="AH236" s="132"/>
      <c r="AI236" s="132"/>
      <c r="AJ236" s="132"/>
      <c r="AK236" s="132"/>
      <c r="AL236" s="132"/>
      <c r="AM236" s="132"/>
      <c r="AN236" s="132"/>
      <c r="AO236" s="132"/>
      <c r="AP236" s="132"/>
      <c r="AQ236" s="132"/>
      <c r="AR236" s="132"/>
      <c r="AS236" s="132"/>
      <c r="AT236" s="132"/>
      <c r="AU236" s="132"/>
      <c r="AV236" s="133"/>
      <c r="AW236" s="133"/>
      <c r="AX236" s="132"/>
      <c r="AY236" s="131"/>
    </row>
    <row r="237" spans="1:51" ht="14.4" x14ac:dyDescent="0.3">
      <c r="A237" s="163" t="s">
        <v>240</v>
      </c>
      <c r="B237" s="164">
        <v>1998</v>
      </c>
      <c r="C237" s="167">
        <v>301947281.90000004</v>
      </c>
      <c r="D237" s="167">
        <v>440133607.39999998</v>
      </c>
      <c r="E237" s="167">
        <v>523116343.2100001</v>
      </c>
      <c r="F237" s="167">
        <v>562089054.73000002</v>
      </c>
      <c r="G237" s="167">
        <v>573910005.70999992</v>
      </c>
      <c r="H237" s="167">
        <v>599638391.40999997</v>
      </c>
      <c r="I237" s="167">
        <v>592649977.49000001</v>
      </c>
      <c r="J237" s="167">
        <v>590420084.05999982</v>
      </c>
      <c r="K237" s="167">
        <v>593624905.79999995</v>
      </c>
      <c r="L237" s="167">
        <v>598563803.75</v>
      </c>
      <c r="M237" s="167">
        <v>601050745.71000004</v>
      </c>
      <c r="N237" s="167">
        <v>603404653.14999998</v>
      </c>
      <c r="O237" s="167">
        <v>604099471.6099999</v>
      </c>
      <c r="P237" s="167">
        <v>606281350.29000008</v>
      </c>
      <c r="Q237" s="167">
        <v>605847448.53000009</v>
      </c>
      <c r="R237" s="167">
        <v>606493166.70000005</v>
      </c>
      <c r="S237" s="167">
        <v>607252160.86000001</v>
      </c>
      <c r="T237" s="167">
        <v>607401485.80000007</v>
      </c>
      <c r="U237" s="168"/>
      <c r="V237" s="168"/>
      <c r="W237" s="168"/>
      <c r="X237" s="167">
        <v>607401485.80000007</v>
      </c>
      <c r="AB237" s="129"/>
      <c r="AC237" s="132"/>
      <c r="AD237" s="132"/>
      <c r="AE237" s="132"/>
      <c r="AF237" s="132"/>
      <c r="AG237" s="132"/>
      <c r="AH237" s="132"/>
      <c r="AI237" s="132"/>
      <c r="AJ237" s="132"/>
      <c r="AK237" s="132"/>
      <c r="AL237" s="132"/>
      <c r="AM237" s="132"/>
      <c r="AN237" s="132"/>
      <c r="AO237" s="132"/>
      <c r="AP237" s="132"/>
      <c r="AQ237" s="132"/>
      <c r="AR237" s="132"/>
      <c r="AS237" s="132"/>
      <c r="AT237" s="132"/>
      <c r="AU237" s="133"/>
      <c r="AV237" s="133"/>
      <c r="AW237" s="133"/>
      <c r="AX237" s="132"/>
      <c r="AY237" s="131"/>
    </row>
    <row r="238" spans="1:51" ht="14.4" x14ac:dyDescent="0.3">
      <c r="A238" s="163" t="s">
        <v>240</v>
      </c>
      <c r="B238" s="164">
        <v>1999</v>
      </c>
      <c r="C238" s="167">
        <v>312881940.89999998</v>
      </c>
      <c r="D238" s="167">
        <v>501015922.92999995</v>
      </c>
      <c r="E238" s="167">
        <v>593835806.40999997</v>
      </c>
      <c r="F238" s="167">
        <v>610258421.11000001</v>
      </c>
      <c r="G238" s="167">
        <v>618220056.38000011</v>
      </c>
      <c r="H238" s="167">
        <v>640858966.79999995</v>
      </c>
      <c r="I238" s="167">
        <v>657090911.57999992</v>
      </c>
      <c r="J238" s="167">
        <v>664294404.77999997</v>
      </c>
      <c r="K238" s="167">
        <v>670937551.73000002</v>
      </c>
      <c r="L238" s="167">
        <v>674081358.4000001</v>
      </c>
      <c r="M238" s="167">
        <v>677263084.96000004</v>
      </c>
      <c r="N238" s="167">
        <v>679414630.22000003</v>
      </c>
      <c r="O238" s="167">
        <v>679681670.42999983</v>
      </c>
      <c r="P238" s="167">
        <v>677974690.13000011</v>
      </c>
      <c r="Q238" s="167">
        <v>680785221.75999999</v>
      </c>
      <c r="R238" s="167">
        <v>682076470.22000003</v>
      </c>
      <c r="S238" s="167">
        <v>683220327.55999994</v>
      </c>
      <c r="T238" s="168"/>
      <c r="U238" s="168"/>
      <c r="V238" s="168"/>
      <c r="W238" s="168"/>
      <c r="X238" s="167">
        <v>683220327.55999994</v>
      </c>
      <c r="AB238" s="129"/>
      <c r="AC238" s="132"/>
      <c r="AD238" s="132"/>
      <c r="AE238" s="132"/>
      <c r="AF238" s="132"/>
      <c r="AG238" s="132"/>
      <c r="AH238" s="132"/>
      <c r="AI238" s="132"/>
      <c r="AJ238" s="132"/>
      <c r="AK238" s="132"/>
      <c r="AL238" s="132"/>
      <c r="AM238" s="132"/>
      <c r="AN238" s="132"/>
      <c r="AO238" s="132"/>
      <c r="AP238" s="132"/>
      <c r="AQ238" s="132"/>
      <c r="AR238" s="132"/>
      <c r="AS238" s="132"/>
      <c r="AT238" s="133"/>
      <c r="AU238" s="133"/>
      <c r="AV238" s="133"/>
      <c r="AW238" s="133"/>
      <c r="AX238" s="132"/>
      <c r="AY238" s="131"/>
    </row>
    <row r="239" spans="1:51" ht="14.4" x14ac:dyDescent="0.3">
      <c r="A239" s="163" t="s">
        <v>240</v>
      </c>
      <c r="B239" s="164">
        <v>2000</v>
      </c>
      <c r="C239" s="167">
        <v>334762811.20999998</v>
      </c>
      <c r="D239" s="167">
        <v>568614421.94999993</v>
      </c>
      <c r="E239" s="167">
        <v>647390317.06000006</v>
      </c>
      <c r="F239" s="167">
        <v>699274937.75999999</v>
      </c>
      <c r="G239" s="167">
        <v>708055507.58000016</v>
      </c>
      <c r="H239" s="167">
        <v>717490443.86000013</v>
      </c>
      <c r="I239" s="167">
        <v>724214320.13999987</v>
      </c>
      <c r="J239" s="167">
        <v>734533442.52999997</v>
      </c>
      <c r="K239" s="167">
        <v>736938725.16000009</v>
      </c>
      <c r="L239" s="167">
        <v>740799230.73000002</v>
      </c>
      <c r="M239" s="167">
        <v>742022070.09000003</v>
      </c>
      <c r="N239" s="167">
        <v>745265427.27999997</v>
      </c>
      <c r="O239" s="167">
        <v>745038555.86000013</v>
      </c>
      <c r="P239" s="167">
        <v>746689738.05999994</v>
      </c>
      <c r="Q239" s="167">
        <v>747388383.28000009</v>
      </c>
      <c r="R239" s="167">
        <v>747430270.45000005</v>
      </c>
      <c r="S239" s="168"/>
      <c r="T239" s="168"/>
      <c r="U239" s="168"/>
      <c r="V239" s="168"/>
      <c r="W239" s="168"/>
      <c r="X239" s="167">
        <v>747430270.45000005</v>
      </c>
      <c r="AB239" s="129"/>
      <c r="AC239" s="132"/>
      <c r="AD239" s="132"/>
      <c r="AE239" s="132"/>
      <c r="AF239" s="132"/>
      <c r="AG239" s="132"/>
      <c r="AH239" s="132"/>
      <c r="AI239" s="132"/>
      <c r="AJ239" s="132"/>
      <c r="AK239" s="132"/>
      <c r="AL239" s="132"/>
      <c r="AM239" s="132"/>
      <c r="AN239" s="132"/>
      <c r="AO239" s="132"/>
      <c r="AP239" s="132"/>
      <c r="AQ239" s="132"/>
      <c r="AR239" s="132"/>
      <c r="AS239" s="133"/>
      <c r="AT239" s="133"/>
      <c r="AU239" s="133"/>
      <c r="AV239" s="133"/>
      <c r="AW239" s="133"/>
      <c r="AX239" s="132"/>
      <c r="AY239" s="131"/>
    </row>
    <row r="240" spans="1:51" ht="14.4" x14ac:dyDescent="0.3">
      <c r="A240" s="163" t="s">
        <v>240</v>
      </c>
      <c r="B240" s="164">
        <v>2001</v>
      </c>
      <c r="C240" s="167">
        <v>394517040.54999995</v>
      </c>
      <c r="D240" s="167">
        <v>647562359.32000005</v>
      </c>
      <c r="E240" s="167">
        <v>793073223.95000005</v>
      </c>
      <c r="F240" s="167">
        <v>872156224.22000003</v>
      </c>
      <c r="G240" s="167">
        <v>895251696.12</v>
      </c>
      <c r="H240" s="167">
        <v>911998821.43999994</v>
      </c>
      <c r="I240" s="167">
        <v>919160620.84000015</v>
      </c>
      <c r="J240" s="167">
        <v>910427591.70000005</v>
      </c>
      <c r="K240" s="167">
        <v>912602653.11999989</v>
      </c>
      <c r="L240" s="167">
        <v>913544113.69000006</v>
      </c>
      <c r="M240" s="167">
        <v>915988430.8499999</v>
      </c>
      <c r="N240" s="167">
        <v>915785101.3900001</v>
      </c>
      <c r="O240" s="167">
        <v>918043908.13999987</v>
      </c>
      <c r="P240" s="167">
        <v>918831043.34000003</v>
      </c>
      <c r="Q240" s="167">
        <v>920742025.91999996</v>
      </c>
      <c r="R240" s="168"/>
      <c r="S240" s="168"/>
      <c r="T240" s="168"/>
      <c r="U240" s="168"/>
      <c r="V240" s="168"/>
      <c r="W240" s="168"/>
      <c r="X240" s="167">
        <v>920742025.91999996</v>
      </c>
      <c r="AB240" s="129"/>
      <c r="AC240" s="132"/>
      <c r="AD240" s="132"/>
      <c r="AE240" s="132"/>
      <c r="AF240" s="132"/>
      <c r="AG240" s="132"/>
      <c r="AH240" s="132"/>
      <c r="AI240" s="132"/>
      <c r="AJ240" s="132"/>
      <c r="AK240" s="132"/>
      <c r="AL240" s="132"/>
      <c r="AM240" s="132"/>
      <c r="AN240" s="132"/>
      <c r="AO240" s="132"/>
      <c r="AP240" s="132"/>
      <c r="AQ240" s="132"/>
      <c r="AR240" s="133"/>
      <c r="AS240" s="133"/>
      <c r="AT240" s="133"/>
      <c r="AU240" s="133"/>
      <c r="AV240" s="133"/>
      <c r="AW240" s="133"/>
      <c r="AX240" s="132"/>
      <c r="AY240" s="131"/>
    </row>
    <row r="241" spans="1:51" ht="14.4" x14ac:dyDescent="0.3">
      <c r="A241" s="163" t="s">
        <v>240</v>
      </c>
      <c r="B241" s="164">
        <v>2002</v>
      </c>
      <c r="C241" s="167">
        <v>343355755.28000003</v>
      </c>
      <c r="D241" s="167">
        <v>601313586.96999991</v>
      </c>
      <c r="E241" s="167">
        <v>742633638.6500001</v>
      </c>
      <c r="F241" s="167">
        <v>801112372.11000001</v>
      </c>
      <c r="G241" s="167">
        <v>828246619.44000018</v>
      </c>
      <c r="H241" s="167">
        <v>849812931.61000013</v>
      </c>
      <c r="I241" s="167">
        <v>851420665.64999998</v>
      </c>
      <c r="J241" s="167">
        <v>855084291.57999992</v>
      </c>
      <c r="K241" s="167">
        <v>854617779.27999997</v>
      </c>
      <c r="L241" s="167">
        <v>855885903.93000007</v>
      </c>
      <c r="M241" s="167">
        <v>855932198.13999999</v>
      </c>
      <c r="N241" s="167">
        <v>858269245.19999993</v>
      </c>
      <c r="O241" s="167">
        <v>859770844.04000008</v>
      </c>
      <c r="P241" s="167">
        <v>860039133.94000006</v>
      </c>
      <c r="Q241" s="168"/>
      <c r="R241" s="168"/>
      <c r="S241" s="168"/>
      <c r="T241" s="168"/>
      <c r="U241" s="168"/>
      <c r="V241" s="168"/>
      <c r="W241" s="168"/>
      <c r="X241" s="167">
        <v>860039133.94000006</v>
      </c>
      <c r="AB241" s="129"/>
      <c r="AC241" s="132"/>
      <c r="AD241" s="132"/>
      <c r="AE241" s="132"/>
      <c r="AF241" s="132"/>
      <c r="AG241" s="132"/>
      <c r="AH241" s="132"/>
      <c r="AI241" s="132"/>
      <c r="AJ241" s="132"/>
      <c r="AK241" s="132"/>
      <c r="AL241" s="132"/>
      <c r="AM241" s="132"/>
      <c r="AN241" s="132"/>
      <c r="AO241" s="132"/>
      <c r="AP241" s="132"/>
      <c r="AQ241" s="133"/>
      <c r="AR241" s="133"/>
      <c r="AS241" s="133"/>
      <c r="AT241" s="133"/>
      <c r="AU241" s="133"/>
      <c r="AV241" s="133"/>
      <c r="AW241" s="133"/>
      <c r="AX241" s="132"/>
      <c r="AY241" s="131"/>
    </row>
    <row r="242" spans="1:51" ht="14.4" x14ac:dyDescent="0.3">
      <c r="A242" s="163" t="s">
        <v>240</v>
      </c>
      <c r="B242" s="164">
        <v>2003</v>
      </c>
      <c r="C242" s="167">
        <v>258105956.90999997</v>
      </c>
      <c r="D242" s="167">
        <v>431495271.89999998</v>
      </c>
      <c r="E242" s="167">
        <v>495674389.19000006</v>
      </c>
      <c r="F242" s="167">
        <v>529830350.28999996</v>
      </c>
      <c r="G242" s="167">
        <v>550806044.00999999</v>
      </c>
      <c r="H242" s="167">
        <v>563866245.06000006</v>
      </c>
      <c r="I242" s="167">
        <v>573122907.33999991</v>
      </c>
      <c r="J242" s="167">
        <v>578817478.20000005</v>
      </c>
      <c r="K242" s="167">
        <v>580838663.24000001</v>
      </c>
      <c r="L242" s="167">
        <v>579208252.55000007</v>
      </c>
      <c r="M242" s="167">
        <v>581226572.15999997</v>
      </c>
      <c r="N242" s="167">
        <v>582880473.32000005</v>
      </c>
      <c r="O242" s="167">
        <v>582504842.54999995</v>
      </c>
      <c r="P242" s="168"/>
      <c r="Q242" s="168"/>
      <c r="R242" s="168"/>
      <c r="S242" s="168"/>
      <c r="T242" s="168"/>
      <c r="U242" s="168"/>
      <c r="V242" s="168"/>
      <c r="W242" s="168"/>
      <c r="X242" s="167">
        <v>582504842.54999995</v>
      </c>
      <c r="AB242" s="129"/>
      <c r="AC242" s="132"/>
      <c r="AD242" s="132"/>
      <c r="AE242" s="132"/>
      <c r="AF242" s="132"/>
      <c r="AG242" s="132"/>
      <c r="AH242" s="132"/>
      <c r="AI242" s="132"/>
      <c r="AJ242" s="132"/>
      <c r="AK242" s="132"/>
      <c r="AL242" s="132"/>
      <c r="AM242" s="132"/>
      <c r="AN242" s="132"/>
      <c r="AO242" s="132"/>
      <c r="AP242" s="133"/>
      <c r="AQ242" s="133"/>
      <c r="AR242" s="133"/>
      <c r="AS242" s="133"/>
      <c r="AT242" s="133"/>
      <c r="AU242" s="133"/>
      <c r="AV242" s="133"/>
      <c r="AW242" s="133"/>
      <c r="AX242" s="132"/>
      <c r="AY242" s="131"/>
    </row>
    <row r="243" spans="1:51" ht="14.4" x14ac:dyDescent="0.3">
      <c r="A243" s="163" t="s">
        <v>240</v>
      </c>
      <c r="B243" s="164">
        <v>2004</v>
      </c>
      <c r="C243" s="167">
        <v>211906099.91000003</v>
      </c>
      <c r="D243" s="167">
        <v>315508776.99000001</v>
      </c>
      <c r="E243" s="167">
        <v>373757274.53000003</v>
      </c>
      <c r="F243" s="167">
        <v>405120881.28999996</v>
      </c>
      <c r="G243" s="167">
        <v>422376468.97999996</v>
      </c>
      <c r="H243" s="167">
        <v>432874414.44999999</v>
      </c>
      <c r="I243" s="167">
        <v>440156193.73000002</v>
      </c>
      <c r="J243" s="167">
        <v>445185084.03000003</v>
      </c>
      <c r="K243" s="167">
        <v>443699872.45000005</v>
      </c>
      <c r="L243" s="167">
        <v>445502061.80999994</v>
      </c>
      <c r="M243" s="167">
        <v>446635044.91000003</v>
      </c>
      <c r="N243" s="167">
        <v>447113856.76999992</v>
      </c>
      <c r="O243" s="168"/>
      <c r="P243" s="168"/>
      <c r="Q243" s="168"/>
      <c r="R243" s="168"/>
      <c r="S243" s="168"/>
      <c r="T243" s="168"/>
      <c r="U243" s="168"/>
      <c r="V243" s="168"/>
      <c r="W243" s="168"/>
      <c r="X243" s="167">
        <v>447113856.76999992</v>
      </c>
      <c r="AB243" s="129"/>
      <c r="AC243" s="132"/>
      <c r="AD243" s="132"/>
      <c r="AE243" s="132"/>
      <c r="AF243" s="132"/>
      <c r="AG243" s="132"/>
      <c r="AH243" s="132"/>
      <c r="AI243" s="132"/>
      <c r="AJ243" s="132"/>
      <c r="AK243" s="132"/>
      <c r="AL243" s="132"/>
      <c r="AM243" s="132"/>
      <c r="AN243" s="132"/>
      <c r="AO243" s="133"/>
      <c r="AP243" s="133"/>
      <c r="AQ243" s="133"/>
      <c r="AR243" s="133"/>
      <c r="AS243" s="133"/>
      <c r="AT243" s="133"/>
      <c r="AU243" s="133"/>
      <c r="AV243" s="133"/>
      <c r="AW243" s="133"/>
      <c r="AX243" s="132"/>
      <c r="AY243" s="131"/>
    </row>
    <row r="244" spans="1:51" ht="14.4" x14ac:dyDescent="0.3">
      <c r="A244" s="163" t="s">
        <v>240</v>
      </c>
      <c r="B244" s="164">
        <v>2005</v>
      </c>
      <c r="C244" s="167">
        <v>103052934.15000001</v>
      </c>
      <c r="D244" s="167">
        <v>169099491.76000002</v>
      </c>
      <c r="E244" s="167">
        <v>196802476.86999997</v>
      </c>
      <c r="F244" s="167">
        <v>213299513.88</v>
      </c>
      <c r="G244" s="167">
        <v>222356133.63</v>
      </c>
      <c r="H244" s="167">
        <v>228770740.70000002</v>
      </c>
      <c r="I244" s="167">
        <v>233028052.25999999</v>
      </c>
      <c r="J244" s="167">
        <v>234705785.09999999</v>
      </c>
      <c r="K244" s="167">
        <v>236257041.42999998</v>
      </c>
      <c r="L244" s="167">
        <v>237267597.34999999</v>
      </c>
      <c r="M244" s="167">
        <v>238402701.90000001</v>
      </c>
      <c r="N244" s="168"/>
      <c r="O244" s="168"/>
      <c r="P244" s="168"/>
      <c r="Q244" s="168"/>
      <c r="R244" s="168"/>
      <c r="S244" s="168"/>
      <c r="T244" s="168"/>
      <c r="U244" s="168"/>
      <c r="V244" s="168"/>
      <c r="W244" s="168"/>
      <c r="X244" s="167">
        <v>238402701.90000001</v>
      </c>
      <c r="AB244" s="129"/>
      <c r="AC244" s="132"/>
      <c r="AD244" s="132"/>
      <c r="AE244" s="132"/>
      <c r="AF244" s="132"/>
      <c r="AG244" s="132"/>
      <c r="AH244" s="132"/>
      <c r="AI244" s="132"/>
      <c r="AJ244" s="132"/>
      <c r="AK244" s="132"/>
      <c r="AL244" s="132"/>
      <c r="AM244" s="132"/>
      <c r="AN244" s="133"/>
      <c r="AO244" s="133"/>
      <c r="AP244" s="133"/>
      <c r="AQ244" s="133"/>
      <c r="AR244" s="133"/>
      <c r="AS244" s="133"/>
      <c r="AT244" s="133"/>
      <c r="AU244" s="133"/>
      <c r="AV244" s="133"/>
      <c r="AW244" s="133"/>
      <c r="AX244" s="132"/>
      <c r="AY244" s="131"/>
    </row>
    <row r="245" spans="1:51" ht="14.4" x14ac:dyDescent="0.3">
      <c r="A245" s="163" t="s">
        <v>240</v>
      </c>
      <c r="B245" s="164">
        <v>2006</v>
      </c>
      <c r="C245" s="167">
        <v>92362392.370000005</v>
      </c>
      <c r="D245" s="167">
        <v>148181387.04999998</v>
      </c>
      <c r="E245" s="167">
        <v>171507716.06999999</v>
      </c>
      <c r="F245" s="167">
        <v>185063316.88999999</v>
      </c>
      <c r="G245" s="167">
        <v>192624927.03999999</v>
      </c>
      <c r="H245" s="167">
        <v>198331034.93000001</v>
      </c>
      <c r="I245" s="167">
        <v>199978802.84999996</v>
      </c>
      <c r="J245" s="167">
        <v>203364106.25</v>
      </c>
      <c r="K245" s="167">
        <v>205781395.24000001</v>
      </c>
      <c r="L245" s="167">
        <v>206977677.69999999</v>
      </c>
      <c r="M245" s="168"/>
      <c r="N245" s="168"/>
      <c r="O245" s="168"/>
      <c r="P245" s="168"/>
      <c r="Q245" s="168"/>
      <c r="R245" s="168"/>
      <c r="S245" s="168"/>
      <c r="T245" s="168"/>
      <c r="U245" s="168"/>
      <c r="V245" s="168"/>
      <c r="W245" s="168"/>
      <c r="X245" s="167">
        <v>206977677.69999999</v>
      </c>
      <c r="AB245" s="129"/>
      <c r="AC245" s="132"/>
      <c r="AD245" s="132"/>
      <c r="AE245" s="132"/>
      <c r="AF245" s="132"/>
      <c r="AG245" s="132"/>
      <c r="AH245" s="132"/>
      <c r="AI245" s="132"/>
      <c r="AJ245" s="132"/>
      <c r="AK245" s="132"/>
      <c r="AL245" s="132"/>
      <c r="AM245" s="133"/>
      <c r="AN245" s="133"/>
      <c r="AO245" s="133"/>
      <c r="AP245" s="133"/>
      <c r="AQ245" s="133"/>
      <c r="AR245" s="133"/>
      <c r="AS245" s="133"/>
      <c r="AT245" s="133"/>
      <c r="AU245" s="133"/>
      <c r="AV245" s="133"/>
      <c r="AW245" s="133"/>
      <c r="AX245" s="132"/>
      <c r="AY245" s="131"/>
    </row>
    <row r="246" spans="1:51" ht="14.4" x14ac:dyDescent="0.3">
      <c r="A246" s="163" t="s">
        <v>240</v>
      </c>
      <c r="B246" s="164">
        <v>2007</v>
      </c>
      <c r="C246" s="167">
        <v>81617488.819999993</v>
      </c>
      <c r="D246" s="167">
        <v>124498011.97000001</v>
      </c>
      <c r="E246" s="167">
        <v>142722666.95000002</v>
      </c>
      <c r="F246" s="167">
        <v>151969049.35000002</v>
      </c>
      <c r="G246" s="167">
        <v>158226572.28999999</v>
      </c>
      <c r="H246" s="167">
        <v>161224742.19</v>
      </c>
      <c r="I246" s="167">
        <v>164224068.10000002</v>
      </c>
      <c r="J246" s="167">
        <v>166860006.58000001</v>
      </c>
      <c r="K246" s="167">
        <v>166747533.76999998</v>
      </c>
      <c r="L246" s="168"/>
      <c r="M246" s="168"/>
      <c r="N246" s="168"/>
      <c r="O246" s="168"/>
      <c r="P246" s="168"/>
      <c r="Q246" s="168"/>
      <c r="R246" s="168"/>
      <c r="S246" s="168"/>
      <c r="T246" s="168"/>
      <c r="U246" s="168"/>
      <c r="V246" s="168"/>
      <c r="W246" s="168"/>
      <c r="X246" s="167">
        <v>166747533.76999998</v>
      </c>
      <c r="AB246" s="129"/>
      <c r="AC246" s="132"/>
      <c r="AD246" s="132"/>
      <c r="AE246" s="132"/>
      <c r="AF246" s="132"/>
      <c r="AG246" s="132"/>
      <c r="AH246" s="132"/>
      <c r="AI246" s="132"/>
      <c r="AJ246" s="132"/>
      <c r="AK246" s="132"/>
      <c r="AL246" s="133"/>
      <c r="AM246" s="133"/>
      <c r="AN246" s="133"/>
      <c r="AO246" s="133"/>
      <c r="AP246" s="133"/>
      <c r="AQ246" s="133"/>
      <c r="AR246" s="133"/>
      <c r="AS246" s="133"/>
      <c r="AT246" s="133"/>
      <c r="AU246" s="133"/>
      <c r="AV246" s="133"/>
      <c r="AW246" s="133"/>
      <c r="AX246" s="132"/>
      <c r="AY246" s="131"/>
    </row>
    <row r="247" spans="1:51" ht="14.4" x14ac:dyDescent="0.3">
      <c r="A247" s="163" t="s">
        <v>240</v>
      </c>
      <c r="B247" s="164">
        <v>2008</v>
      </c>
      <c r="C247" s="167">
        <v>62266948.56000001</v>
      </c>
      <c r="D247" s="167">
        <v>100235303.31999999</v>
      </c>
      <c r="E247" s="167">
        <v>117733789.02999999</v>
      </c>
      <c r="F247" s="167">
        <v>126123180.71000002</v>
      </c>
      <c r="G247" s="167">
        <v>130438955.06999999</v>
      </c>
      <c r="H247" s="167">
        <v>134090648.59</v>
      </c>
      <c r="I247" s="167">
        <v>135108710.04000002</v>
      </c>
      <c r="J247" s="167">
        <v>135711078.14000002</v>
      </c>
      <c r="K247" s="168"/>
      <c r="L247" s="168"/>
      <c r="M247" s="168"/>
      <c r="N247" s="168"/>
      <c r="O247" s="168"/>
      <c r="P247" s="168"/>
      <c r="Q247" s="168"/>
      <c r="R247" s="168"/>
      <c r="S247" s="168"/>
      <c r="T247" s="168"/>
      <c r="U247" s="168"/>
      <c r="V247" s="168"/>
      <c r="W247" s="168"/>
      <c r="X247" s="167">
        <v>135711078.14000002</v>
      </c>
      <c r="AB247" s="129"/>
      <c r="AC247" s="132"/>
      <c r="AD247" s="132"/>
      <c r="AE247" s="132"/>
      <c r="AF247" s="132"/>
      <c r="AG247" s="132"/>
      <c r="AH247" s="132"/>
      <c r="AI247" s="132"/>
      <c r="AJ247" s="132"/>
      <c r="AK247" s="133"/>
      <c r="AL247" s="133"/>
      <c r="AM247" s="133"/>
      <c r="AN247" s="133"/>
      <c r="AO247" s="133"/>
      <c r="AP247" s="133"/>
      <c r="AQ247" s="133"/>
      <c r="AR247" s="133"/>
      <c r="AS247" s="133"/>
      <c r="AT247" s="133"/>
      <c r="AU247" s="133"/>
      <c r="AV247" s="133"/>
      <c r="AW247" s="133"/>
      <c r="AX247" s="132"/>
      <c r="AY247" s="131"/>
    </row>
    <row r="248" spans="1:51" ht="14.4" x14ac:dyDescent="0.3">
      <c r="A248" s="163" t="s">
        <v>240</v>
      </c>
      <c r="B248" s="164">
        <v>2009</v>
      </c>
      <c r="C248" s="167">
        <v>52272900.230000004</v>
      </c>
      <c r="D248" s="167">
        <v>88674383.030000016</v>
      </c>
      <c r="E248" s="167">
        <v>106459331.09000002</v>
      </c>
      <c r="F248" s="167">
        <v>115239764.49000001</v>
      </c>
      <c r="G248" s="167">
        <v>121501606.16999999</v>
      </c>
      <c r="H248" s="167">
        <v>124672516.60000002</v>
      </c>
      <c r="I248" s="167">
        <v>125522685.88999999</v>
      </c>
      <c r="J248" s="168"/>
      <c r="K248" s="168"/>
      <c r="L248" s="168"/>
      <c r="M248" s="168"/>
      <c r="N248" s="168"/>
      <c r="O248" s="168"/>
      <c r="P248" s="168"/>
      <c r="Q248" s="168"/>
      <c r="R248" s="168"/>
      <c r="S248" s="168"/>
      <c r="T248" s="168"/>
      <c r="U248" s="168"/>
      <c r="V248" s="168"/>
      <c r="W248" s="168"/>
      <c r="X248" s="167">
        <v>125522685.88999999</v>
      </c>
      <c r="AB248" s="129"/>
      <c r="AC248" s="132"/>
      <c r="AD248" s="132"/>
      <c r="AE248" s="132"/>
      <c r="AF248" s="132"/>
      <c r="AG248" s="132"/>
      <c r="AH248" s="132"/>
      <c r="AI248" s="132"/>
      <c r="AJ248" s="133"/>
      <c r="AK248" s="133"/>
      <c r="AL248" s="133"/>
      <c r="AM248" s="133"/>
      <c r="AN248" s="133"/>
      <c r="AO248" s="133"/>
      <c r="AP248" s="133"/>
      <c r="AQ248" s="133"/>
      <c r="AR248" s="133"/>
      <c r="AS248" s="133"/>
      <c r="AT248" s="133"/>
      <c r="AU248" s="133"/>
      <c r="AV248" s="133"/>
      <c r="AW248" s="133"/>
      <c r="AX248" s="132"/>
      <c r="AY248" s="131"/>
    </row>
    <row r="249" spans="1:51" ht="14.4" x14ac:dyDescent="0.3">
      <c r="A249" s="163" t="s">
        <v>240</v>
      </c>
      <c r="B249" s="164">
        <v>2010</v>
      </c>
      <c r="C249" s="167">
        <v>50375672.449999996</v>
      </c>
      <c r="D249" s="167">
        <v>82130560.929999992</v>
      </c>
      <c r="E249" s="167">
        <v>95238130.260000005</v>
      </c>
      <c r="F249" s="167">
        <v>103331091.25000001</v>
      </c>
      <c r="G249" s="167">
        <v>107596510.91000001</v>
      </c>
      <c r="H249" s="167">
        <v>110174341.65000001</v>
      </c>
      <c r="I249" s="168"/>
      <c r="J249" s="168"/>
      <c r="K249" s="168"/>
      <c r="L249" s="168"/>
      <c r="M249" s="168"/>
      <c r="N249" s="168"/>
      <c r="O249" s="168"/>
      <c r="P249" s="168"/>
      <c r="Q249" s="168"/>
      <c r="R249" s="168"/>
      <c r="S249" s="168"/>
      <c r="T249" s="168"/>
      <c r="U249" s="168"/>
      <c r="V249" s="168"/>
      <c r="W249" s="168"/>
      <c r="X249" s="167">
        <v>110174341.65000001</v>
      </c>
      <c r="AB249" s="129"/>
      <c r="AC249" s="132"/>
      <c r="AD249" s="132"/>
      <c r="AE249" s="132"/>
      <c r="AF249" s="132"/>
      <c r="AG249" s="132"/>
      <c r="AH249" s="132"/>
      <c r="AI249" s="133"/>
      <c r="AJ249" s="133"/>
      <c r="AK249" s="133"/>
      <c r="AL249" s="133"/>
      <c r="AM249" s="133"/>
      <c r="AN249" s="133"/>
      <c r="AO249" s="133"/>
      <c r="AP249" s="133"/>
      <c r="AQ249" s="133"/>
      <c r="AR249" s="133"/>
      <c r="AS249" s="133"/>
      <c r="AT249" s="133"/>
      <c r="AU249" s="133"/>
      <c r="AV249" s="133"/>
      <c r="AW249" s="133"/>
      <c r="AX249" s="132"/>
      <c r="AY249" s="131"/>
    </row>
    <row r="250" spans="1:51" ht="14.4" x14ac:dyDescent="0.3">
      <c r="A250" s="163" t="s">
        <v>240</v>
      </c>
      <c r="B250" s="164">
        <v>2011</v>
      </c>
      <c r="C250" s="167">
        <v>46483459.410000004</v>
      </c>
      <c r="D250" s="167">
        <v>77000021.200000003</v>
      </c>
      <c r="E250" s="167">
        <v>91048681.300000012</v>
      </c>
      <c r="F250" s="167">
        <v>97716040.479999989</v>
      </c>
      <c r="G250" s="167">
        <v>101223020.04999998</v>
      </c>
      <c r="H250" s="168"/>
      <c r="I250" s="168"/>
      <c r="J250" s="168"/>
      <c r="K250" s="168"/>
      <c r="L250" s="168"/>
      <c r="M250" s="168"/>
      <c r="N250" s="168"/>
      <c r="O250" s="168"/>
      <c r="P250" s="168"/>
      <c r="Q250" s="168"/>
      <c r="R250" s="168"/>
      <c r="S250" s="168"/>
      <c r="T250" s="168"/>
      <c r="U250" s="168"/>
      <c r="V250" s="168"/>
      <c r="W250" s="168"/>
      <c r="X250" s="167">
        <v>101223020.04999998</v>
      </c>
      <c r="AB250" s="129"/>
      <c r="AC250" s="132"/>
      <c r="AD250" s="132"/>
      <c r="AE250" s="132"/>
      <c r="AF250" s="132"/>
      <c r="AG250" s="132"/>
      <c r="AH250" s="133"/>
      <c r="AI250" s="133"/>
      <c r="AJ250" s="133"/>
      <c r="AK250" s="133"/>
      <c r="AL250" s="133"/>
      <c r="AM250" s="133"/>
      <c r="AN250" s="133"/>
      <c r="AO250" s="133"/>
      <c r="AP250" s="133"/>
      <c r="AQ250" s="133"/>
      <c r="AR250" s="133"/>
      <c r="AS250" s="133"/>
      <c r="AT250" s="133"/>
      <c r="AU250" s="133"/>
      <c r="AV250" s="133"/>
      <c r="AW250" s="133"/>
      <c r="AX250" s="132"/>
      <c r="AY250" s="131"/>
    </row>
    <row r="251" spans="1:51" ht="14.4" x14ac:dyDescent="0.3">
      <c r="A251" s="163" t="s">
        <v>240</v>
      </c>
      <c r="B251" s="164">
        <v>2012</v>
      </c>
      <c r="C251" s="167">
        <v>49695338.280000001</v>
      </c>
      <c r="D251" s="167">
        <v>89380426.780000001</v>
      </c>
      <c r="E251" s="167">
        <v>103733429.34</v>
      </c>
      <c r="F251" s="167">
        <v>108867601.54000001</v>
      </c>
      <c r="G251" s="168"/>
      <c r="H251" s="168"/>
      <c r="I251" s="168"/>
      <c r="J251" s="168"/>
      <c r="K251" s="168"/>
      <c r="L251" s="168"/>
      <c r="M251" s="168"/>
      <c r="N251" s="168"/>
      <c r="O251" s="168"/>
      <c r="P251" s="168"/>
      <c r="Q251" s="168"/>
      <c r="R251" s="168"/>
      <c r="S251" s="168"/>
      <c r="T251" s="168"/>
      <c r="U251" s="168"/>
      <c r="V251" s="168"/>
      <c r="W251" s="168"/>
      <c r="X251" s="167">
        <v>108867601.54000001</v>
      </c>
      <c r="AB251" s="129"/>
      <c r="AC251" s="132"/>
      <c r="AD251" s="132"/>
      <c r="AE251" s="132"/>
      <c r="AF251" s="132"/>
      <c r="AG251" s="133"/>
      <c r="AH251" s="133"/>
      <c r="AI251" s="133"/>
      <c r="AJ251" s="133"/>
      <c r="AK251" s="133"/>
      <c r="AL251" s="133"/>
      <c r="AM251" s="133"/>
      <c r="AN251" s="133"/>
      <c r="AO251" s="133"/>
      <c r="AP251" s="133"/>
      <c r="AQ251" s="133"/>
      <c r="AR251" s="133"/>
      <c r="AS251" s="133"/>
      <c r="AT251" s="133"/>
      <c r="AU251" s="133"/>
      <c r="AV251" s="133"/>
      <c r="AW251" s="133"/>
      <c r="AX251" s="132"/>
      <c r="AY251" s="131"/>
    </row>
    <row r="252" spans="1:51" ht="14.4" x14ac:dyDescent="0.3">
      <c r="A252" s="163" t="s">
        <v>240</v>
      </c>
      <c r="B252" s="164">
        <v>2013</v>
      </c>
      <c r="C252" s="167">
        <v>52805565.520000003</v>
      </c>
      <c r="D252" s="167">
        <v>87250092.300000012</v>
      </c>
      <c r="E252" s="167">
        <v>98135409.760000005</v>
      </c>
      <c r="F252" s="168"/>
      <c r="G252" s="168"/>
      <c r="H252" s="168"/>
      <c r="I252" s="168"/>
      <c r="J252" s="168"/>
      <c r="K252" s="168"/>
      <c r="L252" s="168"/>
      <c r="M252" s="168"/>
      <c r="N252" s="168"/>
      <c r="O252" s="168"/>
      <c r="P252" s="168"/>
      <c r="Q252" s="168"/>
      <c r="R252" s="168"/>
      <c r="S252" s="168"/>
      <c r="T252" s="168"/>
      <c r="U252" s="168"/>
      <c r="V252" s="168"/>
      <c r="W252" s="168"/>
      <c r="X252" s="167">
        <v>98135409.760000005</v>
      </c>
      <c r="AB252" s="129"/>
      <c r="AC252" s="132"/>
      <c r="AD252" s="132"/>
      <c r="AE252" s="132"/>
      <c r="AF252" s="133"/>
      <c r="AG252" s="133"/>
      <c r="AH252" s="133"/>
      <c r="AI252" s="133"/>
      <c r="AJ252" s="133"/>
      <c r="AK252" s="133"/>
      <c r="AL252" s="133"/>
      <c r="AM252" s="133"/>
      <c r="AN252" s="133"/>
      <c r="AO252" s="133"/>
      <c r="AP252" s="133"/>
      <c r="AQ252" s="133"/>
      <c r="AR252" s="133"/>
      <c r="AS252" s="133"/>
      <c r="AT252" s="133"/>
      <c r="AU252" s="133"/>
      <c r="AV252" s="133"/>
      <c r="AW252" s="133"/>
      <c r="AX252" s="132"/>
      <c r="AY252" s="131"/>
    </row>
    <row r="253" spans="1:51" ht="14.4" x14ac:dyDescent="0.3">
      <c r="A253" s="163" t="s">
        <v>240</v>
      </c>
      <c r="B253" s="164">
        <v>2014</v>
      </c>
      <c r="C253" s="167">
        <v>52350606.469999999</v>
      </c>
      <c r="D253" s="167">
        <v>87437450.140000001</v>
      </c>
      <c r="E253" s="168"/>
      <c r="F253" s="168"/>
      <c r="G253" s="168"/>
      <c r="H253" s="168"/>
      <c r="I253" s="168"/>
      <c r="J253" s="168"/>
      <c r="K253" s="168"/>
      <c r="L253" s="168"/>
      <c r="M253" s="168"/>
      <c r="N253" s="168"/>
      <c r="O253" s="168"/>
      <c r="P253" s="168"/>
      <c r="Q253" s="168"/>
      <c r="R253" s="168"/>
      <c r="S253" s="168"/>
      <c r="T253" s="168"/>
      <c r="U253" s="168"/>
      <c r="V253" s="168"/>
      <c r="W253" s="168"/>
      <c r="X253" s="167">
        <v>87437450.140000001</v>
      </c>
      <c r="AB253" s="129"/>
      <c r="AC253" s="132"/>
      <c r="AD253" s="132"/>
      <c r="AE253" s="133"/>
      <c r="AF253" s="133"/>
      <c r="AG253" s="133"/>
      <c r="AH253" s="133"/>
      <c r="AI253" s="133"/>
      <c r="AJ253" s="133"/>
      <c r="AK253" s="133"/>
      <c r="AL253" s="133"/>
      <c r="AM253" s="133"/>
      <c r="AN253" s="133"/>
      <c r="AO253" s="133"/>
      <c r="AP253" s="133"/>
      <c r="AQ253" s="133"/>
      <c r="AR253" s="133"/>
      <c r="AS253" s="133"/>
      <c r="AT253" s="133"/>
      <c r="AU253" s="133"/>
      <c r="AV253" s="133"/>
      <c r="AW253" s="133"/>
      <c r="AX253" s="132"/>
      <c r="AY253" s="131"/>
    </row>
    <row r="254" spans="1:51" ht="14.4" x14ac:dyDescent="0.3">
      <c r="A254" s="163" t="s">
        <v>240</v>
      </c>
      <c r="B254" s="164">
        <v>2015</v>
      </c>
      <c r="C254" s="167">
        <v>46478888.82</v>
      </c>
      <c r="D254" s="168"/>
      <c r="E254" s="168"/>
      <c r="F254" s="168"/>
      <c r="G254" s="168"/>
      <c r="H254" s="168"/>
      <c r="I254" s="168"/>
      <c r="J254" s="168"/>
      <c r="K254" s="168"/>
      <c r="L254" s="168"/>
      <c r="M254" s="168"/>
      <c r="N254" s="168"/>
      <c r="O254" s="168"/>
      <c r="P254" s="168"/>
      <c r="Q254" s="168"/>
      <c r="R254" s="168"/>
      <c r="S254" s="168"/>
      <c r="T254" s="168"/>
      <c r="U254" s="168"/>
      <c r="V254" s="168"/>
      <c r="W254" s="168"/>
      <c r="X254" s="167">
        <v>46478888.82</v>
      </c>
      <c r="AB254" s="129"/>
      <c r="AC254" s="132"/>
      <c r="AD254" s="133"/>
      <c r="AE254" s="133"/>
      <c r="AF254" s="133"/>
      <c r="AG254" s="133"/>
      <c r="AH254" s="133"/>
      <c r="AI254" s="133"/>
      <c r="AJ254" s="133"/>
      <c r="AK254" s="133"/>
      <c r="AL254" s="133"/>
      <c r="AM254" s="133"/>
      <c r="AN254" s="133"/>
      <c r="AO254" s="133"/>
      <c r="AP254" s="133"/>
      <c r="AQ254" s="133"/>
      <c r="AR254" s="133"/>
      <c r="AS254" s="133"/>
      <c r="AT254" s="133"/>
      <c r="AU254" s="133"/>
      <c r="AV254" s="133"/>
      <c r="AW254" s="133"/>
      <c r="AX254" s="132"/>
      <c r="AY254" s="131"/>
    </row>
    <row r="255" spans="1:51" ht="14.4" x14ac:dyDescent="0.3">
      <c r="A255" s="163" t="s">
        <v>241</v>
      </c>
      <c r="B255" s="164">
        <v>1995</v>
      </c>
      <c r="C255" s="167">
        <v>0</v>
      </c>
      <c r="D255" s="167">
        <v>0</v>
      </c>
      <c r="E255" s="167">
        <v>0</v>
      </c>
      <c r="F255" s="167">
        <v>0</v>
      </c>
      <c r="G255" s="167">
        <v>0</v>
      </c>
      <c r="H255" s="167">
        <v>0</v>
      </c>
      <c r="I255" s="167">
        <v>0</v>
      </c>
      <c r="J255" s="167">
        <v>0</v>
      </c>
      <c r="K255" s="167">
        <v>0</v>
      </c>
      <c r="L255" s="167">
        <v>0</v>
      </c>
      <c r="M255" s="167">
        <v>0</v>
      </c>
      <c r="N255" s="167">
        <v>0</v>
      </c>
      <c r="O255" s="167">
        <v>0</v>
      </c>
      <c r="P255" s="167">
        <v>0</v>
      </c>
      <c r="Q255" s="167">
        <v>0</v>
      </c>
      <c r="R255" s="167">
        <v>0</v>
      </c>
      <c r="S255" s="167">
        <v>0</v>
      </c>
      <c r="T255" s="167">
        <v>0</v>
      </c>
      <c r="U255" s="167">
        <v>0</v>
      </c>
      <c r="V255" s="167">
        <v>0</v>
      </c>
      <c r="W255" s="167">
        <v>0</v>
      </c>
      <c r="X255" s="167">
        <v>0</v>
      </c>
    </row>
    <row r="256" spans="1:51" ht="14.4" x14ac:dyDescent="0.3">
      <c r="A256" s="163" t="s">
        <v>241</v>
      </c>
      <c r="B256" s="164">
        <v>1996</v>
      </c>
      <c r="C256" s="167">
        <v>0</v>
      </c>
      <c r="D256" s="167">
        <v>0</v>
      </c>
      <c r="E256" s="167">
        <v>0</v>
      </c>
      <c r="F256" s="167">
        <v>0</v>
      </c>
      <c r="G256" s="167">
        <v>0</v>
      </c>
      <c r="H256" s="167">
        <v>0</v>
      </c>
      <c r="I256" s="167">
        <v>0</v>
      </c>
      <c r="J256" s="167">
        <v>0</v>
      </c>
      <c r="K256" s="167">
        <v>0</v>
      </c>
      <c r="L256" s="167">
        <v>0</v>
      </c>
      <c r="M256" s="167">
        <v>0</v>
      </c>
      <c r="N256" s="167">
        <v>0</v>
      </c>
      <c r="O256" s="167">
        <v>0</v>
      </c>
      <c r="P256" s="167">
        <v>0</v>
      </c>
      <c r="Q256" s="167">
        <v>0</v>
      </c>
      <c r="R256" s="167">
        <v>0</v>
      </c>
      <c r="S256" s="167">
        <v>0</v>
      </c>
      <c r="T256" s="167">
        <v>0</v>
      </c>
      <c r="U256" s="167">
        <v>0</v>
      </c>
      <c r="V256" s="167">
        <v>0</v>
      </c>
      <c r="W256" s="168"/>
      <c r="X256" s="167">
        <v>0</v>
      </c>
    </row>
    <row r="257" spans="1:42" ht="14.4" x14ac:dyDescent="0.3">
      <c r="A257" s="163" t="s">
        <v>241</v>
      </c>
      <c r="B257" s="164">
        <v>1997</v>
      </c>
      <c r="C257" s="167">
        <v>0</v>
      </c>
      <c r="D257" s="167">
        <v>30690.040000000037</v>
      </c>
      <c r="E257" s="167">
        <v>30690.040000000037</v>
      </c>
      <c r="F257" s="167">
        <v>30690.040000000037</v>
      </c>
      <c r="G257" s="167">
        <v>46752.89000000013</v>
      </c>
      <c r="H257" s="167">
        <v>118895.73000000045</v>
      </c>
      <c r="I257" s="167">
        <v>118100.33000000007</v>
      </c>
      <c r="J257" s="167">
        <v>140120.54000000004</v>
      </c>
      <c r="K257" s="167">
        <v>2773899.7299999995</v>
      </c>
      <c r="L257" s="167">
        <v>2773899.7299999995</v>
      </c>
      <c r="M257" s="167">
        <v>2774688.5700000003</v>
      </c>
      <c r="N257" s="167">
        <v>2760839.4400000004</v>
      </c>
      <c r="O257" s="167">
        <v>2760839.4400000004</v>
      </c>
      <c r="P257" s="167">
        <v>2760839.4400000004</v>
      </c>
      <c r="Q257" s="167">
        <v>2760839.4400000004</v>
      </c>
      <c r="R257" s="167">
        <v>2760839.4400000004</v>
      </c>
      <c r="S257" s="167">
        <v>2760839.4400000004</v>
      </c>
      <c r="T257" s="167">
        <v>2760839.4400000004</v>
      </c>
      <c r="U257" s="167">
        <v>2760839.4400000004</v>
      </c>
      <c r="V257" s="168"/>
      <c r="W257" s="168"/>
      <c r="X257" s="167">
        <v>2760839.4400000004</v>
      </c>
    </row>
    <row r="258" spans="1:42" ht="14.4" x14ac:dyDescent="0.3">
      <c r="A258" s="163" t="s">
        <v>241</v>
      </c>
      <c r="B258" s="164">
        <v>1998</v>
      </c>
      <c r="C258" s="167">
        <v>16638933.93</v>
      </c>
      <c r="D258" s="167">
        <v>28423887.730000004</v>
      </c>
      <c r="E258" s="167">
        <v>42350901.490000002</v>
      </c>
      <c r="F258" s="167">
        <v>47813745.770000026</v>
      </c>
      <c r="G258" s="167">
        <v>56966464.399999991</v>
      </c>
      <c r="H258" s="167">
        <v>67999307.060000002</v>
      </c>
      <c r="I258" s="167">
        <v>77862380.949999988</v>
      </c>
      <c r="J258" s="167">
        <v>79204316.359999985</v>
      </c>
      <c r="K258" s="167">
        <v>79588290.149999991</v>
      </c>
      <c r="L258" s="167">
        <v>79536152.01000002</v>
      </c>
      <c r="M258" s="167">
        <v>79573506.829999983</v>
      </c>
      <c r="N258" s="167">
        <v>79795524.549999982</v>
      </c>
      <c r="O258" s="167">
        <v>79611698.819999993</v>
      </c>
      <c r="P258" s="167">
        <v>79563153.489999995</v>
      </c>
      <c r="Q258" s="167">
        <v>79644132.989999995</v>
      </c>
      <c r="R258" s="167">
        <v>79641521.709999993</v>
      </c>
      <c r="S258" s="167">
        <v>79641521.709999993</v>
      </c>
      <c r="T258" s="167">
        <v>79641521.709999993</v>
      </c>
      <c r="U258" s="168"/>
      <c r="V258" s="168"/>
      <c r="W258" s="168"/>
      <c r="X258" s="167">
        <v>79641521.709999993</v>
      </c>
    </row>
    <row r="259" spans="1:42" ht="14.4" x14ac:dyDescent="0.3">
      <c r="A259" s="163" t="s">
        <v>241</v>
      </c>
      <c r="B259" s="164">
        <v>1999</v>
      </c>
      <c r="C259" s="167">
        <v>20531691.739999998</v>
      </c>
      <c r="D259" s="167">
        <v>40258560.360000007</v>
      </c>
      <c r="E259" s="167">
        <v>60619412.079999998</v>
      </c>
      <c r="F259" s="167">
        <v>74347049.98999998</v>
      </c>
      <c r="G259" s="167">
        <v>90783351.230000004</v>
      </c>
      <c r="H259" s="167">
        <v>109836457.05</v>
      </c>
      <c r="I259" s="167">
        <v>114102349.62999998</v>
      </c>
      <c r="J259" s="167">
        <v>115943834.37000002</v>
      </c>
      <c r="K259" s="167">
        <v>116178241.53999998</v>
      </c>
      <c r="L259" s="167">
        <v>117214104.32000002</v>
      </c>
      <c r="M259" s="167">
        <v>115751763.08000003</v>
      </c>
      <c r="N259" s="167">
        <v>117678634.34000002</v>
      </c>
      <c r="O259" s="167">
        <v>114768385.33</v>
      </c>
      <c r="P259" s="167">
        <v>114798778.45</v>
      </c>
      <c r="Q259" s="167">
        <v>114797614.5</v>
      </c>
      <c r="R259" s="167">
        <v>114798614.5</v>
      </c>
      <c r="S259" s="167">
        <v>114798614.5</v>
      </c>
      <c r="T259" s="168"/>
      <c r="U259" s="168"/>
      <c r="V259" s="168"/>
      <c r="W259" s="168"/>
      <c r="X259" s="167">
        <v>114798614.5</v>
      </c>
    </row>
    <row r="260" spans="1:42" ht="14.4" x14ac:dyDescent="0.3">
      <c r="A260" s="163" t="s">
        <v>241</v>
      </c>
      <c r="B260" s="164">
        <v>2000</v>
      </c>
      <c r="C260" s="167">
        <v>33912142.710000001</v>
      </c>
      <c r="D260" s="167">
        <v>68394112.030000001</v>
      </c>
      <c r="E260" s="167">
        <v>92621819.829999954</v>
      </c>
      <c r="F260" s="167">
        <v>124257277.32999998</v>
      </c>
      <c r="G260" s="167">
        <v>142916669.05000001</v>
      </c>
      <c r="H260" s="167">
        <v>148879734.97999999</v>
      </c>
      <c r="I260" s="167">
        <v>153361778.25</v>
      </c>
      <c r="J260" s="167">
        <v>153355449.70000002</v>
      </c>
      <c r="K260" s="167">
        <v>153440207.79999998</v>
      </c>
      <c r="L260" s="167">
        <v>153788910.72999999</v>
      </c>
      <c r="M260" s="167">
        <v>154156874.82000002</v>
      </c>
      <c r="N260" s="167">
        <v>153756385.50999999</v>
      </c>
      <c r="O260" s="167">
        <v>153773160.59999999</v>
      </c>
      <c r="P260" s="167">
        <v>153986210.42000002</v>
      </c>
      <c r="Q260" s="167">
        <v>154047849.28000003</v>
      </c>
      <c r="R260" s="167">
        <v>154104898.37</v>
      </c>
      <c r="S260" s="168"/>
      <c r="T260" s="168"/>
      <c r="U260" s="168"/>
      <c r="V260" s="168"/>
      <c r="W260" s="168"/>
      <c r="X260" s="167">
        <v>154104898.37</v>
      </c>
    </row>
    <row r="261" spans="1:42" ht="14.4" x14ac:dyDescent="0.3">
      <c r="A261" s="163" t="s">
        <v>241</v>
      </c>
      <c r="B261" s="164">
        <v>2001</v>
      </c>
      <c r="C261" s="167">
        <v>45931208.559999995</v>
      </c>
      <c r="D261" s="167">
        <v>81318828.939999998</v>
      </c>
      <c r="E261" s="167">
        <v>123489223.02000001</v>
      </c>
      <c r="F261" s="167">
        <v>153955528.61999997</v>
      </c>
      <c r="G261" s="167">
        <v>165047756.94</v>
      </c>
      <c r="H261" s="167">
        <v>172710704.88999999</v>
      </c>
      <c r="I261" s="167">
        <v>173863067.36000001</v>
      </c>
      <c r="J261" s="167">
        <v>173976832.09</v>
      </c>
      <c r="K261" s="167">
        <v>174475500.34000003</v>
      </c>
      <c r="L261" s="167">
        <v>173237494.26000002</v>
      </c>
      <c r="M261" s="167">
        <v>172980190.84</v>
      </c>
      <c r="N261" s="167">
        <v>173026008.89000002</v>
      </c>
      <c r="O261" s="167">
        <v>173054918.56000003</v>
      </c>
      <c r="P261" s="167">
        <v>173080351.16</v>
      </c>
      <c r="Q261" s="167">
        <v>173025490.28</v>
      </c>
      <c r="R261" s="168"/>
      <c r="S261" s="168"/>
      <c r="T261" s="168"/>
      <c r="U261" s="168"/>
      <c r="V261" s="168"/>
      <c r="W261" s="168"/>
      <c r="X261" s="167">
        <v>173025490.28</v>
      </c>
    </row>
    <row r="262" spans="1:42" ht="14.4" x14ac:dyDescent="0.3">
      <c r="A262" s="163" t="s">
        <v>241</v>
      </c>
      <c r="B262" s="164">
        <v>2002</v>
      </c>
      <c r="C262" s="167">
        <v>47326620.170000002</v>
      </c>
      <c r="D262" s="167">
        <v>75968240.12999998</v>
      </c>
      <c r="E262" s="167">
        <v>109393907.68000001</v>
      </c>
      <c r="F262" s="167">
        <v>129294582.20000003</v>
      </c>
      <c r="G262" s="167">
        <v>138729740.04000002</v>
      </c>
      <c r="H262" s="167">
        <v>142640768.08999997</v>
      </c>
      <c r="I262" s="167">
        <v>141587015.41999999</v>
      </c>
      <c r="J262" s="167">
        <v>141596048.36000001</v>
      </c>
      <c r="K262" s="167">
        <v>142096659.35000002</v>
      </c>
      <c r="L262" s="167">
        <v>142082421.92999998</v>
      </c>
      <c r="M262" s="167">
        <v>142725255.68000001</v>
      </c>
      <c r="N262" s="167">
        <v>142417326.95000002</v>
      </c>
      <c r="O262" s="167">
        <v>142523652.66000003</v>
      </c>
      <c r="P262" s="167">
        <v>142360913.99000001</v>
      </c>
      <c r="Q262" s="168"/>
      <c r="R262" s="168"/>
      <c r="S262" s="168"/>
      <c r="T262" s="168"/>
      <c r="U262" s="168"/>
      <c r="V262" s="168"/>
      <c r="W262" s="168"/>
      <c r="X262" s="167">
        <v>142360913.99000001</v>
      </c>
      <c r="AB262">
        <v>1999</v>
      </c>
      <c r="AC262" s="43">
        <v>19800.949000000001</v>
      </c>
      <c r="AD262" s="43">
        <v>34831.902999999998</v>
      </c>
      <c r="AE262" s="43">
        <v>45213.021000000008</v>
      </c>
      <c r="AF262" s="43">
        <v>42856.45</v>
      </c>
      <c r="AG262" s="43">
        <v>43888.468000000001</v>
      </c>
      <c r="AH262" s="43">
        <v>46213.24</v>
      </c>
      <c r="AI262" s="43">
        <v>57349.175000000003</v>
      </c>
      <c r="AJ262" s="43">
        <v>46162.247580000003</v>
      </c>
      <c r="AK262" s="43">
        <v>35869.921869999998</v>
      </c>
      <c r="AL262" s="43">
        <v>39838.762569999999</v>
      </c>
      <c r="AM262" s="43">
        <v>40177.325120000001</v>
      </c>
      <c r="AN262" s="43">
        <v>40249.358349999995</v>
      </c>
      <c r="AO262" s="43">
        <v>41632.184730000001</v>
      </c>
      <c r="AP262" s="43">
        <v>40629.494500000001</v>
      </c>
    </row>
    <row r="263" spans="1:42" ht="14.4" x14ac:dyDescent="0.3">
      <c r="A263" s="163" t="s">
        <v>241</v>
      </c>
      <c r="B263" s="164">
        <v>2003</v>
      </c>
      <c r="C263" s="167">
        <v>34071418.810000002</v>
      </c>
      <c r="D263" s="167">
        <v>64157535.060000002</v>
      </c>
      <c r="E263" s="167">
        <v>82690121.999999985</v>
      </c>
      <c r="F263" s="167">
        <v>96265739.069999993</v>
      </c>
      <c r="G263" s="167">
        <v>107312192.02000001</v>
      </c>
      <c r="H263" s="167">
        <v>111935680.02999999</v>
      </c>
      <c r="I263" s="167">
        <v>110968619.59999999</v>
      </c>
      <c r="J263" s="167">
        <v>112371130.36999999</v>
      </c>
      <c r="K263" s="167">
        <v>111706420.09000002</v>
      </c>
      <c r="L263" s="167">
        <v>111629231.09</v>
      </c>
      <c r="M263" s="167">
        <v>111716493.28</v>
      </c>
      <c r="N263" s="167">
        <v>111765878.38000003</v>
      </c>
      <c r="O263" s="167">
        <v>111680596.34999999</v>
      </c>
      <c r="P263" s="168"/>
      <c r="Q263" s="168"/>
      <c r="R263" s="168"/>
      <c r="S263" s="168"/>
      <c r="T263" s="168"/>
      <c r="U263" s="168"/>
      <c r="V263" s="168"/>
      <c r="W263" s="168"/>
      <c r="X263" s="167">
        <v>111680596.34999999</v>
      </c>
    </row>
    <row r="264" spans="1:42" ht="14.4" x14ac:dyDescent="0.3">
      <c r="A264" s="163" t="s">
        <v>241</v>
      </c>
      <c r="B264" s="164">
        <v>2004</v>
      </c>
      <c r="C264" s="167">
        <v>33414531.98</v>
      </c>
      <c r="D264" s="167">
        <v>55803445.74000001</v>
      </c>
      <c r="E264" s="167">
        <v>69633466.970000014</v>
      </c>
      <c r="F264" s="167">
        <v>81213298.170000002</v>
      </c>
      <c r="G264" s="167">
        <v>86737466.189999983</v>
      </c>
      <c r="H264" s="167">
        <v>89649944.090000018</v>
      </c>
      <c r="I264" s="167">
        <v>91278013.730000004</v>
      </c>
      <c r="J264" s="167">
        <v>91349293.280000001</v>
      </c>
      <c r="K264" s="167">
        <v>91392580.419999987</v>
      </c>
      <c r="L264" s="167">
        <v>91394880.61999999</v>
      </c>
      <c r="M264" s="167">
        <v>91569627.709999993</v>
      </c>
      <c r="N264" s="167">
        <v>91809456.819999978</v>
      </c>
      <c r="O264" s="168"/>
      <c r="P264" s="168"/>
      <c r="Q264" s="168"/>
      <c r="R264" s="168"/>
      <c r="S264" s="168"/>
      <c r="T264" s="168"/>
      <c r="U264" s="168"/>
      <c r="V264" s="168"/>
      <c r="W264" s="168"/>
      <c r="X264" s="167">
        <v>91809456.819999978</v>
      </c>
    </row>
    <row r="265" spans="1:42" ht="14.4" x14ac:dyDescent="0.3">
      <c r="A265" s="163" t="s">
        <v>241</v>
      </c>
      <c r="B265" s="164">
        <v>2005</v>
      </c>
      <c r="C265" s="167">
        <v>24657104.390000004</v>
      </c>
      <c r="D265" s="167">
        <v>42143736.849999994</v>
      </c>
      <c r="E265" s="167">
        <v>56721057.989999995</v>
      </c>
      <c r="F265" s="167">
        <v>70515532.549999982</v>
      </c>
      <c r="G265" s="167">
        <v>78540236.359999985</v>
      </c>
      <c r="H265" s="167">
        <v>85034236.929999992</v>
      </c>
      <c r="I265" s="167">
        <v>85873556.75</v>
      </c>
      <c r="J265" s="167">
        <v>84546897.549999997</v>
      </c>
      <c r="K265" s="167">
        <v>84866563.340000018</v>
      </c>
      <c r="L265" s="167">
        <v>85121872.620000005</v>
      </c>
      <c r="M265" s="167">
        <v>85328176.400000006</v>
      </c>
      <c r="N265" s="168"/>
      <c r="O265" s="168"/>
      <c r="P265" s="168"/>
      <c r="Q265" s="168"/>
      <c r="R265" s="168"/>
      <c r="S265" s="168"/>
      <c r="T265" s="168"/>
      <c r="U265" s="168"/>
      <c r="V265" s="168"/>
      <c r="W265" s="168"/>
      <c r="X265" s="167">
        <v>85328176.400000006</v>
      </c>
    </row>
    <row r="266" spans="1:42" ht="14.4" x14ac:dyDescent="0.3">
      <c r="A266" s="163" t="s">
        <v>241</v>
      </c>
      <c r="B266" s="164">
        <v>2006</v>
      </c>
      <c r="C266" s="167">
        <v>21041193.639999997</v>
      </c>
      <c r="D266" s="167">
        <v>39840155.460000001</v>
      </c>
      <c r="E266" s="167">
        <v>52317451.579999991</v>
      </c>
      <c r="F266" s="167">
        <v>62987208.529999994</v>
      </c>
      <c r="G266" s="167">
        <v>68875278.940000013</v>
      </c>
      <c r="H266" s="167">
        <v>71619711.659999996</v>
      </c>
      <c r="I266" s="167">
        <v>72002086.949999988</v>
      </c>
      <c r="J266" s="167">
        <v>72745226.710000008</v>
      </c>
      <c r="K266" s="167">
        <v>72307819.409999982</v>
      </c>
      <c r="L266" s="167">
        <v>72463909.179999992</v>
      </c>
      <c r="M266" s="168"/>
      <c r="N266" s="168"/>
      <c r="O266" s="168"/>
      <c r="P266" s="168"/>
      <c r="Q266" s="168"/>
      <c r="R266" s="168"/>
      <c r="S266" s="168"/>
      <c r="T266" s="168"/>
      <c r="U266" s="168"/>
      <c r="V266" s="168"/>
      <c r="W266" s="168"/>
      <c r="X266" s="167">
        <v>72463909.179999992</v>
      </c>
    </row>
    <row r="267" spans="1:42" ht="14.4" x14ac:dyDescent="0.3">
      <c r="A267" s="163" t="s">
        <v>241</v>
      </c>
      <c r="B267" s="164">
        <v>2007</v>
      </c>
      <c r="C267" s="167">
        <v>18515862.300000001</v>
      </c>
      <c r="D267" s="167">
        <v>33584289.959999993</v>
      </c>
      <c r="E267" s="167">
        <v>37942982.599999994</v>
      </c>
      <c r="F267" s="167">
        <v>46102525.109999999</v>
      </c>
      <c r="G267" s="167">
        <v>50380898.199999996</v>
      </c>
      <c r="H267" s="167">
        <v>50578561.780000001</v>
      </c>
      <c r="I267" s="167">
        <v>50001048.460000008</v>
      </c>
      <c r="J267" s="167">
        <v>50022468.560000002</v>
      </c>
      <c r="K267" s="167">
        <v>49305066.210000001</v>
      </c>
      <c r="L267" s="168"/>
      <c r="M267" s="168"/>
      <c r="N267" s="168"/>
      <c r="O267" s="168"/>
      <c r="P267" s="168"/>
      <c r="Q267" s="168"/>
      <c r="R267" s="168"/>
      <c r="S267" s="168"/>
      <c r="T267" s="168"/>
      <c r="U267" s="168"/>
      <c r="V267" s="168"/>
      <c r="W267" s="168"/>
      <c r="X267" s="167">
        <v>49305066.210000001</v>
      </c>
    </row>
    <row r="268" spans="1:42" ht="14.4" x14ac:dyDescent="0.3">
      <c r="A268" s="163" t="s">
        <v>241</v>
      </c>
      <c r="B268" s="164">
        <v>2008</v>
      </c>
      <c r="C268" s="167">
        <v>9047373.2600000016</v>
      </c>
      <c r="D268" s="167">
        <v>17539122.859999999</v>
      </c>
      <c r="E268" s="167">
        <v>23829729.469999995</v>
      </c>
      <c r="F268" s="167">
        <v>25768387.379999999</v>
      </c>
      <c r="G268" s="167">
        <v>27980158.349999998</v>
      </c>
      <c r="H268" s="167">
        <v>27922145.449999999</v>
      </c>
      <c r="I268" s="167">
        <v>28171516.200000003</v>
      </c>
      <c r="J268" s="167">
        <v>28358976.390000001</v>
      </c>
      <c r="K268" s="168"/>
      <c r="L268" s="168"/>
      <c r="M268" s="168"/>
      <c r="N268" s="168"/>
      <c r="O268" s="168"/>
      <c r="P268" s="168"/>
      <c r="Q268" s="168"/>
      <c r="R268" s="168"/>
      <c r="S268" s="168"/>
      <c r="T268" s="168"/>
      <c r="U268" s="168"/>
      <c r="V268" s="168"/>
      <c r="W268" s="168"/>
      <c r="X268" s="167">
        <v>28358976.390000001</v>
      </c>
    </row>
    <row r="269" spans="1:42" ht="14.4" x14ac:dyDescent="0.3">
      <c r="A269" s="163" t="s">
        <v>241</v>
      </c>
      <c r="B269" s="164">
        <v>2009</v>
      </c>
      <c r="C269" s="167">
        <v>6971486.0999999996</v>
      </c>
      <c r="D269" s="167">
        <v>13201481.849999998</v>
      </c>
      <c r="E269" s="167">
        <v>20641452.710000001</v>
      </c>
      <c r="F269" s="167">
        <v>26665636.449999996</v>
      </c>
      <c r="G269" s="167">
        <v>29006583.039999999</v>
      </c>
      <c r="H269" s="167">
        <v>31718931.77</v>
      </c>
      <c r="I269" s="167">
        <v>29474801.880000003</v>
      </c>
      <c r="J269" s="168"/>
      <c r="K269" s="168"/>
      <c r="L269" s="168"/>
      <c r="M269" s="168"/>
      <c r="N269" s="168"/>
      <c r="O269" s="168"/>
      <c r="P269" s="168"/>
      <c r="Q269" s="168"/>
      <c r="R269" s="168"/>
      <c r="S269" s="168"/>
      <c r="T269" s="168"/>
      <c r="U269" s="168"/>
      <c r="V269" s="168"/>
      <c r="W269" s="168"/>
      <c r="X269" s="167">
        <v>29474801.880000003</v>
      </c>
    </row>
    <row r="270" spans="1:42" ht="14.4" x14ac:dyDescent="0.3">
      <c r="A270" s="163" t="s">
        <v>241</v>
      </c>
      <c r="B270" s="164">
        <v>2010</v>
      </c>
      <c r="C270" s="167">
        <v>7166423.5999999996</v>
      </c>
      <c r="D270" s="167">
        <v>13604876.140000001</v>
      </c>
      <c r="E270" s="167">
        <v>17438043.380000003</v>
      </c>
      <c r="F270" s="167">
        <v>23897170.349999998</v>
      </c>
      <c r="G270" s="167">
        <v>25129694.149999999</v>
      </c>
      <c r="H270" s="167">
        <v>25304997.77</v>
      </c>
      <c r="I270" s="168"/>
      <c r="J270" s="168"/>
      <c r="K270" s="168"/>
      <c r="L270" s="168"/>
      <c r="M270" s="168"/>
      <c r="N270" s="168"/>
      <c r="O270" s="168"/>
      <c r="P270" s="168"/>
      <c r="Q270" s="168"/>
      <c r="R270" s="168"/>
      <c r="S270" s="168"/>
      <c r="T270" s="168"/>
      <c r="U270" s="168"/>
      <c r="V270" s="168"/>
      <c r="W270" s="168"/>
      <c r="X270" s="167">
        <v>25304997.77</v>
      </c>
    </row>
    <row r="271" spans="1:42" ht="14.4" x14ac:dyDescent="0.3">
      <c r="A271" s="163" t="s">
        <v>241</v>
      </c>
      <c r="B271" s="164">
        <v>2011</v>
      </c>
      <c r="C271" s="167">
        <v>7546752.669999999</v>
      </c>
      <c r="D271" s="167">
        <v>18144037.410000004</v>
      </c>
      <c r="E271" s="167">
        <v>36338808.129999995</v>
      </c>
      <c r="F271" s="167">
        <v>79726061.670000002</v>
      </c>
      <c r="G271" s="167">
        <v>135901848.79999998</v>
      </c>
      <c r="H271" s="168"/>
      <c r="I271" s="168"/>
      <c r="J271" s="168"/>
      <c r="K271" s="168"/>
      <c r="L271" s="168"/>
      <c r="M271" s="168"/>
      <c r="N271" s="168"/>
      <c r="O271" s="168"/>
      <c r="P271" s="168"/>
      <c r="Q271" s="168"/>
      <c r="R271" s="168"/>
      <c r="S271" s="168"/>
      <c r="T271" s="168"/>
      <c r="U271" s="168"/>
      <c r="V271" s="168"/>
      <c r="W271" s="168"/>
      <c r="X271" s="167">
        <v>135901848.79999998</v>
      </c>
    </row>
    <row r="272" spans="1:42" ht="14.4" x14ac:dyDescent="0.3">
      <c r="A272" s="163" t="s">
        <v>241</v>
      </c>
      <c r="B272" s="164">
        <v>2012</v>
      </c>
      <c r="C272" s="167">
        <v>6493040.4099999992</v>
      </c>
      <c r="D272" s="167">
        <v>11727277.250000002</v>
      </c>
      <c r="E272" s="167">
        <v>16651987.140000004</v>
      </c>
      <c r="F272" s="167">
        <v>18044025.869999997</v>
      </c>
      <c r="G272" s="168"/>
      <c r="H272" s="168"/>
      <c r="I272" s="168"/>
      <c r="J272" s="168"/>
      <c r="K272" s="168"/>
      <c r="L272" s="168"/>
      <c r="M272" s="168"/>
      <c r="N272" s="168"/>
      <c r="O272" s="168"/>
      <c r="P272" s="168"/>
      <c r="Q272" s="168"/>
      <c r="R272" s="168"/>
      <c r="S272" s="168"/>
      <c r="T272" s="168"/>
      <c r="U272" s="168"/>
      <c r="V272" s="168"/>
      <c r="W272" s="168"/>
      <c r="X272" s="167">
        <v>18044025.869999997</v>
      </c>
    </row>
    <row r="273" spans="1:25" ht="14.4" x14ac:dyDescent="0.3">
      <c r="A273" s="163" t="s">
        <v>241</v>
      </c>
      <c r="B273" s="164">
        <v>2013</v>
      </c>
      <c r="C273" s="167">
        <v>8483689.6199999992</v>
      </c>
      <c r="D273" s="167">
        <v>18188166.990000002</v>
      </c>
      <c r="E273" s="167">
        <v>21992538.770000003</v>
      </c>
      <c r="F273" s="168"/>
      <c r="G273" s="168"/>
      <c r="H273" s="168"/>
      <c r="I273" s="168"/>
      <c r="J273" s="168"/>
      <c r="K273" s="168"/>
      <c r="L273" s="168"/>
      <c r="M273" s="168"/>
      <c r="N273" s="168"/>
      <c r="O273" s="168"/>
      <c r="P273" s="168"/>
      <c r="Q273" s="168"/>
      <c r="R273" s="168"/>
      <c r="S273" s="168"/>
      <c r="T273" s="168"/>
      <c r="U273" s="168"/>
      <c r="V273" s="168"/>
      <c r="W273" s="168"/>
      <c r="X273" s="167">
        <v>21992538.770000003</v>
      </c>
    </row>
    <row r="274" spans="1:25" ht="14.4" x14ac:dyDescent="0.3">
      <c r="A274" s="163" t="s">
        <v>241</v>
      </c>
      <c r="B274" s="164">
        <v>2014</v>
      </c>
      <c r="C274" s="167">
        <v>9313200.3899999987</v>
      </c>
      <c r="D274" s="167">
        <v>16784077.879999999</v>
      </c>
      <c r="E274" s="168"/>
      <c r="F274" s="168"/>
      <c r="G274" s="168"/>
      <c r="H274" s="168"/>
      <c r="I274" s="168"/>
      <c r="J274" s="168"/>
      <c r="K274" s="168"/>
      <c r="L274" s="168"/>
      <c r="M274" s="168"/>
      <c r="N274" s="168"/>
      <c r="O274" s="168"/>
      <c r="P274" s="168"/>
      <c r="Q274" s="168"/>
      <c r="R274" s="168"/>
      <c r="S274" s="168"/>
      <c r="T274" s="168"/>
      <c r="U274" s="168"/>
      <c r="V274" s="168"/>
      <c r="W274" s="168"/>
      <c r="X274" s="167">
        <v>16784077.879999999</v>
      </c>
    </row>
    <row r="275" spans="1:25" ht="14.4" x14ac:dyDescent="0.3">
      <c r="A275" s="163" t="s">
        <v>241</v>
      </c>
      <c r="B275" s="164">
        <v>2015</v>
      </c>
      <c r="C275" s="167">
        <v>8933243.0500000007</v>
      </c>
      <c r="D275" s="168"/>
      <c r="E275" s="168"/>
      <c r="F275" s="168"/>
      <c r="G275" s="168"/>
      <c r="H275" s="168"/>
      <c r="I275" s="168"/>
      <c r="J275" s="168"/>
      <c r="K275" s="168"/>
      <c r="L275" s="168"/>
      <c r="M275" s="168"/>
      <c r="N275" s="168"/>
      <c r="O275" s="168"/>
      <c r="P275" s="168"/>
      <c r="Q275" s="168"/>
      <c r="R275" s="168"/>
      <c r="S275" s="168"/>
      <c r="T275" s="168"/>
      <c r="U275" s="168"/>
      <c r="V275" s="168"/>
      <c r="W275" s="168"/>
      <c r="X275" s="167">
        <v>8933243.0500000007</v>
      </c>
    </row>
    <row r="276" spans="1:25" ht="14.4" x14ac:dyDescent="0.3">
      <c r="A276" s="163" t="s">
        <v>242</v>
      </c>
      <c r="B276" s="164">
        <v>1995</v>
      </c>
      <c r="C276" s="167">
        <v>6536906.4500000002</v>
      </c>
      <c r="D276" s="167">
        <v>13554544.99</v>
      </c>
      <c r="E276" s="167">
        <v>14321467.190000001</v>
      </c>
      <c r="F276" s="167">
        <v>17149558.350000001</v>
      </c>
      <c r="G276" s="167">
        <v>17460248.859999999</v>
      </c>
      <c r="H276" s="167">
        <v>17684141</v>
      </c>
      <c r="I276" s="167">
        <v>17797481.82</v>
      </c>
      <c r="J276" s="167">
        <v>18056872.870000001</v>
      </c>
      <c r="K276" s="167">
        <v>18128229.609999999</v>
      </c>
      <c r="L276" s="167">
        <v>18362109.780000001</v>
      </c>
      <c r="M276" s="167">
        <v>18296716.579999998</v>
      </c>
      <c r="N276" s="167">
        <v>18297425.079999998</v>
      </c>
      <c r="O276" s="167">
        <v>18297525.079999998</v>
      </c>
      <c r="P276" s="167">
        <v>18297419.079999998</v>
      </c>
      <c r="Q276" s="167">
        <v>18297309.079999998</v>
      </c>
      <c r="R276" s="167">
        <v>18297223.079999998</v>
      </c>
      <c r="S276" s="167">
        <v>18297007.079999998</v>
      </c>
      <c r="T276" s="167">
        <v>18296967.079999998</v>
      </c>
      <c r="U276" s="167">
        <v>18296903.079999998</v>
      </c>
      <c r="V276" s="167">
        <v>18296903.079999998</v>
      </c>
      <c r="W276" s="167">
        <v>18296903.079999998</v>
      </c>
      <c r="X276" s="167">
        <v>18296903.079999998</v>
      </c>
      <c r="Y276" s="154"/>
    </row>
    <row r="277" spans="1:25" ht="14.4" x14ac:dyDescent="0.3">
      <c r="A277" s="163" t="s">
        <v>242</v>
      </c>
      <c r="B277" s="164">
        <v>1996</v>
      </c>
      <c r="C277" s="167">
        <v>12909353.639999999</v>
      </c>
      <c r="D277" s="167">
        <v>21299527.890000004</v>
      </c>
      <c r="E277" s="167">
        <v>25895158.550000001</v>
      </c>
      <c r="F277" s="167">
        <v>27142873.160000004</v>
      </c>
      <c r="G277" s="167">
        <v>27427398.530000001</v>
      </c>
      <c r="H277" s="167">
        <v>28093079.090000004</v>
      </c>
      <c r="I277" s="167">
        <v>29079427.43</v>
      </c>
      <c r="J277" s="167">
        <v>30000472.139999997</v>
      </c>
      <c r="K277" s="167">
        <v>29526339.759999998</v>
      </c>
      <c r="L277" s="167">
        <v>29637749.669999998</v>
      </c>
      <c r="M277" s="167">
        <v>29739663.949999996</v>
      </c>
      <c r="N277" s="167">
        <v>29740235.289999999</v>
      </c>
      <c r="O277" s="167">
        <v>29583537.349999998</v>
      </c>
      <c r="P277" s="167">
        <v>29582903.559999999</v>
      </c>
      <c r="Q277" s="167">
        <v>29590250.899999999</v>
      </c>
      <c r="R277" s="167">
        <v>29609550.319999997</v>
      </c>
      <c r="S277" s="167">
        <v>29623608.48</v>
      </c>
      <c r="T277" s="167">
        <v>29581183.469999995</v>
      </c>
      <c r="U277" s="167">
        <v>29600313.489999998</v>
      </c>
      <c r="V277" s="167">
        <v>29567180.429999996</v>
      </c>
      <c r="W277" s="168"/>
      <c r="X277" s="167">
        <v>29567180.429999996</v>
      </c>
      <c r="Y277" s="154"/>
    </row>
    <row r="278" spans="1:25" ht="14.4" x14ac:dyDescent="0.3">
      <c r="A278" s="163" t="s">
        <v>242</v>
      </c>
      <c r="B278" s="164">
        <v>1997</v>
      </c>
      <c r="C278" s="167">
        <v>10334588.690000001</v>
      </c>
      <c r="D278" s="167">
        <v>25857654.100000005</v>
      </c>
      <c r="E278" s="167">
        <v>40493806.650000006</v>
      </c>
      <c r="F278" s="167">
        <v>59415617.43</v>
      </c>
      <c r="G278" s="167">
        <v>72658478.459999993</v>
      </c>
      <c r="H278" s="167">
        <v>76645420.979999989</v>
      </c>
      <c r="I278" s="167">
        <v>79574961.709999993</v>
      </c>
      <c r="J278" s="167">
        <v>81787108.829999998</v>
      </c>
      <c r="K278" s="167">
        <v>81895895.959999993</v>
      </c>
      <c r="L278" s="167">
        <v>81937870.030000001</v>
      </c>
      <c r="M278" s="167">
        <v>82312182.579999983</v>
      </c>
      <c r="N278" s="167">
        <v>81883125.969999999</v>
      </c>
      <c r="O278" s="167">
        <v>81820046.999999985</v>
      </c>
      <c r="P278" s="167">
        <v>81851994.849999994</v>
      </c>
      <c r="Q278" s="167">
        <v>81878759.239999995</v>
      </c>
      <c r="R278" s="167">
        <v>81901050.209999993</v>
      </c>
      <c r="S278" s="167">
        <v>81890509.169999987</v>
      </c>
      <c r="T278" s="167">
        <v>81884838.689999998</v>
      </c>
      <c r="U278" s="167">
        <v>81893000.519999996</v>
      </c>
      <c r="V278" s="168"/>
      <c r="W278" s="168"/>
      <c r="X278" s="167">
        <v>81893000.519999996</v>
      </c>
      <c r="Y278" s="154"/>
    </row>
    <row r="279" spans="1:25" ht="14.4" x14ac:dyDescent="0.3">
      <c r="A279" s="163" t="s">
        <v>242</v>
      </c>
      <c r="B279" s="164">
        <v>1998</v>
      </c>
      <c r="C279" s="167">
        <v>18498024.32</v>
      </c>
      <c r="D279" s="167">
        <v>50022299.579999998</v>
      </c>
      <c r="E279" s="167">
        <v>76979771.600000009</v>
      </c>
      <c r="F279" s="167">
        <v>95374414.219999999</v>
      </c>
      <c r="G279" s="167">
        <v>115243578.08</v>
      </c>
      <c r="H279" s="167">
        <v>121707148.64999999</v>
      </c>
      <c r="I279" s="167">
        <v>124943120.08</v>
      </c>
      <c r="J279" s="167">
        <v>125262302.09999999</v>
      </c>
      <c r="K279" s="167">
        <v>125776870.34</v>
      </c>
      <c r="L279" s="167">
        <v>125553471.25</v>
      </c>
      <c r="M279" s="167">
        <v>125809445.37</v>
      </c>
      <c r="N279" s="167">
        <v>125802748.45</v>
      </c>
      <c r="O279" s="167">
        <v>125872748.03</v>
      </c>
      <c r="P279" s="167">
        <v>125960735.44999999</v>
      </c>
      <c r="Q279" s="167">
        <v>125910487.75</v>
      </c>
      <c r="R279" s="167">
        <v>125861765.05</v>
      </c>
      <c r="S279" s="167">
        <v>125950316.84</v>
      </c>
      <c r="T279" s="167">
        <v>125814478.02000001</v>
      </c>
      <c r="U279" s="168"/>
      <c r="V279" s="168"/>
      <c r="W279" s="168"/>
      <c r="X279" s="167">
        <v>125814478.02000001</v>
      </c>
      <c r="Y279" s="154"/>
    </row>
    <row r="280" spans="1:25" ht="14.4" x14ac:dyDescent="0.3">
      <c r="A280" s="163" t="s">
        <v>242</v>
      </c>
      <c r="B280" s="164">
        <v>1999</v>
      </c>
      <c r="C280" s="167">
        <v>28080808.470000003</v>
      </c>
      <c r="D280" s="167">
        <v>66538396.680000007</v>
      </c>
      <c r="E280" s="167">
        <v>116145297.88</v>
      </c>
      <c r="F280" s="167">
        <v>165192059.35999998</v>
      </c>
      <c r="G280" s="167">
        <v>179106179.64000002</v>
      </c>
      <c r="H280" s="167">
        <v>188498998.35000002</v>
      </c>
      <c r="I280" s="167">
        <v>192250909.21000001</v>
      </c>
      <c r="J280" s="167">
        <v>195221356.84999999</v>
      </c>
      <c r="K280" s="167">
        <v>196039924.75999999</v>
      </c>
      <c r="L280" s="167">
        <v>197334337.19999999</v>
      </c>
      <c r="M280" s="167">
        <v>197292248.43000001</v>
      </c>
      <c r="N280" s="167">
        <v>197370883.88</v>
      </c>
      <c r="O280" s="167">
        <v>195392891.74000001</v>
      </c>
      <c r="P280" s="167">
        <v>195340260.02999997</v>
      </c>
      <c r="Q280" s="167">
        <v>195439327.96000001</v>
      </c>
      <c r="R280" s="167">
        <v>195667907.84</v>
      </c>
      <c r="S280" s="167">
        <v>195599270.24000001</v>
      </c>
      <c r="T280" s="168"/>
      <c r="U280" s="168"/>
      <c r="V280" s="168"/>
      <c r="W280" s="168"/>
      <c r="X280" s="167">
        <v>195599270.24000001</v>
      </c>
      <c r="Y280" s="154"/>
    </row>
    <row r="281" spans="1:25" ht="14.4" x14ac:dyDescent="0.3">
      <c r="A281" s="163" t="s">
        <v>242</v>
      </c>
      <c r="B281" s="164">
        <v>2000</v>
      </c>
      <c r="C281" s="167">
        <v>26303013.859999999</v>
      </c>
      <c r="D281" s="167">
        <v>56109228.57</v>
      </c>
      <c r="E281" s="167">
        <v>92086902.00999999</v>
      </c>
      <c r="F281" s="167">
        <v>135484232.01999998</v>
      </c>
      <c r="G281" s="167">
        <v>144789638.03999999</v>
      </c>
      <c r="H281" s="167">
        <v>147140006.53999999</v>
      </c>
      <c r="I281" s="167">
        <v>148927786.95000002</v>
      </c>
      <c r="J281" s="167">
        <v>150633514.38999999</v>
      </c>
      <c r="K281" s="167">
        <v>149944780.11000001</v>
      </c>
      <c r="L281" s="167">
        <v>149769188.80000001</v>
      </c>
      <c r="M281" s="167">
        <v>149928116.47</v>
      </c>
      <c r="N281" s="167">
        <v>149602420.08000001</v>
      </c>
      <c r="O281" s="167">
        <v>149440563.24000001</v>
      </c>
      <c r="P281" s="167">
        <v>149455057.75999999</v>
      </c>
      <c r="Q281" s="167">
        <v>149711438.47</v>
      </c>
      <c r="R281" s="167">
        <v>149662739.70999998</v>
      </c>
      <c r="S281" s="168"/>
      <c r="T281" s="168"/>
      <c r="U281" s="168"/>
      <c r="V281" s="168"/>
      <c r="W281" s="168"/>
      <c r="X281" s="167">
        <v>149662739.70999998</v>
      </c>
      <c r="Y281" s="154"/>
    </row>
    <row r="282" spans="1:25" ht="14.4" x14ac:dyDescent="0.3">
      <c r="A282" s="163" t="s">
        <v>242</v>
      </c>
      <c r="B282" s="164">
        <v>2001</v>
      </c>
      <c r="C282" s="167">
        <v>17525015.359999999</v>
      </c>
      <c r="D282" s="167">
        <v>45416061.359999992</v>
      </c>
      <c r="E282" s="167">
        <v>75270740.169999987</v>
      </c>
      <c r="F282" s="167">
        <v>94094502.100000024</v>
      </c>
      <c r="G282" s="167">
        <v>105829060.42</v>
      </c>
      <c r="H282" s="167">
        <v>109186428.85000001</v>
      </c>
      <c r="I282" s="167">
        <v>110611137.58000001</v>
      </c>
      <c r="J282" s="167">
        <v>113027328.79000001</v>
      </c>
      <c r="K282" s="167">
        <v>112164726</v>
      </c>
      <c r="L282" s="167">
        <v>111960401.17000002</v>
      </c>
      <c r="M282" s="167">
        <v>111710161.04000001</v>
      </c>
      <c r="N282" s="167">
        <v>111422423.01000001</v>
      </c>
      <c r="O282" s="167">
        <v>111316131.35000001</v>
      </c>
      <c r="P282" s="167">
        <v>111337838.70999999</v>
      </c>
      <c r="Q282" s="167">
        <v>111325318.39000002</v>
      </c>
      <c r="R282" s="168"/>
      <c r="S282" s="168"/>
      <c r="T282" s="168"/>
      <c r="U282" s="168"/>
      <c r="V282" s="168"/>
      <c r="W282" s="168"/>
      <c r="X282" s="167">
        <v>111325318.39000002</v>
      </c>
      <c r="Y282" s="154"/>
    </row>
    <row r="283" spans="1:25" ht="14.4" x14ac:dyDescent="0.3">
      <c r="A283" s="163" t="s">
        <v>242</v>
      </c>
      <c r="B283" s="164">
        <v>2002</v>
      </c>
      <c r="C283" s="167">
        <v>14514233.970000001</v>
      </c>
      <c r="D283" s="167">
        <v>37082962.789999999</v>
      </c>
      <c r="E283" s="167">
        <v>54348911.919999994</v>
      </c>
      <c r="F283" s="167">
        <v>66672342.700000003</v>
      </c>
      <c r="G283" s="167">
        <v>75159519.830000013</v>
      </c>
      <c r="H283" s="167">
        <v>76351712.670000002</v>
      </c>
      <c r="I283" s="167">
        <v>79979792.150000006</v>
      </c>
      <c r="J283" s="167">
        <v>79533649.489999995</v>
      </c>
      <c r="K283" s="167">
        <v>79874956.670000002</v>
      </c>
      <c r="L283" s="167">
        <v>79649969.849999994</v>
      </c>
      <c r="M283" s="167">
        <v>79481767.680000007</v>
      </c>
      <c r="N283" s="167">
        <v>79473076.510000005</v>
      </c>
      <c r="O283" s="167">
        <v>79660898.790000007</v>
      </c>
      <c r="P283" s="167">
        <v>79663269.430000007</v>
      </c>
      <c r="Q283" s="168"/>
      <c r="R283" s="168"/>
      <c r="S283" s="168"/>
      <c r="T283" s="168"/>
      <c r="U283" s="168"/>
      <c r="V283" s="168"/>
      <c r="W283" s="168"/>
      <c r="X283" s="167">
        <v>79663269.430000007</v>
      </c>
      <c r="Y283" s="154"/>
    </row>
    <row r="284" spans="1:25" ht="14.4" x14ac:dyDescent="0.3">
      <c r="A284" s="163" t="s">
        <v>242</v>
      </c>
      <c r="B284" s="164">
        <v>2003</v>
      </c>
      <c r="C284" s="167">
        <v>19382481.010000002</v>
      </c>
      <c r="D284" s="167">
        <v>36297979.530000001</v>
      </c>
      <c r="E284" s="167">
        <v>50413356.090000004</v>
      </c>
      <c r="F284" s="167">
        <v>53236396.75</v>
      </c>
      <c r="G284" s="167">
        <v>51882379.329999998</v>
      </c>
      <c r="H284" s="167">
        <v>51460909.93</v>
      </c>
      <c r="I284" s="167">
        <v>51658617.690000005</v>
      </c>
      <c r="J284" s="167">
        <v>51970495.859999999</v>
      </c>
      <c r="K284" s="167">
        <v>51559112.059999995</v>
      </c>
      <c r="L284" s="167">
        <v>51419349.859999999</v>
      </c>
      <c r="M284" s="167">
        <v>51413630.550000004</v>
      </c>
      <c r="N284" s="167">
        <v>52100929.07</v>
      </c>
      <c r="O284" s="167">
        <v>52051970.020000003</v>
      </c>
      <c r="P284" s="168"/>
      <c r="Q284" s="168"/>
      <c r="R284" s="168"/>
      <c r="S284" s="168"/>
      <c r="T284" s="168"/>
      <c r="U284" s="168"/>
      <c r="V284" s="168"/>
      <c r="W284" s="168"/>
      <c r="X284" s="167">
        <v>52051970.020000003</v>
      </c>
      <c r="Y284" s="154"/>
    </row>
    <row r="285" spans="1:25" ht="14.4" x14ac:dyDescent="0.3">
      <c r="A285" s="163" t="s">
        <v>242</v>
      </c>
      <c r="B285" s="164">
        <v>2004</v>
      </c>
      <c r="C285" s="167">
        <v>18203936.790000003</v>
      </c>
      <c r="D285" s="167">
        <v>39036288.719999999</v>
      </c>
      <c r="E285" s="167">
        <v>46326269.57</v>
      </c>
      <c r="F285" s="167">
        <v>50322883.32</v>
      </c>
      <c r="G285" s="167">
        <v>51347731.380000003</v>
      </c>
      <c r="H285" s="167">
        <v>50938995.030000001</v>
      </c>
      <c r="I285" s="167">
        <v>50192769.129999995</v>
      </c>
      <c r="J285" s="167">
        <v>50016546.269999996</v>
      </c>
      <c r="K285" s="167">
        <v>50040779</v>
      </c>
      <c r="L285" s="167">
        <v>49963023.640000001</v>
      </c>
      <c r="M285" s="167">
        <v>51105176.5</v>
      </c>
      <c r="N285" s="167">
        <v>51108774.649999999</v>
      </c>
      <c r="O285" s="168"/>
      <c r="P285" s="168"/>
      <c r="Q285" s="168"/>
      <c r="R285" s="168"/>
      <c r="S285" s="168"/>
      <c r="T285" s="168"/>
      <c r="U285" s="168"/>
      <c r="V285" s="168"/>
      <c r="W285" s="168"/>
      <c r="X285" s="167">
        <v>51108774.649999999</v>
      </c>
      <c r="Y285" s="154"/>
    </row>
    <row r="286" spans="1:25" ht="14.4" x14ac:dyDescent="0.3">
      <c r="A286" s="163" t="s">
        <v>242</v>
      </c>
      <c r="B286" s="164">
        <v>2005</v>
      </c>
      <c r="C286" s="167">
        <v>19305172.34</v>
      </c>
      <c r="D286" s="167">
        <v>46902419.969999999</v>
      </c>
      <c r="E286" s="167">
        <v>59759754.240000002</v>
      </c>
      <c r="F286" s="167">
        <v>72254956.579999998</v>
      </c>
      <c r="G286" s="167">
        <v>73395952.159999996</v>
      </c>
      <c r="H286" s="167">
        <v>70685568.5</v>
      </c>
      <c r="I286" s="167">
        <v>70728880.810000002</v>
      </c>
      <c r="J286" s="167">
        <v>69949353.620000005</v>
      </c>
      <c r="K286" s="167">
        <v>69724404.479999989</v>
      </c>
      <c r="L286" s="167">
        <v>72829205.480000004</v>
      </c>
      <c r="M286" s="167">
        <v>72885302.019999996</v>
      </c>
      <c r="N286" s="168"/>
      <c r="O286" s="168"/>
      <c r="P286" s="168"/>
      <c r="Q286" s="168"/>
      <c r="R286" s="168"/>
      <c r="S286" s="168"/>
      <c r="T286" s="168"/>
      <c r="U286" s="168"/>
      <c r="V286" s="168"/>
      <c r="W286" s="168"/>
      <c r="X286" s="167">
        <v>72885302.019999996</v>
      </c>
      <c r="Y286" s="154"/>
    </row>
    <row r="287" spans="1:25" ht="14.4" x14ac:dyDescent="0.3">
      <c r="A287" s="163" t="s">
        <v>242</v>
      </c>
      <c r="B287" s="164">
        <v>2006</v>
      </c>
      <c r="C287" s="167">
        <v>26354608.75</v>
      </c>
      <c r="D287" s="167">
        <v>62322745.25</v>
      </c>
      <c r="E287" s="167">
        <v>76897561.24000001</v>
      </c>
      <c r="F287" s="167">
        <v>78838180.019999996</v>
      </c>
      <c r="G287" s="167">
        <v>81174695.769999996</v>
      </c>
      <c r="H287" s="167">
        <v>79672661.789999992</v>
      </c>
      <c r="I287" s="167">
        <v>79967842.909999996</v>
      </c>
      <c r="J287" s="167">
        <v>80232432.379999995</v>
      </c>
      <c r="K287" s="167">
        <v>83427239.439999998</v>
      </c>
      <c r="L287" s="167">
        <v>83335250.519999996</v>
      </c>
      <c r="M287" s="168"/>
      <c r="N287" s="168"/>
      <c r="O287" s="168"/>
      <c r="P287" s="168"/>
      <c r="Q287" s="168"/>
      <c r="R287" s="168"/>
      <c r="S287" s="168"/>
      <c r="T287" s="168"/>
      <c r="U287" s="168"/>
      <c r="V287" s="168"/>
      <c r="W287" s="168"/>
      <c r="X287" s="167">
        <v>83335250.519999996</v>
      </c>
      <c r="Y287" s="154"/>
    </row>
    <row r="288" spans="1:25" ht="14.4" x14ac:dyDescent="0.3">
      <c r="A288" s="163" t="s">
        <v>242</v>
      </c>
      <c r="B288" s="164">
        <v>2007</v>
      </c>
      <c r="C288" s="167">
        <v>38362735.68</v>
      </c>
      <c r="D288" s="167">
        <v>92288375.829999998</v>
      </c>
      <c r="E288" s="167">
        <v>98328830.420000002</v>
      </c>
      <c r="F288" s="167">
        <v>98354483.960000008</v>
      </c>
      <c r="G288" s="167">
        <v>100159816.5</v>
      </c>
      <c r="H288" s="167">
        <v>98163944.229999989</v>
      </c>
      <c r="I288" s="167">
        <v>98059907.099999994</v>
      </c>
      <c r="J288" s="167">
        <v>101788656.59999999</v>
      </c>
      <c r="K288" s="167">
        <v>102687989.86000001</v>
      </c>
      <c r="L288" s="168"/>
      <c r="M288" s="168"/>
      <c r="N288" s="168"/>
      <c r="O288" s="168"/>
      <c r="P288" s="168"/>
      <c r="Q288" s="168"/>
      <c r="R288" s="168"/>
      <c r="S288" s="168"/>
      <c r="T288" s="168"/>
      <c r="U288" s="168"/>
      <c r="V288" s="168"/>
      <c r="W288" s="168"/>
      <c r="X288" s="167">
        <v>102687989.86000001</v>
      </c>
      <c r="Y288" s="154"/>
    </row>
    <row r="289" spans="1:25" ht="14.4" x14ac:dyDescent="0.3">
      <c r="A289" s="163" t="s">
        <v>242</v>
      </c>
      <c r="B289" s="164">
        <v>2008</v>
      </c>
      <c r="C289" s="167">
        <v>41078590.219999999</v>
      </c>
      <c r="D289" s="167">
        <v>95100878.689999998</v>
      </c>
      <c r="E289" s="167">
        <v>107352200.78999999</v>
      </c>
      <c r="F289" s="167">
        <v>112224495.66</v>
      </c>
      <c r="G289" s="167">
        <v>116314360.97</v>
      </c>
      <c r="H289" s="167">
        <v>121858308.78</v>
      </c>
      <c r="I289" s="167">
        <v>122910990.19</v>
      </c>
      <c r="J289" s="167">
        <v>122740545.69</v>
      </c>
      <c r="K289" s="168"/>
      <c r="L289" s="168"/>
      <c r="M289" s="168"/>
      <c r="N289" s="168"/>
      <c r="O289" s="168"/>
      <c r="P289" s="168"/>
      <c r="Q289" s="168"/>
      <c r="R289" s="168"/>
      <c r="S289" s="168"/>
      <c r="T289" s="168"/>
      <c r="U289" s="168"/>
      <c r="V289" s="168"/>
      <c r="W289" s="168"/>
      <c r="X289" s="167">
        <v>122740545.69</v>
      </c>
      <c r="Y289" s="154"/>
    </row>
    <row r="290" spans="1:25" ht="14.4" x14ac:dyDescent="0.3">
      <c r="A290" s="163" t="s">
        <v>242</v>
      </c>
      <c r="B290" s="164">
        <v>2009</v>
      </c>
      <c r="C290" s="167">
        <v>45827650.939999998</v>
      </c>
      <c r="D290" s="167">
        <v>93504343.980000004</v>
      </c>
      <c r="E290" s="167">
        <v>109894301.09999999</v>
      </c>
      <c r="F290" s="167">
        <v>116744464.84</v>
      </c>
      <c r="G290" s="167">
        <v>118859600.16000001</v>
      </c>
      <c r="H290" s="167">
        <v>122274550.77000001</v>
      </c>
      <c r="I290" s="167">
        <v>120764133.44999999</v>
      </c>
      <c r="J290" s="168"/>
      <c r="K290" s="168"/>
      <c r="L290" s="168"/>
      <c r="M290" s="168"/>
      <c r="N290" s="168"/>
      <c r="O290" s="168"/>
      <c r="P290" s="168"/>
      <c r="Q290" s="168"/>
      <c r="R290" s="168"/>
      <c r="S290" s="168"/>
      <c r="T290" s="168"/>
      <c r="U290" s="168"/>
      <c r="V290" s="168"/>
      <c r="W290" s="168"/>
      <c r="X290" s="167">
        <v>120764133.44999999</v>
      </c>
      <c r="Y290" s="154"/>
    </row>
    <row r="291" spans="1:25" ht="14.4" x14ac:dyDescent="0.3">
      <c r="A291" s="163" t="s">
        <v>242</v>
      </c>
      <c r="B291" s="164">
        <v>2010</v>
      </c>
      <c r="C291" s="167">
        <v>44446641.609999999</v>
      </c>
      <c r="D291" s="167">
        <v>98506854.810000002</v>
      </c>
      <c r="E291" s="167">
        <v>111506274.56999999</v>
      </c>
      <c r="F291" s="167">
        <v>136932609.72999999</v>
      </c>
      <c r="G291" s="167">
        <v>148126774.85999998</v>
      </c>
      <c r="H291" s="167">
        <v>146098490.75</v>
      </c>
      <c r="I291" s="168"/>
      <c r="J291" s="168"/>
      <c r="K291" s="168"/>
      <c r="L291" s="168"/>
      <c r="M291" s="168"/>
      <c r="N291" s="168"/>
      <c r="O291" s="168"/>
      <c r="P291" s="168"/>
      <c r="Q291" s="168"/>
      <c r="R291" s="168"/>
      <c r="S291" s="168"/>
      <c r="T291" s="168"/>
      <c r="U291" s="168"/>
      <c r="V291" s="168"/>
      <c r="W291" s="168"/>
      <c r="X291" s="167">
        <v>146098490.75</v>
      </c>
      <c r="Y291" s="154"/>
    </row>
    <row r="292" spans="1:25" ht="14.4" x14ac:dyDescent="0.3">
      <c r="A292" s="163" t="s">
        <v>242</v>
      </c>
      <c r="B292" s="164">
        <v>2011</v>
      </c>
      <c r="C292" s="167">
        <v>44529872.719999999</v>
      </c>
      <c r="D292" s="167">
        <v>102183750.53999999</v>
      </c>
      <c r="E292" s="167">
        <v>137231692.22</v>
      </c>
      <c r="F292" s="167">
        <v>155755632.11000001</v>
      </c>
      <c r="G292" s="167">
        <v>159521568.21000001</v>
      </c>
      <c r="H292" s="168"/>
      <c r="I292" s="168"/>
      <c r="J292" s="168"/>
      <c r="K292" s="168"/>
      <c r="L292" s="168"/>
      <c r="M292" s="168"/>
      <c r="N292" s="168"/>
      <c r="O292" s="168"/>
      <c r="P292" s="168"/>
      <c r="Q292" s="168"/>
      <c r="R292" s="168"/>
      <c r="S292" s="168"/>
      <c r="T292" s="168"/>
      <c r="U292" s="168"/>
      <c r="V292" s="168"/>
      <c r="W292" s="168"/>
      <c r="X292" s="167">
        <v>159521568.21000001</v>
      </c>
      <c r="Y292" s="154"/>
    </row>
    <row r="293" spans="1:25" ht="14.4" x14ac:dyDescent="0.3">
      <c r="A293" s="163" t="s">
        <v>242</v>
      </c>
      <c r="B293" s="164">
        <v>2012</v>
      </c>
      <c r="C293" s="167">
        <v>39700022.469999999</v>
      </c>
      <c r="D293" s="167">
        <v>123698151.61</v>
      </c>
      <c r="E293" s="167">
        <v>152610650.72</v>
      </c>
      <c r="F293" s="167">
        <v>167685561.09</v>
      </c>
      <c r="G293" s="168"/>
      <c r="H293" s="168"/>
      <c r="I293" s="168"/>
      <c r="J293" s="168"/>
      <c r="K293" s="168"/>
      <c r="L293" s="168"/>
      <c r="M293" s="168"/>
      <c r="N293" s="168"/>
      <c r="O293" s="168"/>
      <c r="P293" s="168"/>
      <c r="Q293" s="168"/>
      <c r="R293" s="168"/>
      <c r="S293" s="168"/>
      <c r="T293" s="168"/>
      <c r="U293" s="168"/>
      <c r="V293" s="168"/>
      <c r="W293" s="168"/>
      <c r="X293" s="167">
        <v>167685561.09</v>
      </c>
      <c r="Y293" s="154"/>
    </row>
    <row r="294" spans="1:25" ht="14.4" x14ac:dyDescent="0.3">
      <c r="A294" s="163" t="s">
        <v>242</v>
      </c>
      <c r="B294" s="164">
        <v>2013</v>
      </c>
      <c r="C294" s="167">
        <v>63403013.949999996</v>
      </c>
      <c r="D294" s="167">
        <v>162225495.34999999</v>
      </c>
      <c r="E294" s="167">
        <v>198396839.03</v>
      </c>
      <c r="F294" s="168"/>
      <c r="G294" s="168"/>
      <c r="H294" s="168"/>
      <c r="I294" s="168"/>
      <c r="J294" s="168"/>
      <c r="K294" s="168"/>
      <c r="L294" s="168"/>
      <c r="M294" s="168"/>
      <c r="N294" s="168"/>
      <c r="O294" s="168"/>
      <c r="P294" s="168"/>
      <c r="Q294" s="168"/>
      <c r="R294" s="168"/>
      <c r="S294" s="168"/>
      <c r="T294" s="168"/>
      <c r="U294" s="168"/>
      <c r="V294" s="168"/>
      <c r="W294" s="168"/>
      <c r="X294" s="167">
        <v>198396839.03</v>
      </c>
      <c r="Y294" s="154"/>
    </row>
    <row r="295" spans="1:25" ht="14.4" x14ac:dyDescent="0.3">
      <c r="A295" s="163" t="s">
        <v>242</v>
      </c>
      <c r="B295" s="164">
        <v>2014</v>
      </c>
      <c r="C295" s="167">
        <v>81773365.579999998</v>
      </c>
      <c r="D295" s="167">
        <v>203854187.81999999</v>
      </c>
      <c r="E295" s="168"/>
      <c r="F295" s="168"/>
      <c r="G295" s="168"/>
      <c r="H295" s="168"/>
      <c r="I295" s="168"/>
      <c r="J295" s="168"/>
      <c r="K295" s="168"/>
      <c r="L295" s="168"/>
      <c r="M295" s="168"/>
      <c r="N295" s="168"/>
      <c r="O295" s="168"/>
      <c r="P295" s="168"/>
      <c r="Q295" s="168"/>
      <c r="R295" s="168"/>
      <c r="S295" s="168"/>
      <c r="T295" s="168"/>
      <c r="U295" s="168"/>
      <c r="V295" s="168"/>
      <c r="W295" s="168"/>
      <c r="X295" s="167">
        <v>203854187.81999999</v>
      </c>
      <c r="Y295" s="154"/>
    </row>
    <row r="296" spans="1:25" ht="14.4" x14ac:dyDescent="0.3">
      <c r="A296" s="163" t="s">
        <v>242</v>
      </c>
      <c r="B296" s="164">
        <v>2015</v>
      </c>
      <c r="C296" s="167">
        <v>62237876.690000005</v>
      </c>
      <c r="D296" s="168"/>
      <c r="E296" s="168"/>
      <c r="F296" s="168"/>
      <c r="G296" s="168"/>
      <c r="H296" s="168"/>
      <c r="I296" s="168"/>
      <c r="J296" s="168"/>
      <c r="K296" s="168"/>
      <c r="L296" s="168"/>
      <c r="M296" s="168"/>
      <c r="N296" s="168"/>
      <c r="O296" s="168"/>
      <c r="P296" s="168"/>
      <c r="Q296" s="168"/>
      <c r="R296" s="168"/>
      <c r="S296" s="168"/>
      <c r="T296" s="168"/>
      <c r="U296" s="168"/>
      <c r="V296" s="168"/>
      <c r="W296" s="168"/>
      <c r="X296" s="167">
        <v>62237876.690000005</v>
      </c>
      <c r="Y296" s="154"/>
    </row>
    <row r="297" spans="1:25" ht="14.4" x14ac:dyDescent="0.3">
      <c r="A297" s="163" t="s">
        <v>243</v>
      </c>
      <c r="B297" s="164">
        <v>1995</v>
      </c>
      <c r="C297" s="167">
        <v>99760673.049999997</v>
      </c>
      <c r="D297" s="167">
        <v>259665483.19999999</v>
      </c>
      <c r="E297" s="167">
        <v>356519105.39999998</v>
      </c>
      <c r="F297" s="167">
        <v>397602123.83999997</v>
      </c>
      <c r="G297" s="167">
        <v>417401108.73999995</v>
      </c>
      <c r="H297" s="167">
        <v>422241256.42999995</v>
      </c>
      <c r="I297" s="167">
        <v>425057405.63999999</v>
      </c>
      <c r="J297" s="167">
        <v>415341806.48999995</v>
      </c>
      <c r="K297" s="167">
        <v>417917759.22999996</v>
      </c>
      <c r="L297" s="167">
        <v>414961983.52999991</v>
      </c>
      <c r="M297" s="167">
        <v>416994454.74999994</v>
      </c>
      <c r="N297" s="167">
        <v>414551219.74999994</v>
      </c>
      <c r="O297" s="167">
        <v>414663083.56999993</v>
      </c>
      <c r="P297" s="167">
        <v>415378558.37999994</v>
      </c>
      <c r="Q297" s="167">
        <v>415386501.44999993</v>
      </c>
      <c r="R297" s="167">
        <v>415397523.31</v>
      </c>
      <c r="S297" s="167">
        <v>415369860.65999997</v>
      </c>
      <c r="T297" s="167">
        <v>415332880.12</v>
      </c>
      <c r="U297" s="167">
        <v>415327812.27999997</v>
      </c>
      <c r="V297" s="167">
        <v>415295774.90999991</v>
      </c>
      <c r="W297" s="167">
        <v>415311983.00999993</v>
      </c>
      <c r="X297" s="167">
        <v>415311983.00999993</v>
      </c>
      <c r="Y297" s="154"/>
    </row>
    <row r="298" spans="1:25" ht="14.4" x14ac:dyDescent="0.3">
      <c r="A298" s="163" t="s">
        <v>243</v>
      </c>
      <c r="B298" s="164">
        <v>1996</v>
      </c>
      <c r="C298" s="167">
        <v>89213463.469999999</v>
      </c>
      <c r="D298" s="167">
        <v>213646603.38999999</v>
      </c>
      <c r="E298" s="167">
        <v>290794946.57999998</v>
      </c>
      <c r="F298" s="167">
        <v>333061638.64999992</v>
      </c>
      <c r="G298" s="167">
        <v>366557694.37</v>
      </c>
      <c r="H298" s="167">
        <v>366390864.51000005</v>
      </c>
      <c r="I298" s="167">
        <v>375758466.97000003</v>
      </c>
      <c r="J298" s="167">
        <v>369784424.81000006</v>
      </c>
      <c r="K298" s="167">
        <v>367380630.27000004</v>
      </c>
      <c r="L298" s="167">
        <v>375133132.61000001</v>
      </c>
      <c r="M298" s="167">
        <v>375149223.03000003</v>
      </c>
      <c r="N298" s="167">
        <v>375694598.56000006</v>
      </c>
      <c r="O298" s="167">
        <v>375214529.9000001</v>
      </c>
      <c r="P298" s="167">
        <v>376001248.68000001</v>
      </c>
      <c r="Q298" s="167">
        <v>375993201.27000004</v>
      </c>
      <c r="R298" s="167">
        <v>376112517.88000005</v>
      </c>
      <c r="S298" s="167">
        <v>376053215.58000004</v>
      </c>
      <c r="T298" s="167">
        <v>376080962.5</v>
      </c>
      <c r="U298" s="167">
        <v>376187436.30000007</v>
      </c>
      <c r="V298" s="167">
        <v>376203994.5</v>
      </c>
      <c r="W298" s="168"/>
      <c r="X298" s="167">
        <v>376203994.5</v>
      </c>
      <c r="Y298" s="154"/>
    </row>
    <row r="299" spans="1:25" ht="14.4" x14ac:dyDescent="0.3">
      <c r="A299" s="163" t="s">
        <v>243</v>
      </c>
      <c r="B299" s="164">
        <v>1997</v>
      </c>
      <c r="C299" s="167">
        <v>78903646.900000006</v>
      </c>
      <c r="D299" s="167">
        <v>195251478.34999999</v>
      </c>
      <c r="E299" s="167">
        <v>281322525.5</v>
      </c>
      <c r="F299" s="167">
        <v>323820318.47000003</v>
      </c>
      <c r="G299" s="167">
        <v>361342263.64999998</v>
      </c>
      <c r="H299" s="167">
        <v>375505290.27000004</v>
      </c>
      <c r="I299" s="167">
        <v>373223333.43000001</v>
      </c>
      <c r="J299" s="167">
        <v>364696424.05000001</v>
      </c>
      <c r="K299" s="167">
        <v>370417802.71000004</v>
      </c>
      <c r="L299" s="167">
        <v>371458317.01999998</v>
      </c>
      <c r="M299" s="167">
        <v>368686493.82999998</v>
      </c>
      <c r="N299" s="167">
        <v>368857882.69</v>
      </c>
      <c r="O299" s="167">
        <v>369127290.13</v>
      </c>
      <c r="P299" s="167">
        <v>368924610.26000005</v>
      </c>
      <c r="Q299" s="167">
        <v>368925554.25999999</v>
      </c>
      <c r="R299" s="167">
        <v>368917929.83000004</v>
      </c>
      <c r="S299" s="167">
        <v>368945667.88000005</v>
      </c>
      <c r="T299" s="167">
        <v>368965956.98000008</v>
      </c>
      <c r="U299" s="167">
        <v>368968814.63000005</v>
      </c>
      <c r="V299" s="168"/>
      <c r="W299" s="168"/>
      <c r="X299" s="167">
        <v>368968814.63000005</v>
      </c>
      <c r="Y299" s="154"/>
    </row>
    <row r="300" spans="1:25" ht="14.4" x14ac:dyDescent="0.3">
      <c r="A300" s="163" t="s">
        <v>243</v>
      </c>
      <c r="B300" s="164">
        <v>1998</v>
      </c>
      <c r="C300" s="167">
        <v>77837569.75</v>
      </c>
      <c r="D300" s="167">
        <v>186412384.26000002</v>
      </c>
      <c r="E300" s="167">
        <v>269389204.28000003</v>
      </c>
      <c r="F300" s="167">
        <v>318978364.88</v>
      </c>
      <c r="G300" s="167">
        <v>353403989.49999994</v>
      </c>
      <c r="H300" s="167">
        <v>362181017.79000002</v>
      </c>
      <c r="I300" s="167">
        <v>371089295.20999998</v>
      </c>
      <c r="J300" s="167">
        <v>362757703.36999995</v>
      </c>
      <c r="K300" s="167">
        <v>358583360.25999999</v>
      </c>
      <c r="L300" s="167">
        <v>358424387.64999998</v>
      </c>
      <c r="M300" s="167">
        <v>358745521.81999999</v>
      </c>
      <c r="N300" s="167">
        <v>359463424.31</v>
      </c>
      <c r="O300" s="167">
        <v>358983461.37</v>
      </c>
      <c r="P300" s="167">
        <v>359121539.92000002</v>
      </c>
      <c r="Q300" s="167">
        <v>359175910.25999999</v>
      </c>
      <c r="R300" s="167">
        <v>359226397.07999998</v>
      </c>
      <c r="S300" s="167">
        <v>358168655.92000002</v>
      </c>
      <c r="T300" s="167">
        <v>358218611.5</v>
      </c>
      <c r="U300" s="168"/>
      <c r="V300" s="168"/>
      <c r="W300" s="168"/>
      <c r="X300" s="167">
        <v>358218611.5</v>
      </c>
      <c r="Y300" s="154"/>
    </row>
    <row r="301" spans="1:25" ht="14.4" x14ac:dyDescent="0.3">
      <c r="A301" s="163" t="s">
        <v>243</v>
      </c>
      <c r="B301" s="164">
        <v>1999</v>
      </c>
      <c r="C301" s="167">
        <v>59813543.130000003</v>
      </c>
      <c r="D301" s="167">
        <v>147231302.22000003</v>
      </c>
      <c r="E301" s="167">
        <v>203502253.28999999</v>
      </c>
      <c r="F301" s="167">
        <v>245577502.72</v>
      </c>
      <c r="G301" s="167">
        <v>145379019.08999997</v>
      </c>
      <c r="H301" s="167">
        <v>150414470.61000001</v>
      </c>
      <c r="I301" s="167">
        <v>149571390.99000001</v>
      </c>
      <c r="J301" s="167">
        <v>152779744.80999997</v>
      </c>
      <c r="K301" s="167">
        <v>149878302.95000002</v>
      </c>
      <c r="L301" s="167">
        <v>148624368.91</v>
      </c>
      <c r="M301" s="167">
        <v>148345984.47000003</v>
      </c>
      <c r="N301" s="167">
        <v>147986786.00000003</v>
      </c>
      <c r="O301" s="167">
        <v>147913176.26999998</v>
      </c>
      <c r="P301" s="167">
        <v>147840525.64999998</v>
      </c>
      <c r="Q301" s="167">
        <v>147904834.88999999</v>
      </c>
      <c r="R301" s="167">
        <v>147968273.69</v>
      </c>
      <c r="S301" s="167">
        <v>147777723.47999999</v>
      </c>
      <c r="T301" s="168"/>
      <c r="U301" s="168"/>
      <c r="V301" s="168"/>
      <c r="W301" s="168"/>
      <c r="X301" s="167">
        <v>147777723.47999999</v>
      </c>
      <c r="Y301" s="154"/>
    </row>
    <row r="302" spans="1:25" ht="14.4" x14ac:dyDescent="0.3">
      <c r="A302" s="163" t="s">
        <v>243</v>
      </c>
      <c r="B302" s="164">
        <v>2000</v>
      </c>
      <c r="C302" s="167">
        <v>33673422.900000006</v>
      </c>
      <c r="D302" s="167">
        <v>76577752.390000015</v>
      </c>
      <c r="E302" s="167">
        <v>116300266.04999998</v>
      </c>
      <c r="F302" s="167">
        <v>43453347.679999992</v>
      </c>
      <c r="G302" s="167">
        <v>53630813.009999976</v>
      </c>
      <c r="H302" s="167">
        <v>61769867.939999983</v>
      </c>
      <c r="I302" s="167">
        <v>62263130.200000003</v>
      </c>
      <c r="J302" s="167">
        <v>64299046.419999987</v>
      </c>
      <c r="K302" s="167">
        <v>64461243.960000008</v>
      </c>
      <c r="L302" s="167">
        <v>62534233.730000019</v>
      </c>
      <c r="M302" s="167">
        <v>59176574.939999998</v>
      </c>
      <c r="N302" s="167">
        <v>59372991.230000004</v>
      </c>
      <c r="O302" s="167">
        <v>65986138.010000035</v>
      </c>
      <c r="P302" s="167">
        <v>65742734.860000029</v>
      </c>
      <c r="Q302" s="167">
        <v>65703474.330000028</v>
      </c>
      <c r="R302" s="167">
        <v>65762613.350000009</v>
      </c>
      <c r="S302" s="168"/>
      <c r="T302" s="168"/>
      <c r="U302" s="168"/>
      <c r="V302" s="168"/>
      <c r="W302" s="168"/>
      <c r="X302" s="167">
        <v>65762613.350000009</v>
      </c>
      <c r="Y302" s="154"/>
    </row>
    <row r="303" spans="1:25" ht="14.4" x14ac:dyDescent="0.3">
      <c r="A303" s="163" t="s">
        <v>243</v>
      </c>
      <c r="B303" s="164">
        <v>2001</v>
      </c>
      <c r="C303" s="167">
        <v>32908213.75</v>
      </c>
      <c r="D303" s="167">
        <v>83328971.650000006</v>
      </c>
      <c r="E303" s="167">
        <v>88226931.640000001</v>
      </c>
      <c r="F303" s="167">
        <v>104490203.09999998</v>
      </c>
      <c r="G303" s="167">
        <v>118576577.87</v>
      </c>
      <c r="H303" s="167">
        <v>114056349.73999998</v>
      </c>
      <c r="I303" s="167">
        <v>111597214.33999997</v>
      </c>
      <c r="J303" s="167">
        <v>111138732.04999998</v>
      </c>
      <c r="K303" s="167">
        <v>110897108.53999999</v>
      </c>
      <c r="L303" s="167">
        <v>109678512.19999999</v>
      </c>
      <c r="M303" s="167">
        <v>109770060.09999999</v>
      </c>
      <c r="N303" s="167">
        <v>108823110.25</v>
      </c>
      <c r="O303" s="167">
        <v>109708191.22999999</v>
      </c>
      <c r="P303" s="167">
        <v>109828040.73999999</v>
      </c>
      <c r="Q303" s="167">
        <v>109853442.78999999</v>
      </c>
      <c r="R303" s="168"/>
      <c r="S303" s="168"/>
      <c r="T303" s="168"/>
      <c r="U303" s="168"/>
      <c r="V303" s="168"/>
      <c r="W303" s="168"/>
      <c r="X303" s="167">
        <v>109853442.78999999</v>
      </c>
      <c r="Y303" s="154"/>
    </row>
    <row r="304" spans="1:25" ht="14.4" x14ac:dyDescent="0.3">
      <c r="A304" s="163" t="s">
        <v>243</v>
      </c>
      <c r="B304" s="164">
        <v>2002</v>
      </c>
      <c r="C304" s="167">
        <v>17979302.609999999</v>
      </c>
      <c r="D304" s="167">
        <v>46769208.07</v>
      </c>
      <c r="E304" s="167">
        <v>80605887.460000008</v>
      </c>
      <c r="F304" s="167">
        <v>97159367.429999992</v>
      </c>
      <c r="G304" s="167">
        <v>95095408.120000005</v>
      </c>
      <c r="H304" s="167">
        <v>98146570.840000004</v>
      </c>
      <c r="I304" s="167">
        <v>103097717.35999998</v>
      </c>
      <c r="J304" s="167">
        <v>101608519.87</v>
      </c>
      <c r="K304" s="167">
        <v>101730762.15000001</v>
      </c>
      <c r="L304" s="167">
        <v>101932181.59999999</v>
      </c>
      <c r="M304" s="167">
        <v>101549506.84999999</v>
      </c>
      <c r="N304" s="167">
        <v>101131786.58000001</v>
      </c>
      <c r="O304" s="167">
        <v>101371246.86000001</v>
      </c>
      <c r="P304" s="167">
        <v>101739848.33000001</v>
      </c>
      <c r="Q304" s="168"/>
      <c r="R304" s="168"/>
      <c r="S304" s="168"/>
      <c r="T304" s="168"/>
      <c r="U304" s="168"/>
      <c r="V304" s="168"/>
      <c r="W304" s="168"/>
      <c r="X304" s="167">
        <v>101739848.33000001</v>
      </c>
      <c r="Y304" s="154"/>
    </row>
    <row r="305" spans="1:25" ht="14.4" x14ac:dyDescent="0.3">
      <c r="A305" s="163" t="s">
        <v>243</v>
      </c>
      <c r="B305" s="164">
        <v>2003</v>
      </c>
      <c r="C305" s="167">
        <v>23780398.199999999</v>
      </c>
      <c r="D305" s="167">
        <v>49960913.649999999</v>
      </c>
      <c r="E305" s="167">
        <v>67535960.780000001</v>
      </c>
      <c r="F305" s="167">
        <v>78211554.349999994</v>
      </c>
      <c r="G305" s="167">
        <v>82481410.349999994</v>
      </c>
      <c r="H305" s="167">
        <v>85066477.980000004</v>
      </c>
      <c r="I305" s="167">
        <v>87302240.25</v>
      </c>
      <c r="J305" s="167">
        <v>87082806.23999998</v>
      </c>
      <c r="K305" s="167">
        <v>87136043.420000002</v>
      </c>
      <c r="L305" s="167">
        <v>85421310.170000002</v>
      </c>
      <c r="M305" s="167">
        <v>85497027.260000005</v>
      </c>
      <c r="N305" s="167">
        <v>85597484.980000004</v>
      </c>
      <c r="O305" s="167">
        <v>85611543.680000007</v>
      </c>
      <c r="P305" s="168"/>
      <c r="Q305" s="168"/>
      <c r="R305" s="168"/>
      <c r="S305" s="168"/>
      <c r="T305" s="168"/>
      <c r="U305" s="168"/>
      <c r="V305" s="168"/>
      <c r="W305" s="168"/>
      <c r="X305" s="167">
        <v>85611543.680000007</v>
      </c>
      <c r="Y305" s="154"/>
    </row>
    <row r="306" spans="1:25" ht="14.4" x14ac:dyDescent="0.3">
      <c r="A306" s="163" t="s">
        <v>243</v>
      </c>
      <c r="B306" s="164">
        <v>2004</v>
      </c>
      <c r="C306" s="167">
        <v>35899036.399999999</v>
      </c>
      <c r="D306" s="167">
        <v>62004673.619999997</v>
      </c>
      <c r="E306" s="167">
        <v>81614632.549999997</v>
      </c>
      <c r="F306" s="167">
        <v>100923836.74000001</v>
      </c>
      <c r="G306" s="167">
        <v>109158280.71000001</v>
      </c>
      <c r="H306" s="167">
        <v>113549253.28</v>
      </c>
      <c r="I306" s="167">
        <v>113015143.36</v>
      </c>
      <c r="J306" s="167">
        <v>115018261.23</v>
      </c>
      <c r="K306" s="167">
        <v>114309483.94</v>
      </c>
      <c r="L306" s="167">
        <v>114333349.72</v>
      </c>
      <c r="M306" s="167">
        <v>114016768.28</v>
      </c>
      <c r="N306" s="167">
        <v>113939737.86000001</v>
      </c>
      <c r="O306" s="168"/>
      <c r="P306" s="168"/>
      <c r="Q306" s="168"/>
      <c r="R306" s="168"/>
      <c r="S306" s="168"/>
      <c r="T306" s="168"/>
      <c r="U306" s="168"/>
      <c r="V306" s="168"/>
      <c r="W306" s="168"/>
      <c r="X306" s="167">
        <v>113939737.86000001</v>
      </c>
      <c r="Y306" s="154"/>
    </row>
    <row r="307" spans="1:25" ht="14.4" x14ac:dyDescent="0.3">
      <c r="A307" s="163" t="s">
        <v>243</v>
      </c>
      <c r="B307" s="164">
        <v>2005</v>
      </c>
      <c r="C307" s="167">
        <v>33742413.329999998</v>
      </c>
      <c r="D307" s="167">
        <v>63586933.020000003</v>
      </c>
      <c r="E307" s="167">
        <v>96818033.610000014</v>
      </c>
      <c r="F307" s="167">
        <v>131157025.55</v>
      </c>
      <c r="G307" s="167">
        <v>138656189.48000002</v>
      </c>
      <c r="H307" s="167">
        <v>142145222.03999999</v>
      </c>
      <c r="I307" s="167">
        <v>145319708.12</v>
      </c>
      <c r="J307" s="167">
        <v>146541059.18000001</v>
      </c>
      <c r="K307" s="167">
        <v>147819683.06999999</v>
      </c>
      <c r="L307" s="167">
        <v>148201900.97999999</v>
      </c>
      <c r="M307" s="167">
        <v>147355619.66999999</v>
      </c>
      <c r="N307" s="168"/>
      <c r="O307" s="168"/>
      <c r="P307" s="168"/>
      <c r="Q307" s="168"/>
      <c r="R307" s="168"/>
      <c r="S307" s="168"/>
      <c r="T307" s="168"/>
      <c r="U307" s="168"/>
      <c r="V307" s="168"/>
      <c r="W307" s="168"/>
      <c r="X307" s="167">
        <v>147355619.66999999</v>
      </c>
      <c r="Y307" s="154"/>
    </row>
    <row r="308" spans="1:25" ht="14.4" x14ac:dyDescent="0.3">
      <c r="A308" s="163" t="s">
        <v>243</v>
      </c>
      <c r="B308" s="164">
        <v>2006</v>
      </c>
      <c r="C308" s="167">
        <v>16874542.739999998</v>
      </c>
      <c r="D308" s="167">
        <v>48567278.859999999</v>
      </c>
      <c r="E308" s="167">
        <v>81998527.269999996</v>
      </c>
      <c r="F308" s="167">
        <v>107618672.41</v>
      </c>
      <c r="G308" s="167">
        <v>119392283.11</v>
      </c>
      <c r="H308" s="167">
        <v>120026438.72</v>
      </c>
      <c r="I308" s="167">
        <v>119631897.50999999</v>
      </c>
      <c r="J308" s="167">
        <v>120099281.28</v>
      </c>
      <c r="K308" s="167">
        <v>121377051.55</v>
      </c>
      <c r="L308" s="167">
        <v>122224318.83</v>
      </c>
      <c r="M308" s="168"/>
      <c r="N308" s="168"/>
      <c r="O308" s="168"/>
      <c r="P308" s="168"/>
      <c r="Q308" s="168"/>
      <c r="R308" s="168"/>
      <c r="S308" s="168"/>
      <c r="T308" s="168"/>
      <c r="U308" s="168"/>
      <c r="V308" s="168"/>
      <c r="W308" s="168"/>
      <c r="X308" s="167">
        <v>122224318.83</v>
      </c>
      <c r="Y308" s="154"/>
    </row>
    <row r="309" spans="1:25" ht="14.4" x14ac:dyDescent="0.3">
      <c r="A309" s="163" t="s">
        <v>243</v>
      </c>
      <c r="B309" s="164">
        <v>2007</v>
      </c>
      <c r="C309" s="167">
        <v>20480315.57</v>
      </c>
      <c r="D309" s="167">
        <v>70654192.019999996</v>
      </c>
      <c r="E309" s="167">
        <v>102482196.06</v>
      </c>
      <c r="F309" s="167">
        <v>131011474.14</v>
      </c>
      <c r="G309" s="167">
        <v>147432765.69</v>
      </c>
      <c r="H309" s="167">
        <v>149774385.55000001</v>
      </c>
      <c r="I309" s="167">
        <v>150732814.16999999</v>
      </c>
      <c r="J309" s="167">
        <v>153154871.73000002</v>
      </c>
      <c r="K309" s="167">
        <v>153445139.69999999</v>
      </c>
      <c r="L309" s="168"/>
      <c r="M309" s="168"/>
      <c r="N309" s="168"/>
      <c r="O309" s="168"/>
      <c r="P309" s="168"/>
      <c r="Q309" s="168"/>
      <c r="R309" s="168"/>
      <c r="S309" s="168"/>
      <c r="T309" s="168"/>
      <c r="U309" s="168"/>
      <c r="V309" s="168"/>
      <c r="W309" s="168"/>
      <c r="X309" s="167">
        <v>153445139.69999999</v>
      </c>
      <c r="Y309" s="154"/>
    </row>
    <row r="310" spans="1:25" ht="14.4" x14ac:dyDescent="0.3">
      <c r="A310" s="163" t="s">
        <v>243</v>
      </c>
      <c r="B310" s="164">
        <v>2008</v>
      </c>
      <c r="C310" s="167">
        <v>38572677.43</v>
      </c>
      <c r="D310" s="167">
        <v>79676921.969999999</v>
      </c>
      <c r="E310" s="167">
        <v>111125820</v>
      </c>
      <c r="F310" s="167">
        <v>137351055.74000001</v>
      </c>
      <c r="G310" s="167">
        <v>150122600.22</v>
      </c>
      <c r="H310" s="167">
        <v>151953032.96000001</v>
      </c>
      <c r="I310" s="167">
        <v>154563903.93000001</v>
      </c>
      <c r="J310" s="167">
        <v>156124236.72</v>
      </c>
      <c r="K310" s="168"/>
      <c r="L310" s="168"/>
      <c r="M310" s="168"/>
      <c r="N310" s="168"/>
      <c r="O310" s="168"/>
      <c r="P310" s="168"/>
      <c r="Q310" s="168"/>
      <c r="R310" s="168"/>
      <c r="S310" s="168"/>
      <c r="T310" s="168"/>
      <c r="U310" s="168"/>
      <c r="V310" s="168"/>
      <c r="W310" s="168"/>
      <c r="X310" s="167">
        <v>156124236.72</v>
      </c>
      <c r="Y310" s="154"/>
    </row>
    <row r="311" spans="1:25" ht="14.4" x14ac:dyDescent="0.3">
      <c r="A311" s="163" t="s">
        <v>243</v>
      </c>
      <c r="B311" s="164">
        <v>2009</v>
      </c>
      <c r="C311" s="167">
        <v>28110075.720000003</v>
      </c>
      <c r="D311" s="167">
        <v>73765611.780000001</v>
      </c>
      <c r="E311" s="167">
        <v>109511629.25</v>
      </c>
      <c r="F311" s="167">
        <v>135806370.78</v>
      </c>
      <c r="G311" s="167">
        <v>141219138.68000001</v>
      </c>
      <c r="H311" s="167">
        <v>147647283.97</v>
      </c>
      <c r="I311" s="167">
        <v>148455815.43000001</v>
      </c>
      <c r="J311" s="168"/>
      <c r="K311" s="168"/>
      <c r="L311" s="168"/>
      <c r="M311" s="168"/>
      <c r="N311" s="168"/>
      <c r="O311" s="168"/>
      <c r="P311" s="168"/>
      <c r="Q311" s="168"/>
      <c r="R311" s="168"/>
      <c r="S311" s="168"/>
      <c r="T311" s="168"/>
      <c r="U311" s="168"/>
      <c r="V311" s="168"/>
      <c r="W311" s="168"/>
      <c r="X311" s="167">
        <v>148455815.43000001</v>
      </c>
      <c r="Y311" s="154"/>
    </row>
    <row r="312" spans="1:25" ht="14.4" x14ac:dyDescent="0.3">
      <c r="A312" s="163" t="s">
        <v>243</v>
      </c>
      <c r="B312" s="164">
        <v>2010</v>
      </c>
      <c r="C312" s="167">
        <v>28148171.049999997</v>
      </c>
      <c r="D312" s="167">
        <v>101721828.22</v>
      </c>
      <c r="E312" s="167">
        <v>134244501.72999999</v>
      </c>
      <c r="F312" s="167">
        <v>158185064.96000001</v>
      </c>
      <c r="G312" s="167">
        <v>169683808.24000001</v>
      </c>
      <c r="H312" s="167">
        <v>169185005.49000001</v>
      </c>
      <c r="I312" s="168"/>
      <c r="J312" s="168"/>
      <c r="K312" s="168"/>
      <c r="L312" s="168"/>
      <c r="M312" s="168"/>
      <c r="N312" s="168"/>
      <c r="O312" s="168"/>
      <c r="P312" s="168"/>
      <c r="Q312" s="168"/>
      <c r="R312" s="168"/>
      <c r="S312" s="168"/>
      <c r="T312" s="168"/>
      <c r="U312" s="168"/>
      <c r="V312" s="168"/>
      <c r="W312" s="168"/>
      <c r="X312" s="167">
        <v>169185005.49000001</v>
      </c>
      <c r="Y312" s="154"/>
    </row>
    <row r="313" spans="1:25" ht="14.4" x14ac:dyDescent="0.3">
      <c r="A313" s="163" t="s">
        <v>243</v>
      </c>
      <c r="B313" s="164">
        <v>2011</v>
      </c>
      <c r="C313" s="167">
        <v>43445088.789999999</v>
      </c>
      <c r="D313" s="167">
        <v>101666917.91</v>
      </c>
      <c r="E313" s="167">
        <v>135901210.98000002</v>
      </c>
      <c r="F313" s="167">
        <v>166831839.26999998</v>
      </c>
      <c r="G313" s="167">
        <v>171937950.34</v>
      </c>
      <c r="H313" s="168"/>
      <c r="I313" s="168"/>
      <c r="J313" s="168"/>
      <c r="K313" s="168"/>
      <c r="L313" s="168"/>
      <c r="M313" s="168"/>
      <c r="N313" s="168"/>
      <c r="O313" s="168"/>
      <c r="P313" s="168"/>
      <c r="Q313" s="168"/>
      <c r="R313" s="168"/>
      <c r="S313" s="168"/>
      <c r="T313" s="168"/>
      <c r="U313" s="168"/>
      <c r="V313" s="168"/>
      <c r="W313" s="168"/>
      <c r="X313" s="167">
        <v>171937950.34</v>
      </c>
      <c r="Y313" s="154"/>
    </row>
    <row r="314" spans="1:25" ht="14.4" x14ac:dyDescent="0.3">
      <c r="A314" s="163" t="s">
        <v>243</v>
      </c>
      <c r="B314" s="164">
        <v>2012</v>
      </c>
      <c r="C314" s="167">
        <v>33873427.480000004</v>
      </c>
      <c r="D314" s="167">
        <v>109636247.19</v>
      </c>
      <c r="E314" s="167">
        <v>140740225.53999999</v>
      </c>
      <c r="F314" s="167">
        <v>165605735.79000002</v>
      </c>
      <c r="G314" s="168"/>
      <c r="H314" s="168"/>
      <c r="I314" s="168"/>
      <c r="J314" s="168"/>
      <c r="K314" s="168"/>
      <c r="L314" s="168"/>
      <c r="M314" s="168"/>
      <c r="N314" s="168"/>
      <c r="O314" s="168"/>
      <c r="P314" s="168"/>
      <c r="Q314" s="168"/>
      <c r="R314" s="168"/>
      <c r="S314" s="168"/>
      <c r="T314" s="168"/>
      <c r="U314" s="168"/>
      <c r="V314" s="168"/>
      <c r="W314" s="168"/>
      <c r="X314" s="167">
        <v>165605735.79000002</v>
      </c>
      <c r="Y314" s="154"/>
    </row>
    <row r="315" spans="1:25" ht="14.4" x14ac:dyDescent="0.3">
      <c r="A315" s="163" t="s">
        <v>243</v>
      </c>
      <c r="B315" s="164">
        <v>2013</v>
      </c>
      <c r="C315" s="167">
        <v>28235942.190000001</v>
      </c>
      <c r="D315" s="167">
        <v>92898679.569999993</v>
      </c>
      <c r="E315" s="167">
        <v>128040295.14999999</v>
      </c>
      <c r="F315" s="168"/>
      <c r="G315" s="168"/>
      <c r="H315" s="168"/>
      <c r="I315" s="168"/>
      <c r="J315" s="168"/>
      <c r="K315" s="168"/>
      <c r="L315" s="168"/>
      <c r="M315" s="168"/>
      <c r="N315" s="168"/>
      <c r="O315" s="168"/>
      <c r="P315" s="168"/>
      <c r="Q315" s="168"/>
      <c r="R315" s="168"/>
      <c r="S315" s="168"/>
      <c r="T315" s="168"/>
      <c r="U315" s="168"/>
      <c r="V315" s="168"/>
      <c r="W315" s="168"/>
      <c r="X315" s="167">
        <v>128040295.14999999</v>
      </c>
      <c r="Y315" s="154"/>
    </row>
    <row r="316" spans="1:25" ht="14.4" x14ac:dyDescent="0.3">
      <c r="A316" s="163" t="s">
        <v>243</v>
      </c>
      <c r="B316" s="164">
        <v>2014</v>
      </c>
      <c r="C316" s="167">
        <v>31298339.620000001</v>
      </c>
      <c r="D316" s="167">
        <v>80045627.659999996</v>
      </c>
      <c r="E316" s="168"/>
      <c r="F316" s="168"/>
      <c r="G316" s="168"/>
      <c r="H316" s="168"/>
      <c r="I316" s="168"/>
      <c r="J316" s="168"/>
      <c r="K316" s="168"/>
      <c r="L316" s="168"/>
      <c r="M316" s="168"/>
      <c r="N316" s="168"/>
      <c r="O316" s="168"/>
      <c r="P316" s="168"/>
      <c r="Q316" s="168"/>
      <c r="R316" s="168"/>
      <c r="S316" s="168"/>
      <c r="T316" s="168"/>
      <c r="U316" s="168"/>
      <c r="V316" s="168"/>
      <c r="W316" s="168"/>
      <c r="X316" s="167">
        <v>80045627.659999996</v>
      </c>
      <c r="Y316" s="154"/>
    </row>
    <row r="317" spans="1:25" ht="14.4" x14ac:dyDescent="0.3">
      <c r="A317" s="163" t="s">
        <v>243</v>
      </c>
      <c r="B317" s="164">
        <v>2015</v>
      </c>
      <c r="C317" s="167">
        <v>24615981.040000003</v>
      </c>
      <c r="D317" s="168"/>
      <c r="E317" s="168"/>
      <c r="F317" s="168"/>
      <c r="G317" s="168"/>
      <c r="H317" s="168"/>
      <c r="I317" s="168"/>
      <c r="J317" s="168"/>
      <c r="K317" s="168"/>
      <c r="L317" s="168"/>
      <c r="M317" s="168"/>
      <c r="N317" s="168"/>
      <c r="O317" s="168"/>
      <c r="P317" s="168"/>
      <c r="Q317" s="168"/>
      <c r="R317" s="168"/>
      <c r="S317" s="168"/>
      <c r="T317" s="168"/>
      <c r="U317" s="168"/>
      <c r="V317" s="168"/>
      <c r="W317" s="168"/>
      <c r="X317" s="167">
        <v>24615981.040000003</v>
      </c>
      <c r="Y317" s="154"/>
    </row>
    <row r="318" spans="1:25" ht="14.4" x14ac:dyDescent="0.3">
      <c r="A318" s="163" t="s">
        <v>244</v>
      </c>
      <c r="B318" s="164">
        <v>1995</v>
      </c>
      <c r="C318" s="167">
        <v>39202.800000000003</v>
      </c>
      <c r="D318" s="167">
        <v>1970865.48</v>
      </c>
      <c r="E318" s="167">
        <v>1341589.23</v>
      </c>
      <c r="F318" s="167">
        <v>1787384.42</v>
      </c>
      <c r="G318" s="167">
        <v>2323686.2600000002</v>
      </c>
      <c r="H318" s="167">
        <v>3840171.1599999997</v>
      </c>
      <c r="I318" s="167">
        <v>3858640.6799999997</v>
      </c>
      <c r="J318" s="167">
        <v>3858640.6799999997</v>
      </c>
      <c r="K318" s="167">
        <v>3873265.6799999997</v>
      </c>
      <c r="L318" s="167">
        <v>3873265.6799999997</v>
      </c>
      <c r="M318" s="167">
        <v>3873265.6799999997</v>
      </c>
      <c r="N318" s="167">
        <v>3873265.6799999997</v>
      </c>
      <c r="O318" s="167">
        <v>3873265.6799999997</v>
      </c>
      <c r="P318" s="167">
        <v>3873265.6799999997</v>
      </c>
      <c r="Q318" s="167">
        <v>3873265.6799999997</v>
      </c>
      <c r="R318" s="167">
        <v>3873265.6799999997</v>
      </c>
      <c r="S318" s="167">
        <v>3873265.6799999997</v>
      </c>
      <c r="T318" s="167">
        <v>3873265.6799999997</v>
      </c>
      <c r="U318" s="167">
        <v>3873265.6799999997</v>
      </c>
      <c r="V318" s="167">
        <v>3873265.6799999997</v>
      </c>
      <c r="W318" s="167">
        <v>3873265.6799999997</v>
      </c>
      <c r="X318" s="167">
        <v>3873265.6799999997</v>
      </c>
    </row>
    <row r="319" spans="1:25" ht="14.4" x14ac:dyDescent="0.3">
      <c r="A319" s="163" t="s">
        <v>244</v>
      </c>
      <c r="B319" s="164">
        <v>1996</v>
      </c>
      <c r="C319" s="167">
        <v>2241305.94</v>
      </c>
      <c r="D319" s="167">
        <v>9858643.9800000004</v>
      </c>
      <c r="E319" s="167">
        <v>13286120.189999999</v>
      </c>
      <c r="F319" s="167">
        <v>13800356.120000001</v>
      </c>
      <c r="G319" s="167">
        <v>17512609.449999999</v>
      </c>
      <c r="H319" s="167">
        <v>18105058.879999999</v>
      </c>
      <c r="I319" s="167">
        <v>17601713.719999999</v>
      </c>
      <c r="J319" s="167">
        <v>17047059.399999999</v>
      </c>
      <c r="K319" s="167">
        <v>17051337.68</v>
      </c>
      <c r="L319" s="167">
        <v>17063608.289999999</v>
      </c>
      <c r="M319" s="167">
        <v>16992731.34</v>
      </c>
      <c r="N319" s="167">
        <v>17413372.350000001</v>
      </c>
      <c r="O319" s="167">
        <v>17413372.350000001</v>
      </c>
      <c r="P319" s="167">
        <v>17413372.350000001</v>
      </c>
      <c r="Q319" s="167">
        <v>17413372.350000001</v>
      </c>
      <c r="R319" s="167">
        <v>17413372.350000001</v>
      </c>
      <c r="S319" s="167">
        <v>17416212.73</v>
      </c>
      <c r="T319" s="167">
        <v>17416212.73</v>
      </c>
      <c r="U319" s="167">
        <v>17416212.73</v>
      </c>
      <c r="V319" s="167">
        <v>17416212.73</v>
      </c>
      <c r="W319" s="168"/>
      <c r="X319" s="167">
        <v>17416212.73</v>
      </c>
    </row>
    <row r="320" spans="1:25" ht="14.4" x14ac:dyDescent="0.3">
      <c r="A320" s="163" t="s">
        <v>244</v>
      </c>
      <c r="B320" s="164">
        <v>1997</v>
      </c>
      <c r="C320" s="167">
        <v>14241758.17</v>
      </c>
      <c r="D320" s="167">
        <v>21362591.510000002</v>
      </c>
      <c r="E320" s="167">
        <v>29422315.669999998</v>
      </c>
      <c r="F320" s="167">
        <v>36465404.150000006</v>
      </c>
      <c r="G320" s="167">
        <v>35590300.25</v>
      </c>
      <c r="H320" s="167">
        <v>36416689.620000005</v>
      </c>
      <c r="I320" s="167">
        <v>36428663.890000001</v>
      </c>
      <c r="J320" s="167">
        <v>35584471.219999999</v>
      </c>
      <c r="K320" s="167">
        <v>35426024.909999996</v>
      </c>
      <c r="L320" s="167">
        <v>35522196.729999997</v>
      </c>
      <c r="M320" s="167">
        <v>35548053.849999994</v>
      </c>
      <c r="N320" s="167">
        <v>35796353.759999998</v>
      </c>
      <c r="O320" s="167">
        <v>35883696.450000003</v>
      </c>
      <c r="P320" s="167">
        <v>36320526.009999998</v>
      </c>
      <c r="Q320" s="167">
        <v>36482715.589999996</v>
      </c>
      <c r="R320" s="167">
        <v>36528057.089999996</v>
      </c>
      <c r="S320" s="167">
        <v>36522723.310000002</v>
      </c>
      <c r="T320" s="167">
        <v>36354549.229999997</v>
      </c>
      <c r="U320" s="167">
        <v>36354549.229999997</v>
      </c>
      <c r="V320" s="168"/>
      <c r="W320" s="168"/>
      <c r="X320" s="167">
        <v>36354549.229999997</v>
      </c>
    </row>
    <row r="321" spans="1:24" ht="14.4" x14ac:dyDescent="0.3">
      <c r="A321" s="163" t="s">
        <v>244</v>
      </c>
      <c r="B321" s="164">
        <v>1998</v>
      </c>
      <c r="C321" s="167">
        <v>12976424.119999999</v>
      </c>
      <c r="D321" s="167">
        <v>27456736.780000001</v>
      </c>
      <c r="E321" s="167">
        <v>41048671.590000004</v>
      </c>
      <c r="F321" s="167">
        <v>42098481.240000002</v>
      </c>
      <c r="G321" s="167">
        <v>45575132.519999996</v>
      </c>
      <c r="H321" s="167">
        <v>47033960.129999995</v>
      </c>
      <c r="I321" s="167">
        <v>48809345.939999998</v>
      </c>
      <c r="J321" s="167">
        <v>50572731.799999997</v>
      </c>
      <c r="K321" s="167">
        <v>48712086.82</v>
      </c>
      <c r="L321" s="167">
        <v>48250642.960000001</v>
      </c>
      <c r="M321" s="167">
        <v>48452935.189999998</v>
      </c>
      <c r="N321" s="167">
        <v>48475760.640000001</v>
      </c>
      <c r="O321" s="167">
        <v>48476190.060000002</v>
      </c>
      <c r="P321" s="167">
        <v>48477090.539999999</v>
      </c>
      <c r="Q321" s="167">
        <v>48477090.539999999</v>
      </c>
      <c r="R321" s="167">
        <v>48477527.019999996</v>
      </c>
      <c r="S321" s="167">
        <v>48527527.019999996</v>
      </c>
      <c r="T321" s="167">
        <v>48527527.019999996</v>
      </c>
      <c r="U321" s="168"/>
      <c r="V321" s="168"/>
      <c r="W321" s="168"/>
      <c r="X321" s="167">
        <v>48527527.019999996</v>
      </c>
    </row>
    <row r="322" spans="1:24" ht="14.4" x14ac:dyDescent="0.3">
      <c r="A322" s="163" t="s">
        <v>244</v>
      </c>
      <c r="B322" s="164">
        <v>1999</v>
      </c>
      <c r="C322" s="167">
        <v>9127833.9199999999</v>
      </c>
      <c r="D322" s="167">
        <v>19252602.099999998</v>
      </c>
      <c r="E322" s="167">
        <v>26157395.580000002</v>
      </c>
      <c r="F322" s="167">
        <v>34988885.859999999</v>
      </c>
      <c r="G322" s="167">
        <v>37879805.75</v>
      </c>
      <c r="H322" s="167">
        <v>37841174.899999999</v>
      </c>
      <c r="I322" s="167">
        <v>37706226.129999995</v>
      </c>
      <c r="J322" s="167">
        <v>36916777.32</v>
      </c>
      <c r="K322" s="167">
        <v>36661449.100000001</v>
      </c>
      <c r="L322" s="167">
        <v>36621521.609999999</v>
      </c>
      <c r="M322" s="167">
        <v>36526151.899999999</v>
      </c>
      <c r="N322" s="167">
        <v>36379357.269999996</v>
      </c>
      <c r="O322" s="167">
        <v>36387564.810000002</v>
      </c>
      <c r="P322" s="167">
        <v>36387564.810000002</v>
      </c>
      <c r="Q322" s="167">
        <v>36376568.850000001</v>
      </c>
      <c r="R322" s="167">
        <v>36409211.489999995</v>
      </c>
      <c r="S322" s="167">
        <v>36409211.489999995</v>
      </c>
      <c r="T322" s="168"/>
      <c r="U322" s="168"/>
      <c r="V322" s="168"/>
      <c r="W322" s="168"/>
      <c r="X322" s="167">
        <v>36409211.489999995</v>
      </c>
    </row>
    <row r="323" spans="1:24" ht="14.4" x14ac:dyDescent="0.3">
      <c r="A323" s="163" t="s">
        <v>244</v>
      </c>
      <c r="B323" s="164">
        <v>2000</v>
      </c>
      <c r="C323" s="167">
        <v>4970892.09</v>
      </c>
      <c r="D323" s="167">
        <v>13362794.579999998</v>
      </c>
      <c r="E323" s="167">
        <v>19438606.109999999</v>
      </c>
      <c r="F323" s="167">
        <v>26114653.650000002</v>
      </c>
      <c r="G323" s="167">
        <v>28380850.57</v>
      </c>
      <c r="H323" s="167">
        <v>28785622.959999997</v>
      </c>
      <c r="I323" s="167">
        <v>30242559.189999998</v>
      </c>
      <c r="J323" s="167">
        <v>29545700.849999998</v>
      </c>
      <c r="K323" s="167">
        <v>26902916.049999997</v>
      </c>
      <c r="L323" s="167">
        <v>26888467.199999999</v>
      </c>
      <c r="M323" s="167">
        <v>27053233.399999999</v>
      </c>
      <c r="N323" s="167">
        <v>26922988.660000004</v>
      </c>
      <c r="O323" s="167">
        <v>27684777.920000002</v>
      </c>
      <c r="P323" s="167">
        <v>27685402.920000002</v>
      </c>
      <c r="Q323" s="167">
        <v>27855599.940000001</v>
      </c>
      <c r="R323" s="167">
        <v>27855599.940000001</v>
      </c>
      <c r="S323" s="168"/>
      <c r="T323" s="168"/>
      <c r="U323" s="168"/>
      <c r="V323" s="168"/>
      <c r="W323" s="168"/>
      <c r="X323" s="167">
        <v>27855599.940000001</v>
      </c>
    </row>
    <row r="324" spans="1:24" ht="14.4" x14ac:dyDescent="0.3">
      <c r="A324" s="163" t="s">
        <v>244</v>
      </c>
      <c r="B324" s="164">
        <v>2001</v>
      </c>
      <c r="C324" s="167">
        <v>2459655.98</v>
      </c>
      <c r="D324" s="167">
        <v>6727305.3399999999</v>
      </c>
      <c r="E324" s="167">
        <v>12419539.869999999</v>
      </c>
      <c r="F324" s="167">
        <v>15589539.740000002</v>
      </c>
      <c r="G324" s="167">
        <v>15616091.100000001</v>
      </c>
      <c r="H324" s="167">
        <v>12128165.74</v>
      </c>
      <c r="I324" s="167">
        <v>12440305.350000001</v>
      </c>
      <c r="J324" s="167">
        <v>11503815.27</v>
      </c>
      <c r="K324" s="167">
        <v>11807659.390000001</v>
      </c>
      <c r="L324" s="167">
        <v>11763373.440000001</v>
      </c>
      <c r="M324" s="167">
        <v>11720028.440000001</v>
      </c>
      <c r="N324" s="167">
        <v>11720028.440000001</v>
      </c>
      <c r="O324" s="167">
        <v>11720028.440000001</v>
      </c>
      <c r="P324" s="167">
        <v>11891746.260000002</v>
      </c>
      <c r="Q324" s="167">
        <v>11891746.260000002</v>
      </c>
      <c r="R324" s="168"/>
      <c r="S324" s="168"/>
      <c r="T324" s="168"/>
      <c r="U324" s="168"/>
      <c r="V324" s="168"/>
      <c r="W324" s="168"/>
      <c r="X324" s="167">
        <v>11891746.260000002</v>
      </c>
    </row>
    <row r="325" spans="1:24" ht="14.4" x14ac:dyDescent="0.3">
      <c r="A325" s="163" t="s">
        <v>244</v>
      </c>
      <c r="B325" s="164">
        <v>2002</v>
      </c>
      <c r="C325" s="167">
        <v>1333332.31</v>
      </c>
      <c r="D325" s="167">
        <v>12001198.77</v>
      </c>
      <c r="E325" s="167">
        <v>14926328.960000001</v>
      </c>
      <c r="F325" s="167">
        <v>13309588.120000001</v>
      </c>
      <c r="G325" s="167">
        <v>11636490.49</v>
      </c>
      <c r="H325" s="167">
        <v>11608297.439999999</v>
      </c>
      <c r="I325" s="167">
        <v>10688802</v>
      </c>
      <c r="J325" s="167">
        <v>10690978.930000002</v>
      </c>
      <c r="K325" s="167">
        <v>10603763.75</v>
      </c>
      <c r="L325" s="167">
        <v>10628858.720000001</v>
      </c>
      <c r="M325" s="167">
        <v>10625719.960000001</v>
      </c>
      <c r="N325" s="167">
        <v>10629990.610000001</v>
      </c>
      <c r="O325" s="167">
        <v>10950751.34</v>
      </c>
      <c r="P325" s="167">
        <v>10909227.460000001</v>
      </c>
      <c r="Q325" s="168"/>
      <c r="R325" s="168"/>
      <c r="S325" s="168"/>
      <c r="T325" s="168"/>
      <c r="U325" s="168"/>
      <c r="V325" s="168"/>
      <c r="W325" s="168"/>
      <c r="X325" s="167">
        <v>10909227.460000001</v>
      </c>
    </row>
    <row r="326" spans="1:24" ht="14.4" x14ac:dyDescent="0.3">
      <c r="A326" s="163" t="s">
        <v>244</v>
      </c>
      <c r="B326" s="164">
        <v>2003</v>
      </c>
      <c r="C326" s="167">
        <v>6901768.8300000001</v>
      </c>
      <c r="D326" s="167">
        <v>19056024</v>
      </c>
      <c r="E326" s="167">
        <v>19551882</v>
      </c>
      <c r="F326" s="167">
        <v>20537623.360000003</v>
      </c>
      <c r="G326" s="167">
        <v>19883754.600000001</v>
      </c>
      <c r="H326" s="167">
        <v>17773095.68</v>
      </c>
      <c r="I326" s="167">
        <v>17579178.060000002</v>
      </c>
      <c r="J326" s="167">
        <v>17378984.239999998</v>
      </c>
      <c r="K326" s="167">
        <v>16685774.030000001</v>
      </c>
      <c r="L326" s="167">
        <v>16557243.34</v>
      </c>
      <c r="M326" s="167">
        <v>16557714.84</v>
      </c>
      <c r="N326" s="167">
        <v>17977475.390000001</v>
      </c>
      <c r="O326" s="167">
        <v>17727475.390000001</v>
      </c>
      <c r="P326" s="168"/>
      <c r="Q326" s="168"/>
      <c r="R326" s="168"/>
      <c r="S326" s="168"/>
      <c r="T326" s="168"/>
      <c r="U326" s="168"/>
      <c r="V326" s="168"/>
      <c r="W326" s="168"/>
      <c r="X326" s="167">
        <v>17727475.390000001</v>
      </c>
    </row>
    <row r="327" spans="1:24" ht="14.4" x14ac:dyDescent="0.3">
      <c r="A327" s="163" t="s">
        <v>244</v>
      </c>
      <c r="B327" s="164">
        <v>2004</v>
      </c>
      <c r="C327" s="167">
        <v>7941272.2599999998</v>
      </c>
      <c r="D327" s="167">
        <v>21889961.490000002</v>
      </c>
      <c r="E327" s="167">
        <v>19840978.620000001</v>
      </c>
      <c r="F327" s="167">
        <v>18121355.32</v>
      </c>
      <c r="G327" s="167">
        <v>18310265.199999999</v>
      </c>
      <c r="H327" s="167">
        <v>17499707.789999999</v>
      </c>
      <c r="I327" s="167">
        <v>17012852.739999998</v>
      </c>
      <c r="J327" s="167">
        <v>16610778.219999999</v>
      </c>
      <c r="K327" s="167">
        <v>16772247.5</v>
      </c>
      <c r="L327" s="167">
        <v>16979111.740000002</v>
      </c>
      <c r="M327" s="167">
        <v>20097849.66</v>
      </c>
      <c r="N327" s="167">
        <v>20106479.809999999</v>
      </c>
      <c r="O327" s="168"/>
      <c r="P327" s="168"/>
      <c r="Q327" s="168"/>
      <c r="R327" s="168"/>
      <c r="S327" s="168"/>
      <c r="T327" s="168"/>
      <c r="U327" s="168"/>
      <c r="V327" s="168"/>
      <c r="W327" s="168"/>
      <c r="X327" s="167">
        <v>20106479.809999999</v>
      </c>
    </row>
    <row r="328" spans="1:24" ht="14.4" x14ac:dyDescent="0.3">
      <c r="A328" s="163" t="s">
        <v>244</v>
      </c>
      <c r="B328" s="164">
        <v>2005</v>
      </c>
      <c r="C328" s="167">
        <v>6233763.1399999997</v>
      </c>
      <c r="D328" s="167">
        <v>18267623.109999999</v>
      </c>
      <c r="E328" s="167">
        <v>23032502.789999999</v>
      </c>
      <c r="F328" s="167">
        <v>23229139.640000001</v>
      </c>
      <c r="G328" s="167">
        <v>25878210.719999999</v>
      </c>
      <c r="H328" s="167">
        <v>24157774.539999999</v>
      </c>
      <c r="I328" s="167">
        <v>24115234.420000002</v>
      </c>
      <c r="J328" s="167">
        <v>24608871.449999999</v>
      </c>
      <c r="K328" s="167">
        <v>23968220.760000002</v>
      </c>
      <c r="L328" s="167">
        <v>27131845.890000001</v>
      </c>
      <c r="M328" s="167">
        <v>27114226.43</v>
      </c>
      <c r="N328" s="168"/>
      <c r="O328" s="168"/>
      <c r="P328" s="168"/>
      <c r="Q328" s="168"/>
      <c r="R328" s="168"/>
      <c r="S328" s="168"/>
      <c r="T328" s="168"/>
      <c r="U328" s="168"/>
      <c r="V328" s="168"/>
      <c r="W328" s="168"/>
      <c r="X328" s="167">
        <v>27114226.43</v>
      </c>
    </row>
    <row r="329" spans="1:24" ht="14.4" x14ac:dyDescent="0.3">
      <c r="A329" s="163" t="s">
        <v>244</v>
      </c>
      <c r="B329" s="164">
        <v>2006</v>
      </c>
      <c r="C329" s="167">
        <v>6857012.6699999999</v>
      </c>
      <c r="D329" s="167">
        <v>21485586.789999999</v>
      </c>
      <c r="E329" s="167">
        <v>28093717.719999999</v>
      </c>
      <c r="F329" s="167">
        <v>30457536.34</v>
      </c>
      <c r="G329" s="167">
        <v>28888204.210000001</v>
      </c>
      <c r="H329" s="167">
        <v>28584022.699999999</v>
      </c>
      <c r="I329" s="167">
        <v>27969549.240000002</v>
      </c>
      <c r="J329" s="167">
        <v>27796780.119999997</v>
      </c>
      <c r="K329" s="167">
        <v>33241612.399999999</v>
      </c>
      <c r="L329" s="167">
        <v>33224974.780000001</v>
      </c>
      <c r="M329" s="168"/>
      <c r="N329" s="168"/>
      <c r="O329" s="168"/>
      <c r="P329" s="168"/>
      <c r="Q329" s="168"/>
      <c r="R329" s="168"/>
      <c r="S329" s="168"/>
      <c r="T329" s="168"/>
      <c r="U329" s="168"/>
      <c r="V329" s="168"/>
      <c r="W329" s="168"/>
      <c r="X329" s="167">
        <v>33224974.780000001</v>
      </c>
    </row>
    <row r="330" spans="1:24" ht="14.4" x14ac:dyDescent="0.3">
      <c r="A330" s="163" t="s">
        <v>244</v>
      </c>
      <c r="B330" s="164">
        <v>2007</v>
      </c>
      <c r="C330" s="167">
        <v>12499848.110000001</v>
      </c>
      <c r="D330" s="167">
        <v>35518852.93</v>
      </c>
      <c r="E330" s="167">
        <v>34675762.230000004</v>
      </c>
      <c r="F330" s="167">
        <v>33378757.300000001</v>
      </c>
      <c r="G330" s="167">
        <v>31543463.039999999</v>
      </c>
      <c r="H330" s="167">
        <v>32241213.219999999</v>
      </c>
      <c r="I330" s="167">
        <v>33612438.770000003</v>
      </c>
      <c r="J330" s="167">
        <v>40195041.32</v>
      </c>
      <c r="K330" s="167">
        <v>40113550.600000001</v>
      </c>
      <c r="L330" s="168"/>
      <c r="M330" s="168"/>
      <c r="N330" s="168"/>
      <c r="O330" s="168"/>
      <c r="P330" s="168"/>
      <c r="Q330" s="168"/>
      <c r="R330" s="168"/>
      <c r="S330" s="168"/>
      <c r="T330" s="168"/>
      <c r="U330" s="168"/>
      <c r="V330" s="168"/>
      <c r="W330" s="168"/>
      <c r="X330" s="167">
        <v>40113550.600000001</v>
      </c>
    </row>
    <row r="331" spans="1:24" ht="14.4" x14ac:dyDescent="0.3">
      <c r="A331" s="163" t="s">
        <v>244</v>
      </c>
      <c r="B331" s="164">
        <v>2008</v>
      </c>
      <c r="C331" s="167">
        <v>13333492.290000001</v>
      </c>
      <c r="D331" s="167">
        <v>27917899.039999999</v>
      </c>
      <c r="E331" s="167">
        <v>36133798.899999999</v>
      </c>
      <c r="F331" s="167">
        <v>38448329.859999999</v>
      </c>
      <c r="G331" s="167">
        <v>37585340.619999997</v>
      </c>
      <c r="H331" s="167">
        <v>35621898.93</v>
      </c>
      <c r="I331" s="167">
        <v>46046529.109999999</v>
      </c>
      <c r="J331" s="167">
        <v>45275427.170000002</v>
      </c>
      <c r="K331" s="168"/>
      <c r="L331" s="168"/>
      <c r="M331" s="168"/>
      <c r="N331" s="168"/>
      <c r="O331" s="168"/>
      <c r="P331" s="168"/>
      <c r="Q331" s="168"/>
      <c r="R331" s="168"/>
      <c r="S331" s="168"/>
      <c r="T331" s="168"/>
      <c r="U331" s="168"/>
      <c r="V331" s="168"/>
      <c r="W331" s="168"/>
      <c r="X331" s="167">
        <v>45275427.170000002</v>
      </c>
    </row>
    <row r="332" spans="1:24" ht="14.4" x14ac:dyDescent="0.3">
      <c r="A332" s="163" t="s">
        <v>244</v>
      </c>
      <c r="B332" s="164">
        <v>2009</v>
      </c>
      <c r="C332" s="167">
        <v>14416980.32</v>
      </c>
      <c r="D332" s="167">
        <v>38382126.369999997</v>
      </c>
      <c r="E332" s="167">
        <v>46138946.43</v>
      </c>
      <c r="F332" s="167">
        <v>45235996.630000003</v>
      </c>
      <c r="G332" s="167">
        <v>44347960.120000005</v>
      </c>
      <c r="H332" s="167">
        <v>54388696.460000001</v>
      </c>
      <c r="I332" s="167">
        <v>54651308.109999999</v>
      </c>
      <c r="J332" s="168"/>
      <c r="K332" s="168"/>
      <c r="L332" s="168"/>
      <c r="M332" s="168"/>
      <c r="N332" s="168"/>
      <c r="O332" s="168"/>
      <c r="P332" s="168"/>
      <c r="Q332" s="168"/>
      <c r="R332" s="168"/>
      <c r="S332" s="168"/>
      <c r="T332" s="168"/>
      <c r="U332" s="168"/>
      <c r="V332" s="168"/>
      <c r="W332" s="168"/>
      <c r="X332" s="167">
        <v>54651308.109999999</v>
      </c>
    </row>
    <row r="333" spans="1:24" ht="14.4" x14ac:dyDescent="0.3">
      <c r="A333" s="163" t="s">
        <v>244</v>
      </c>
      <c r="B333" s="164">
        <v>2010</v>
      </c>
      <c r="C333" s="167">
        <v>15650887.959999999</v>
      </c>
      <c r="D333" s="167">
        <v>43007538.18</v>
      </c>
      <c r="E333" s="167">
        <v>46304733.210000001</v>
      </c>
      <c r="F333" s="167">
        <v>54225432.25</v>
      </c>
      <c r="G333" s="167">
        <v>60827744.289999999</v>
      </c>
      <c r="H333" s="167">
        <v>59588509.039999999</v>
      </c>
      <c r="I333" s="168"/>
      <c r="J333" s="168"/>
      <c r="K333" s="168"/>
      <c r="L333" s="168"/>
      <c r="M333" s="168"/>
      <c r="N333" s="168"/>
      <c r="O333" s="168"/>
      <c r="P333" s="168"/>
      <c r="Q333" s="168"/>
      <c r="R333" s="168"/>
      <c r="S333" s="168"/>
      <c r="T333" s="168"/>
      <c r="U333" s="168"/>
      <c r="V333" s="168"/>
      <c r="W333" s="168"/>
      <c r="X333" s="167">
        <v>59588509.039999999</v>
      </c>
    </row>
    <row r="334" spans="1:24" ht="14.4" x14ac:dyDescent="0.3">
      <c r="A334" s="163" t="s">
        <v>244</v>
      </c>
      <c r="B334" s="164">
        <v>2011</v>
      </c>
      <c r="C334" s="167">
        <v>19451124.57</v>
      </c>
      <c r="D334" s="167">
        <v>50812544.32</v>
      </c>
      <c r="E334" s="167">
        <v>58453740.190000005</v>
      </c>
      <c r="F334" s="167">
        <v>74649704.099999994</v>
      </c>
      <c r="G334" s="167">
        <v>73307276.840000004</v>
      </c>
      <c r="H334" s="168"/>
      <c r="I334" s="168"/>
      <c r="J334" s="168"/>
      <c r="K334" s="168"/>
      <c r="L334" s="168"/>
      <c r="M334" s="168"/>
      <c r="N334" s="168"/>
      <c r="O334" s="168"/>
      <c r="P334" s="168"/>
      <c r="Q334" s="168"/>
      <c r="R334" s="168"/>
      <c r="S334" s="168"/>
      <c r="T334" s="168"/>
      <c r="U334" s="168"/>
      <c r="V334" s="168"/>
      <c r="W334" s="168"/>
      <c r="X334" s="167">
        <v>73307276.840000004</v>
      </c>
    </row>
    <row r="335" spans="1:24" ht="14.4" x14ac:dyDescent="0.3">
      <c r="A335" s="163" t="s">
        <v>244</v>
      </c>
      <c r="B335" s="164">
        <v>2012</v>
      </c>
      <c r="C335" s="167">
        <v>18114803.91</v>
      </c>
      <c r="D335" s="167">
        <v>56465044.210000001</v>
      </c>
      <c r="E335" s="167">
        <v>67475267.049999997</v>
      </c>
      <c r="F335" s="167">
        <v>67356171.930000007</v>
      </c>
      <c r="G335" s="168"/>
      <c r="H335" s="168"/>
      <c r="I335" s="168"/>
      <c r="J335" s="168"/>
      <c r="K335" s="168"/>
      <c r="L335" s="168"/>
      <c r="M335" s="168"/>
      <c r="N335" s="168"/>
      <c r="O335" s="168"/>
      <c r="P335" s="168"/>
      <c r="Q335" s="168"/>
      <c r="R335" s="168"/>
      <c r="S335" s="168"/>
      <c r="T335" s="168"/>
      <c r="U335" s="168"/>
      <c r="V335" s="168"/>
      <c r="W335" s="168"/>
      <c r="X335" s="167">
        <v>67356171.930000007</v>
      </c>
    </row>
    <row r="336" spans="1:24" ht="14.4" x14ac:dyDescent="0.3">
      <c r="A336" s="163" t="s">
        <v>244</v>
      </c>
      <c r="B336" s="164">
        <v>2013</v>
      </c>
      <c r="C336" s="167">
        <v>14234549.4</v>
      </c>
      <c r="D336" s="167">
        <v>61036513.170000002</v>
      </c>
      <c r="E336" s="167">
        <v>67561362.239999995</v>
      </c>
      <c r="F336" s="168"/>
      <c r="G336" s="168"/>
      <c r="H336" s="168"/>
      <c r="I336" s="168"/>
      <c r="J336" s="168"/>
      <c r="K336" s="168"/>
      <c r="L336" s="168"/>
      <c r="M336" s="168"/>
      <c r="N336" s="168"/>
      <c r="O336" s="168"/>
      <c r="P336" s="168"/>
      <c r="Q336" s="168"/>
      <c r="R336" s="168"/>
      <c r="S336" s="168"/>
      <c r="T336" s="168"/>
      <c r="U336" s="168"/>
      <c r="V336" s="168"/>
      <c r="W336" s="168"/>
      <c r="X336" s="167">
        <v>67561362.239999995</v>
      </c>
    </row>
    <row r="337" spans="1:24" ht="14.4" x14ac:dyDescent="0.3">
      <c r="A337" s="163" t="s">
        <v>244</v>
      </c>
      <c r="B337" s="164">
        <v>2014</v>
      </c>
      <c r="C337" s="167">
        <v>21825611.600000001</v>
      </c>
      <c r="D337" s="167">
        <v>59236255.32</v>
      </c>
      <c r="E337" s="168"/>
      <c r="F337" s="168"/>
      <c r="G337" s="168"/>
      <c r="H337" s="168"/>
      <c r="I337" s="168"/>
      <c r="J337" s="168"/>
      <c r="K337" s="168"/>
      <c r="L337" s="168"/>
      <c r="M337" s="168"/>
      <c r="N337" s="168"/>
      <c r="O337" s="168"/>
      <c r="P337" s="168"/>
      <c r="Q337" s="168"/>
      <c r="R337" s="168"/>
      <c r="S337" s="168"/>
      <c r="T337" s="168"/>
      <c r="U337" s="168"/>
      <c r="V337" s="168"/>
      <c r="W337" s="168"/>
      <c r="X337" s="167">
        <v>59236255.32</v>
      </c>
    </row>
    <row r="338" spans="1:24" ht="14.4" x14ac:dyDescent="0.3">
      <c r="A338" s="163" t="s">
        <v>244</v>
      </c>
      <c r="B338" s="164">
        <v>2015</v>
      </c>
      <c r="C338" s="167">
        <v>21512453.41</v>
      </c>
      <c r="D338" s="168"/>
      <c r="E338" s="168"/>
      <c r="F338" s="168"/>
      <c r="G338" s="168"/>
      <c r="H338" s="168"/>
      <c r="I338" s="168"/>
      <c r="J338" s="168"/>
      <c r="K338" s="168"/>
      <c r="L338" s="168"/>
      <c r="M338" s="168"/>
      <c r="N338" s="168"/>
      <c r="O338" s="168"/>
      <c r="P338" s="168"/>
      <c r="Q338" s="168"/>
      <c r="R338" s="168"/>
      <c r="S338" s="168"/>
      <c r="T338" s="168"/>
      <c r="U338" s="168"/>
      <c r="V338" s="168"/>
      <c r="W338" s="168"/>
      <c r="X338" s="167">
        <v>21512453.41</v>
      </c>
    </row>
    <row r="339" spans="1:24" ht="14.4" x14ac:dyDescent="0.3">
      <c r="A339" s="163" t="s">
        <v>245</v>
      </c>
      <c r="B339" s="164">
        <v>1995</v>
      </c>
      <c r="C339" s="167">
        <v>982919.41</v>
      </c>
      <c r="D339" s="167">
        <v>1773002.07</v>
      </c>
      <c r="E339" s="167">
        <v>2224074.5799999996</v>
      </c>
      <c r="F339" s="167">
        <v>7604268.1400000006</v>
      </c>
      <c r="G339" s="167">
        <v>8836970.3199999984</v>
      </c>
      <c r="H339" s="167">
        <v>6350627.5099999998</v>
      </c>
      <c r="I339" s="167">
        <v>5792483.1799999997</v>
      </c>
      <c r="J339" s="167">
        <v>6378971.8499999996</v>
      </c>
      <c r="K339" s="167">
        <v>6619618.9499999993</v>
      </c>
      <c r="L339" s="167">
        <v>6586235.7699999996</v>
      </c>
      <c r="M339" s="167">
        <v>6586234.7699999996</v>
      </c>
      <c r="N339" s="167">
        <v>6576234.7699999996</v>
      </c>
      <c r="O339" s="167">
        <v>6576233.7699999996</v>
      </c>
      <c r="P339" s="167">
        <v>6576233.7699999996</v>
      </c>
      <c r="Q339" s="167">
        <v>6576233.7699999996</v>
      </c>
      <c r="R339" s="167">
        <v>6582639.7699999996</v>
      </c>
      <c r="S339" s="167">
        <v>6582713.7699999996</v>
      </c>
      <c r="T339" s="167">
        <v>6582712.7699999996</v>
      </c>
      <c r="U339" s="167">
        <v>6582712.7699999996</v>
      </c>
      <c r="V339" s="167">
        <v>6582712.7699999996</v>
      </c>
      <c r="W339" s="167">
        <v>6582712.7699999996</v>
      </c>
      <c r="X339" s="167">
        <v>6582712.7699999996</v>
      </c>
    </row>
    <row r="340" spans="1:24" ht="14.4" x14ac:dyDescent="0.3">
      <c r="A340" s="163" t="s">
        <v>245</v>
      </c>
      <c r="B340" s="164">
        <v>1996</v>
      </c>
      <c r="C340" s="167">
        <v>1516266.19</v>
      </c>
      <c r="D340" s="167">
        <v>8375304.7599999998</v>
      </c>
      <c r="E340" s="167">
        <v>25541432.170000002</v>
      </c>
      <c r="F340" s="167">
        <v>30911427.600000001</v>
      </c>
      <c r="G340" s="167">
        <v>25628544.640000001</v>
      </c>
      <c r="H340" s="167">
        <v>24094671.650000002</v>
      </c>
      <c r="I340" s="167">
        <v>25375153.639999997</v>
      </c>
      <c r="J340" s="167">
        <v>28897246.120000005</v>
      </c>
      <c r="K340" s="167">
        <v>30574650.550000004</v>
      </c>
      <c r="L340" s="167">
        <v>30558416.68</v>
      </c>
      <c r="M340" s="167">
        <v>33571499.060000002</v>
      </c>
      <c r="N340" s="167">
        <v>33610833.859999999</v>
      </c>
      <c r="O340" s="167">
        <v>33611280.230000004</v>
      </c>
      <c r="P340" s="167">
        <v>33541363.750000004</v>
      </c>
      <c r="Q340" s="167">
        <v>33544864.750000004</v>
      </c>
      <c r="R340" s="167">
        <v>33546564.750000004</v>
      </c>
      <c r="S340" s="167">
        <v>33546563.750000004</v>
      </c>
      <c r="T340" s="167">
        <v>33546561.750000004</v>
      </c>
      <c r="U340" s="167">
        <v>33546562.750000004</v>
      </c>
      <c r="V340" s="167">
        <v>33546562.750000004</v>
      </c>
      <c r="W340" s="168"/>
      <c r="X340" s="167">
        <v>33546562.750000004</v>
      </c>
    </row>
    <row r="341" spans="1:24" ht="14.4" x14ac:dyDescent="0.3">
      <c r="A341" s="163" t="s">
        <v>245</v>
      </c>
      <c r="B341" s="164">
        <v>1997</v>
      </c>
      <c r="C341" s="167">
        <v>1842162.51</v>
      </c>
      <c r="D341" s="167">
        <v>34482771.149999999</v>
      </c>
      <c r="E341" s="167">
        <v>40693451.479999997</v>
      </c>
      <c r="F341" s="167">
        <v>43296184.359999999</v>
      </c>
      <c r="G341" s="167">
        <v>52943695.870000005</v>
      </c>
      <c r="H341" s="167">
        <v>60117504.200000003</v>
      </c>
      <c r="I341" s="167">
        <v>61890175.439999998</v>
      </c>
      <c r="J341" s="167">
        <v>65437858.789999999</v>
      </c>
      <c r="K341" s="167">
        <v>61843204.420000002</v>
      </c>
      <c r="L341" s="167">
        <v>62062197.520000003</v>
      </c>
      <c r="M341" s="167">
        <v>63016040.720000006</v>
      </c>
      <c r="N341" s="167">
        <v>63362543.020000003</v>
      </c>
      <c r="O341" s="167">
        <v>63541087.070000008</v>
      </c>
      <c r="P341" s="167">
        <v>63577177.100000001</v>
      </c>
      <c r="Q341" s="167">
        <v>63381003.619999997</v>
      </c>
      <c r="R341" s="167">
        <v>63268503.619999997</v>
      </c>
      <c r="S341" s="167">
        <v>63327598.630000003</v>
      </c>
      <c r="T341" s="167">
        <v>63327598.630000003</v>
      </c>
      <c r="U341" s="167">
        <v>63327598.630000003</v>
      </c>
      <c r="V341" s="168"/>
      <c r="W341" s="168"/>
      <c r="X341" s="167">
        <v>63327598.630000003</v>
      </c>
    </row>
    <row r="342" spans="1:24" ht="14.4" x14ac:dyDescent="0.3">
      <c r="A342" s="163" t="s">
        <v>245</v>
      </c>
      <c r="B342" s="164">
        <v>1998</v>
      </c>
      <c r="C342" s="167">
        <v>2141132.88</v>
      </c>
      <c r="D342" s="167">
        <v>6681890.1100000003</v>
      </c>
      <c r="E342" s="167">
        <v>6272964.5200000005</v>
      </c>
      <c r="F342" s="167">
        <v>16285298.059999999</v>
      </c>
      <c r="G342" s="167">
        <v>26438377.73</v>
      </c>
      <c r="H342" s="167">
        <v>29184862.670000002</v>
      </c>
      <c r="I342" s="167">
        <v>31399789.899999999</v>
      </c>
      <c r="J342" s="167">
        <v>29668850.120000001</v>
      </c>
      <c r="K342" s="167">
        <v>26269213.449999996</v>
      </c>
      <c r="L342" s="167">
        <v>30057510.349999998</v>
      </c>
      <c r="M342" s="167">
        <v>33681976.550000004</v>
      </c>
      <c r="N342" s="167">
        <v>43633599.560000002</v>
      </c>
      <c r="O342" s="167">
        <v>42412569.009999998</v>
      </c>
      <c r="P342" s="167">
        <v>50455666.460000008</v>
      </c>
      <c r="Q342" s="167">
        <v>42470557.63000001</v>
      </c>
      <c r="R342" s="167">
        <v>42494054.45000001</v>
      </c>
      <c r="S342" s="167">
        <v>42494056.45000001</v>
      </c>
      <c r="T342" s="167">
        <v>42494056.45000001</v>
      </c>
      <c r="U342" s="168"/>
      <c r="V342" s="168"/>
      <c r="W342" s="168"/>
      <c r="X342" s="167">
        <v>42494056.45000001</v>
      </c>
    </row>
    <row r="343" spans="1:24" ht="14.4" x14ac:dyDescent="0.3">
      <c r="A343" s="163" t="s">
        <v>245</v>
      </c>
      <c r="B343" s="164">
        <v>1999</v>
      </c>
      <c r="C343" s="167">
        <v>3107120.31</v>
      </c>
      <c r="D343" s="167">
        <v>7953326.5</v>
      </c>
      <c r="E343" s="167">
        <v>23900606.080000002</v>
      </c>
      <c r="F343" s="167">
        <v>37120677.409999996</v>
      </c>
      <c r="G343" s="167">
        <v>59378711.039999999</v>
      </c>
      <c r="H343" s="167">
        <v>61190778.559999995</v>
      </c>
      <c r="I343" s="167">
        <v>63149602.970000006</v>
      </c>
      <c r="J343" s="167">
        <v>64643731.790000007</v>
      </c>
      <c r="K343" s="167">
        <v>69230227.040000007</v>
      </c>
      <c r="L343" s="167">
        <v>69706220.13000001</v>
      </c>
      <c r="M343" s="167">
        <v>70961385.260000005</v>
      </c>
      <c r="N343" s="167">
        <v>71068179.969999999</v>
      </c>
      <c r="O343" s="167">
        <v>71263473.239999995</v>
      </c>
      <c r="P343" s="167">
        <v>76550336.060000002</v>
      </c>
      <c r="Q343" s="167">
        <v>76550323.960000008</v>
      </c>
      <c r="R343" s="167">
        <v>76506868.960000008</v>
      </c>
      <c r="S343" s="167">
        <v>76506868.960000008</v>
      </c>
      <c r="T343" s="168"/>
      <c r="U343" s="168"/>
      <c r="V343" s="168"/>
      <c r="W343" s="168"/>
      <c r="X343" s="167">
        <v>76506868.960000008</v>
      </c>
    </row>
    <row r="344" spans="1:24" ht="14.4" x14ac:dyDescent="0.3">
      <c r="A344" s="163" t="s">
        <v>245</v>
      </c>
      <c r="B344" s="164">
        <v>2000</v>
      </c>
      <c r="C344" s="167">
        <v>855249.6</v>
      </c>
      <c r="D344" s="167">
        <v>1490231.45</v>
      </c>
      <c r="E344" s="167">
        <v>5978096.5399999991</v>
      </c>
      <c r="F344" s="167">
        <v>17102547.620000001</v>
      </c>
      <c r="G344" s="167">
        <v>21809903.050000004</v>
      </c>
      <c r="H344" s="167">
        <v>25821237.220000003</v>
      </c>
      <c r="I344" s="167">
        <v>25314637.320000004</v>
      </c>
      <c r="J344" s="167">
        <v>26803950.140000008</v>
      </c>
      <c r="K344" s="167">
        <v>26746431.440000005</v>
      </c>
      <c r="L344" s="167">
        <v>26822578.650000006</v>
      </c>
      <c r="M344" s="167">
        <v>26653722.640000004</v>
      </c>
      <c r="N344" s="167">
        <v>27632849.700000003</v>
      </c>
      <c r="O344" s="167">
        <v>27632846.700000003</v>
      </c>
      <c r="P344" s="167">
        <v>27632841.700000003</v>
      </c>
      <c r="Q344" s="167">
        <v>27632841.700000003</v>
      </c>
      <c r="R344" s="167">
        <v>27632841.700000003</v>
      </c>
      <c r="S344" s="168"/>
      <c r="T344" s="168"/>
      <c r="U344" s="168"/>
      <c r="V344" s="168"/>
      <c r="W344" s="168"/>
      <c r="X344" s="167">
        <v>27632841.700000003</v>
      </c>
    </row>
    <row r="345" spans="1:24" ht="14.4" x14ac:dyDescent="0.3">
      <c r="A345" s="163" t="s">
        <v>245</v>
      </c>
      <c r="B345" s="164">
        <v>2001</v>
      </c>
      <c r="C345" s="167">
        <v>137989.71000000002</v>
      </c>
      <c r="D345" s="167">
        <v>3774808.04</v>
      </c>
      <c r="E345" s="167">
        <v>7809061.9400000013</v>
      </c>
      <c r="F345" s="167">
        <v>29585792.239999995</v>
      </c>
      <c r="G345" s="167">
        <v>43584716.159999996</v>
      </c>
      <c r="H345" s="167">
        <v>39916595.869999997</v>
      </c>
      <c r="I345" s="167">
        <v>36380835.079999998</v>
      </c>
      <c r="J345" s="167">
        <v>35373453.309999995</v>
      </c>
      <c r="K345" s="167">
        <v>35268399.599999994</v>
      </c>
      <c r="L345" s="167">
        <v>35566604.210000008</v>
      </c>
      <c r="M345" s="167">
        <v>35568155.910000004</v>
      </c>
      <c r="N345" s="167">
        <v>35645301.540000007</v>
      </c>
      <c r="O345" s="167">
        <v>35661738.030000001</v>
      </c>
      <c r="P345" s="167">
        <v>35661738.030000001</v>
      </c>
      <c r="Q345" s="167">
        <v>35661737.030000001</v>
      </c>
      <c r="R345" s="168"/>
      <c r="S345" s="168"/>
      <c r="T345" s="168"/>
      <c r="U345" s="168"/>
      <c r="V345" s="168"/>
      <c r="W345" s="168"/>
      <c r="X345" s="167">
        <v>35661737.030000001</v>
      </c>
    </row>
    <row r="346" spans="1:24" ht="14.4" x14ac:dyDescent="0.3">
      <c r="A346" s="163" t="s">
        <v>245</v>
      </c>
      <c r="B346" s="164">
        <v>2002</v>
      </c>
      <c r="C346" s="167">
        <v>850317.17999999993</v>
      </c>
      <c r="D346" s="167">
        <v>3571482.6000000006</v>
      </c>
      <c r="E346" s="167">
        <v>20280769.940000001</v>
      </c>
      <c r="F346" s="167">
        <v>16820958.25</v>
      </c>
      <c r="G346" s="167">
        <v>19266906.32</v>
      </c>
      <c r="H346" s="167">
        <v>20916159.849999998</v>
      </c>
      <c r="I346" s="167">
        <v>19245407.099999998</v>
      </c>
      <c r="J346" s="167">
        <v>19288836.659999996</v>
      </c>
      <c r="K346" s="167">
        <v>18954198.959999997</v>
      </c>
      <c r="L346" s="167">
        <v>18959923.939999998</v>
      </c>
      <c r="M346" s="167">
        <v>18960801.939999998</v>
      </c>
      <c r="N346" s="167">
        <v>18969474.049999997</v>
      </c>
      <c r="O346" s="167">
        <v>18969474.049999997</v>
      </c>
      <c r="P346" s="167">
        <v>18969474.049999997</v>
      </c>
      <c r="Q346" s="168"/>
      <c r="R346" s="168"/>
      <c r="S346" s="168"/>
      <c r="T346" s="168"/>
      <c r="U346" s="168"/>
      <c r="V346" s="168"/>
      <c r="W346" s="168"/>
      <c r="X346" s="167">
        <v>18969474.049999997</v>
      </c>
    </row>
    <row r="347" spans="1:24" ht="14.4" x14ac:dyDescent="0.3">
      <c r="A347" s="163" t="s">
        <v>245</v>
      </c>
      <c r="B347" s="164">
        <v>2003</v>
      </c>
      <c r="C347" s="167">
        <v>181415.25</v>
      </c>
      <c r="D347" s="167">
        <v>5614701.7800000003</v>
      </c>
      <c r="E347" s="167">
        <v>9750522.8100000005</v>
      </c>
      <c r="F347" s="167">
        <v>11896952.43</v>
      </c>
      <c r="G347" s="167">
        <v>11288746.039999999</v>
      </c>
      <c r="H347" s="167">
        <v>11295481.4</v>
      </c>
      <c r="I347" s="167">
        <v>10096291.960000001</v>
      </c>
      <c r="J347" s="167">
        <v>16226853.329999998</v>
      </c>
      <c r="K347" s="167">
        <v>16781912.810000002</v>
      </c>
      <c r="L347" s="167">
        <v>20190076.449999999</v>
      </c>
      <c r="M347" s="167">
        <v>20190055.449999999</v>
      </c>
      <c r="N347" s="167">
        <v>20197798.75</v>
      </c>
      <c r="O347" s="167">
        <v>20197798.75</v>
      </c>
      <c r="P347" s="168"/>
      <c r="Q347" s="168"/>
      <c r="R347" s="168"/>
      <c r="S347" s="168"/>
      <c r="T347" s="168"/>
      <c r="U347" s="168"/>
      <c r="V347" s="168"/>
      <c r="W347" s="168"/>
      <c r="X347" s="167">
        <v>20197798.75</v>
      </c>
    </row>
    <row r="348" spans="1:24" ht="14.4" x14ac:dyDescent="0.3">
      <c r="A348" s="163" t="s">
        <v>245</v>
      </c>
      <c r="B348" s="164">
        <v>2004</v>
      </c>
      <c r="C348" s="167">
        <v>198366.89</v>
      </c>
      <c r="D348" s="167">
        <v>11288514.17</v>
      </c>
      <c r="E348" s="167">
        <v>11455935.52</v>
      </c>
      <c r="F348" s="167">
        <v>13809448.090000004</v>
      </c>
      <c r="G348" s="167">
        <v>15306818.489999998</v>
      </c>
      <c r="H348" s="167">
        <v>15329817.529999999</v>
      </c>
      <c r="I348" s="167">
        <v>15338322.949999999</v>
      </c>
      <c r="J348" s="167">
        <v>15339827.229999999</v>
      </c>
      <c r="K348" s="167">
        <v>15339821.229999999</v>
      </c>
      <c r="L348" s="167">
        <v>20589789.899999999</v>
      </c>
      <c r="M348" s="167">
        <v>20589787.899999999</v>
      </c>
      <c r="N348" s="167">
        <v>20589787.899999999</v>
      </c>
      <c r="O348" s="168"/>
      <c r="P348" s="168"/>
      <c r="Q348" s="168"/>
      <c r="R348" s="168"/>
      <c r="S348" s="168"/>
      <c r="T348" s="168"/>
      <c r="U348" s="168"/>
      <c r="V348" s="168"/>
      <c r="W348" s="168"/>
      <c r="X348" s="167">
        <v>20589787.899999999</v>
      </c>
    </row>
    <row r="349" spans="1:24" ht="14.4" x14ac:dyDescent="0.3">
      <c r="A349" s="163" t="s">
        <v>245</v>
      </c>
      <c r="B349" s="164">
        <v>2005</v>
      </c>
      <c r="C349" s="167">
        <v>425267.44</v>
      </c>
      <c r="D349" s="167">
        <v>4161575.46</v>
      </c>
      <c r="E349" s="167">
        <v>11609176.43</v>
      </c>
      <c r="F349" s="167">
        <v>19225372.27</v>
      </c>
      <c r="G349" s="167">
        <v>21338732.02</v>
      </c>
      <c r="H349" s="167">
        <v>21656752.140000001</v>
      </c>
      <c r="I349" s="167">
        <v>20927486.27</v>
      </c>
      <c r="J349" s="167">
        <v>20928079.27</v>
      </c>
      <c r="K349" s="167">
        <v>20928585.77</v>
      </c>
      <c r="L349" s="167">
        <v>20928585.77</v>
      </c>
      <c r="M349" s="167">
        <v>20928584.77</v>
      </c>
      <c r="N349" s="168"/>
      <c r="O349" s="168"/>
      <c r="P349" s="168"/>
      <c r="Q349" s="168"/>
      <c r="R349" s="168"/>
      <c r="S349" s="168"/>
      <c r="T349" s="168"/>
      <c r="U349" s="168"/>
      <c r="V349" s="168"/>
      <c r="W349" s="168"/>
      <c r="X349" s="167">
        <v>20928584.77</v>
      </c>
    </row>
    <row r="350" spans="1:24" ht="14.4" x14ac:dyDescent="0.3">
      <c r="A350" s="163" t="s">
        <v>245</v>
      </c>
      <c r="B350" s="164">
        <v>2006</v>
      </c>
      <c r="C350" s="167">
        <v>814882.5</v>
      </c>
      <c r="D350" s="167">
        <v>2717097.97</v>
      </c>
      <c r="E350" s="167">
        <v>11178207.889999999</v>
      </c>
      <c r="F350" s="167">
        <v>11460701.399999999</v>
      </c>
      <c r="G350" s="167">
        <v>9065178.7699999996</v>
      </c>
      <c r="H350" s="167">
        <v>8952951.3000000007</v>
      </c>
      <c r="I350" s="167">
        <v>8880311.8699999992</v>
      </c>
      <c r="J350" s="167">
        <v>15682031.24</v>
      </c>
      <c r="K350" s="167">
        <v>15749113.75</v>
      </c>
      <c r="L350" s="167">
        <v>15689311.689999999</v>
      </c>
      <c r="M350" s="168"/>
      <c r="N350" s="168"/>
      <c r="O350" s="168"/>
      <c r="P350" s="168"/>
      <c r="Q350" s="168"/>
      <c r="R350" s="168"/>
      <c r="S350" s="168"/>
      <c r="T350" s="168"/>
      <c r="U350" s="168"/>
      <c r="V350" s="168"/>
      <c r="W350" s="168"/>
      <c r="X350" s="167">
        <v>15689311.689999999</v>
      </c>
    </row>
    <row r="351" spans="1:24" ht="14.4" x14ac:dyDescent="0.3">
      <c r="A351" s="163" t="s">
        <v>245</v>
      </c>
      <c r="B351" s="164">
        <v>2007</v>
      </c>
      <c r="C351" s="167">
        <v>122714.84</v>
      </c>
      <c r="D351" s="167">
        <v>6630727.8200000003</v>
      </c>
      <c r="E351" s="167">
        <v>12484012.73</v>
      </c>
      <c r="F351" s="167">
        <v>9614350.9900000002</v>
      </c>
      <c r="G351" s="167">
        <v>21492469.449999999</v>
      </c>
      <c r="H351" s="167">
        <v>22413059.719999999</v>
      </c>
      <c r="I351" s="167">
        <v>17764061.16</v>
      </c>
      <c r="J351" s="167">
        <v>20452729.049999997</v>
      </c>
      <c r="K351" s="167">
        <v>20601882.75</v>
      </c>
      <c r="L351" s="168"/>
      <c r="M351" s="168"/>
      <c r="N351" s="168"/>
      <c r="O351" s="168"/>
      <c r="P351" s="168"/>
      <c r="Q351" s="168"/>
      <c r="R351" s="168"/>
      <c r="S351" s="168"/>
      <c r="T351" s="168"/>
      <c r="U351" s="168"/>
      <c r="V351" s="168"/>
      <c r="W351" s="168"/>
      <c r="X351" s="167">
        <v>20601882.75</v>
      </c>
    </row>
    <row r="352" spans="1:24" ht="14.4" x14ac:dyDescent="0.3">
      <c r="A352" s="163" t="s">
        <v>245</v>
      </c>
      <c r="B352" s="164">
        <v>2008</v>
      </c>
      <c r="C352" s="167">
        <v>6656559.2199999997</v>
      </c>
      <c r="D352" s="167">
        <v>9274778.9499999993</v>
      </c>
      <c r="E352" s="167">
        <v>21686999.579999998</v>
      </c>
      <c r="F352" s="167">
        <v>22798160.049999997</v>
      </c>
      <c r="G352" s="167">
        <v>30837341.859999999</v>
      </c>
      <c r="H352" s="167">
        <v>31125462.899999999</v>
      </c>
      <c r="I352" s="167">
        <v>29182274.190000001</v>
      </c>
      <c r="J352" s="167">
        <v>29443966.809999999</v>
      </c>
      <c r="K352" s="168"/>
      <c r="L352" s="168"/>
      <c r="M352" s="168"/>
      <c r="N352" s="168"/>
      <c r="O352" s="168"/>
      <c r="P352" s="168"/>
      <c r="Q352" s="168"/>
      <c r="R352" s="168"/>
      <c r="S352" s="168"/>
      <c r="T352" s="168"/>
      <c r="U352" s="168"/>
      <c r="V352" s="168"/>
      <c r="W352" s="168"/>
      <c r="X352" s="167">
        <v>29443966.809999999</v>
      </c>
    </row>
    <row r="353" spans="1:24" ht="14.4" x14ac:dyDescent="0.3">
      <c r="A353" s="163" t="s">
        <v>245</v>
      </c>
      <c r="B353" s="164">
        <v>2009</v>
      </c>
      <c r="C353" s="167">
        <v>14866.46</v>
      </c>
      <c r="D353" s="167">
        <v>13573239.790000001</v>
      </c>
      <c r="E353" s="167">
        <v>17720416.719999999</v>
      </c>
      <c r="F353" s="167">
        <v>16879531.440000001</v>
      </c>
      <c r="G353" s="167">
        <v>13244341.41</v>
      </c>
      <c r="H353" s="167">
        <v>17736098.800000001</v>
      </c>
      <c r="I353" s="167">
        <v>18393289.200000003</v>
      </c>
      <c r="J353" s="168"/>
      <c r="K353" s="168"/>
      <c r="L353" s="168"/>
      <c r="M353" s="168"/>
      <c r="N353" s="168"/>
      <c r="O353" s="168"/>
      <c r="P353" s="168"/>
      <c r="Q353" s="168"/>
      <c r="R353" s="168"/>
      <c r="S353" s="168"/>
      <c r="T353" s="168"/>
      <c r="U353" s="168"/>
      <c r="V353" s="168"/>
      <c r="W353" s="168"/>
      <c r="X353" s="167">
        <v>18393289.200000003</v>
      </c>
    </row>
    <row r="354" spans="1:24" ht="14.4" x14ac:dyDescent="0.3">
      <c r="A354" s="163" t="s">
        <v>245</v>
      </c>
      <c r="B354" s="164">
        <v>2010</v>
      </c>
      <c r="C354" s="167">
        <v>721809</v>
      </c>
      <c r="D354" s="167">
        <v>9646640.0099999998</v>
      </c>
      <c r="E354" s="167">
        <v>14855090.09</v>
      </c>
      <c r="F354" s="167">
        <v>30829439.309999999</v>
      </c>
      <c r="G354" s="167">
        <v>31497168.129999999</v>
      </c>
      <c r="H354" s="167">
        <v>29855058.489999998</v>
      </c>
      <c r="I354" s="168"/>
      <c r="J354" s="168"/>
      <c r="K354" s="168"/>
      <c r="L354" s="168"/>
      <c r="M354" s="168"/>
      <c r="N354" s="168"/>
      <c r="O354" s="168"/>
      <c r="P354" s="168"/>
      <c r="Q354" s="168"/>
      <c r="R354" s="168"/>
      <c r="S354" s="168"/>
      <c r="T354" s="168"/>
      <c r="U354" s="168"/>
      <c r="V354" s="168"/>
      <c r="W354" s="168"/>
      <c r="X354" s="167">
        <v>29855058.489999998</v>
      </c>
    </row>
    <row r="355" spans="1:24" ht="14.4" x14ac:dyDescent="0.3">
      <c r="A355" s="163" t="s">
        <v>245</v>
      </c>
      <c r="B355" s="164">
        <v>2011</v>
      </c>
      <c r="C355" s="167">
        <v>390156</v>
      </c>
      <c r="D355" s="167">
        <v>17203964.550000001</v>
      </c>
      <c r="E355" s="167">
        <v>29247561.830000002</v>
      </c>
      <c r="F355" s="167">
        <v>49611918.059999995</v>
      </c>
      <c r="G355" s="167">
        <v>51074042.190000005</v>
      </c>
      <c r="H355" s="168"/>
      <c r="I355" s="168"/>
      <c r="J355" s="168"/>
      <c r="K355" s="168"/>
      <c r="L355" s="168"/>
      <c r="M355" s="168"/>
      <c r="N355" s="168"/>
      <c r="O355" s="168"/>
      <c r="P355" s="168"/>
      <c r="Q355" s="168"/>
      <c r="R355" s="168"/>
      <c r="S355" s="168"/>
      <c r="T355" s="168"/>
      <c r="U355" s="168"/>
      <c r="V355" s="168"/>
      <c r="W355" s="168"/>
      <c r="X355" s="167">
        <v>51074042.190000005</v>
      </c>
    </row>
    <row r="356" spans="1:24" ht="14.4" x14ac:dyDescent="0.3">
      <c r="A356" s="163" t="s">
        <v>245</v>
      </c>
      <c r="B356" s="164">
        <v>2012</v>
      </c>
      <c r="C356" s="167">
        <v>7005103</v>
      </c>
      <c r="D356" s="167">
        <v>20849470.899999999</v>
      </c>
      <c r="E356" s="167">
        <v>79183471.800000012</v>
      </c>
      <c r="F356" s="167">
        <v>106213237.58</v>
      </c>
      <c r="G356" s="168"/>
      <c r="H356" s="168"/>
      <c r="I356" s="168"/>
      <c r="J356" s="168"/>
      <c r="K356" s="168"/>
      <c r="L356" s="168"/>
      <c r="M356" s="168"/>
      <c r="N356" s="168"/>
      <c r="O356" s="168"/>
      <c r="P356" s="168"/>
      <c r="Q356" s="168"/>
      <c r="R356" s="168"/>
      <c r="S356" s="168"/>
      <c r="T356" s="168"/>
      <c r="U356" s="168"/>
      <c r="V356" s="168"/>
      <c r="W356" s="168"/>
      <c r="X356" s="167">
        <v>106213237.58</v>
      </c>
    </row>
    <row r="357" spans="1:24" ht="14.4" x14ac:dyDescent="0.3">
      <c r="A357" s="163" t="s">
        <v>245</v>
      </c>
      <c r="B357" s="164">
        <v>2013</v>
      </c>
      <c r="C357" s="167">
        <v>496712.41000000003</v>
      </c>
      <c r="D357" s="167">
        <v>35625055.210000001</v>
      </c>
      <c r="E357" s="167">
        <v>67280334.120000005</v>
      </c>
      <c r="F357" s="168"/>
      <c r="G357" s="168"/>
      <c r="H357" s="168"/>
      <c r="I357" s="168"/>
      <c r="J357" s="168"/>
      <c r="K357" s="168"/>
      <c r="L357" s="168"/>
      <c r="M357" s="168"/>
      <c r="N357" s="168"/>
      <c r="O357" s="168"/>
      <c r="P357" s="168"/>
      <c r="Q357" s="168"/>
      <c r="R357" s="168"/>
      <c r="S357" s="168"/>
      <c r="T357" s="168"/>
      <c r="U357" s="168"/>
      <c r="V357" s="168"/>
      <c r="W357" s="168"/>
      <c r="X357" s="167">
        <v>67280334.120000005</v>
      </c>
    </row>
    <row r="358" spans="1:24" ht="14.4" x14ac:dyDescent="0.3">
      <c r="A358" s="163" t="s">
        <v>245</v>
      </c>
      <c r="B358" s="164">
        <v>2014</v>
      </c>
      <c r="C358" s="167">
        <v>1120034</v>
      </c>
      <c r="D358" s="167">
        <v>20807189.900000002</v>
      </c>
      <c r="E358" s="168"/>
      <c r="F358" s="168"/>
      <c r="G358" s="168"/>
      <c r="H358" s="168"/>
      <c r="I358" s="168"/>
      <c r="J358" s="168"/>
      <c r="K358" s="168"/>
      <c r="L358" s="168"/>
      <c r="M358" s="168"/>
      <c r="N358" s="168"/>
      <c r="O358" s="168"/>
      <c r="P358" s="168"/>
      <c r="Q358" s="168"/>
      <c r="R358" s="168"/>
      <c r="S358" s="168"/>
      <c r="T358" s="168"/>
      <c r="U358" s="168"/>
      <c r="V358" s="168"/>
      <c r="W358" s="168"/>
      <c r="X358" s="167">
        <v>20807189.900000002</v>
      </c>
    </row>
    <row r="359" spans="1:24" ht="14.4" x14ac:dyDescent="0.3">
      <c r="A359" s="163" t="s">
        <v>245</v>
      </c>
      <c r="B359" s="164">
        <v>2015</v>
      </c>
      <c r="C359" s="167">
        <v>877364</v>
      </c>
      <c r="D359" s="168"/>
      <c r="E359" s="168"/>
      <c r="F359" s="168"/>
      <c r="G359" s="168"/>
      <c r="H359" s="168"/>
      <c r="I359" s="168"/>
      <c r="J359" s="168"/>
      <c r="K359" s="168"/>
      <c r="L359" s="168"/>
      <c r="M359" s="168"/>
      <c r="N359" s="168"/>
      <c r="O359" s="168"/>
      <c r="P359" s="168"/>
      <c r="Q359" s="168"/>
      <c r="R359" s="168"/>
      <c r="S359" s="168"/>
      <c r="T359" s="168"/>
      <c r="U359" s="168"/>
      <c r="V359" s="168"/>
      <c r="W359" s="168"/>
      <c r="X359" s="167">
        <v>877364</v>
      </c>
    </row>
    <row r="360" spans="1:24" ht="14.4" x14ac:dyDescent="0.3">
      <c r="A360" s="163" t="s">
        <v>246</v>
      </c>
      <c r="B360" s="164">
        <v>1995</v>
      </c>
      <c r="C360" s="167">
        <v>59769.66</v>
      </c>
      <c r="D360" s="167">
        <v>27402.93</v>
      </c>
      <c r="E360" s="167">
        <v>27848.66</v>
      </c>
      <c r="F360" s="167">
        <v>32659.94</v>
      </c>
      <c r="G360" s="167">
        <v>386930.30000000005</v>
      </c>
      <c r="H360" s="167">
        <v>303974.05</v>
      </c>
      <c r="I360" s="167">
        <v>303974.05</v>
      </c>
      <c r="J360" s="167">
        <v>303974.05</v>
      </c>
      <c r="K360" s="167">
        <v>303974.05</v>
      </c>
      <c r="L360" s="167">
        <v>303974.05</v>
      </c>
      <c r="M360" s="167">
        <v>303974.05</v>
      </c>
      <c r="N360" s="167">
        <v>303974.05</v>
      </c>
      <c r="O360" s="167">
        <v>303974.05</v>
      </c>
      <c r="P360" s="167">
        <v>303974.05</v>
      </c>
      <c r="Q360" s="167">
        <v>303974.05</v>
      </c>
      <c r="R360" s="167">
        <v>303974.05</v>
      </c>
      <c r="S360" s="167">
        <v>303974.05</v>
      </c>
      <c r="T360" s="167">
        <v>303974.05</v>
      </c>
      <c r="U360" s="167">
        <v>303974.05</v>
      </c>
      <c r="V360" s="167">
        <v>303974.05</v>
      </c>
      <c r="W360" s="167">
        <v>303974.05</v>
      </c>
      <c r="X360" s="167">
        <v>303974.05</v>
      </c>
    </row>
    <row r="361" spans="1:24" ht="14.4" x14ac:dyDescent="0.3">
      <c r="A361" s="163" t="s">
        <v>246</v>
      </c>
      <c r="B361" s="164">
        <v>1996</v>
      </c>
      <c r="C361" s="167">
        <v>86387.24</v>
      </c>
      <c r="D361" s="167">
        <v>122861.02</v>
      </c>
      <c r="E361" s="167">
        <v>145654.87</v>
      </c>
      <c r="F361" s="167">
        <v>171604.95</v>
      </c>
      <c r="G361" s="167">
        <v>171602.96</v>
      </c>
      <c r="H361" s="167">
        <v>167603.95000000001</v>
      </c>
      <c r="I361" s="167">
        <v>167750.75</v>
      </c>
      <c r="J361" s="167">
        <v>1610229.2</v>
      </c>
      <c r="K361" s="167">
        <v>824798.71999999997</v>
      </c>
      <c r="L361" s="167">
        <v>824917.65000000014</v>
      </c>
      <c r="M361" s="167">
        <v>2396000.29</v>
      </c>
      <c r="N361" s="167">
        <v>2396000.29</v>
      </c>
      <c r="O361" s="167">
        <v>3597144.25</v>
      </c>
      <c r="P361" s="167">
        <v>3621915.7199999997</v>
      </c>
      <c r="Q361" s="167">
        <v>4283027.79</v>
      </c>
      <c r="R361" s="167">
        <v>4283027.79</v>
      </c>
      <c r="S361" s="167">
        <v>4283027.79</v>
      </c>
      <c r="T361" s="167">
        <v>4283027.79</v>
      </c>
      <c r="U361" s="167">
        <v>4283027.79</v>
      </c>
      <c r="V361" s="167">
        <v>4283027.79</v>
      </c>
      <c r="W361" s="168"/>
      <c r="X361" s="167">
        <v>4283027.79</v>
      </c>
    </row>
    <row r="362" spans="1:24" ht="14.4" x14ac:dyDescent="0.3">
      <c r="A362" s="163" t="s">
        <v>246</v>
      </c>
      <c r="B362" s="164">
        <v>1997</v>
      </c>
      <c r="C362" s="167">
        <v>115299.41</v>
      </c>
      <c r="D362" s="167">
        <v>16423501</v>
      </c>
      <c r="E362" s="167">
        <v>4226293.57</v>
      </c>
      <c r="F362" s="167">
        <v>7813893.9800000004</v>
      </c>
      <c r="G362" s="167">
        <v>8453291.9000000022</v>
      </c>
      <c r="H362" s="167">
        <v>8453310.8499999978</v>
      </c>
      <c r="I362" s="167">
        <v>8453356.3499999978</v>
      </c>
      <c r="J362" s="167">
        <v>8453356.3599999994</v>
      </c>
      <c r="K362" s="167">
        <v>8453355.3599999994</v>
      </c>
      <c r="L362" s="167">
        <v>8453355.3599999994</v>
      </c>
      <c r="M362" s="167">
        <v>8453355.3599999994</v>
      </c>
      <c r="N362" s="167">
        <v>8453357.3599999994</v>
      </c>
      <c r="O362" s="167">
        <v>8453355.3599999994</v>
      </c>
      <c r="P362" s="167">
        <v>8453355.3599999994</v>
      </c>
      <c r="Q362" s="167">
        <v>8451265.3099999987</v>
      </c>
      <c r="R362" s="167">
        <v>8451265.3099999987</v>
      </c>
      <c r="S362" s="167">
        <v>8451265.3099999987</v>
      </c>
      <c r="T362" s="167">
        <v>8451265.3099999987</v>
      </c>
      <c r="U362" s="167">
        <v>8451265.3099999987</v>
      </c>
      <c r="V362" s="168"/>
      <c r="W362" s="168"/>
      <c r="X362" s="167">
        <v>8451265.3099999987</v>
      </c>
    </row>
    <row r="363" spans="1:24" ht="14.4" x14ac:dyDescent="0.3">
      <c r="A363" s="163" t="s">
        <v>246</v>
      </c>
      <c r="B363" s="164">
        <v>1998</v>
      </c>
      <c r="C363" s="167">
        <v>91879.73</v>
      </c>
      <c r="D363" s="167">
        <v>106148.93</v>
      </c>
      <c r="E363" s="167">
        <v>100172.43</v>
      </c>
      <c r="F363" s="167">
        <v>75159.430000000008</v>
      </c>
      <c r="G363" s="167">
        <v>50178.43</v>
      </c>
      <c r="H363" s="167">
        <v>50158.43</v>
      </c>
      <c r="I363" s="167">
        <v>50158.43</v>
      </c>
      <c r="J363" s="167">
        <v>50158.43</v>
      </c>
      <c r="K363" s="167">
        <v>50158.43</v>
      </c>
      <c r="L363" s="167">
        <v>50158.43</v>
      </c>
      <c r="M363" s="167">
        <v>50158.43</v>
      </c>
      <c r="N363" s="167">
        <v>50158.43</v>
      </c>
      <c r="O363" s="167">
        <v>50158.43</v>
      </c>
      <c r="P363" s="167">
        <v>50158.43</v>
      </c>
      <c r="Q363" s="167">
        <v>50158.43</v>
      </c>
      <c r="R363" s="167">
        <v>50158.43</v>
      </c>
      <c r="S363" s="167">
        <v>50158.43</v>
      </c>
      <c r="T363" s="167">
        <v>50158.43</v>
      </c>
      <c r="U363" s="168"/>
      <c r="V363" s="168"/>
      <c r="W363" s="168"/>
      <c r="X363" s="167">
        <v>50158.43</v>
      </c>
    </row>
    <row r="364" spans="1:24" ht="14.4" x14ac:dyDescent="0.3">
      <c r="A364" s="163" t="s">
        <v>246</v>
      </c>
      <c r="B364" s="164">
        <v>1999</v>
      </c>
      <c r="C364" s="167">
        <v>54317.54</v>
      </c>
      <c r="D364" s="167">
        <v>156166.53</v>
      </c>
      <c r="E364" s="167">
        <v>84063.760000000009</v>
      </c>
      <c r="F364" s="167">
        <v>133249.76999999999</v>
      </c>
      <c r="G364" s="167">
        <v>421554.68999999994</v>
      </c>
      <c r="H364" s="167">
        <v>398325.32999999996</v>
      </c>
      <c r="I364" s="167">
        <v>519537.6</v>
      </c>
      <c r="J364" s="167">
        <v>532427.57999999996</v>
      </c>
      <c r="K364" s="167">
        <v>867088.98</v>
      </c>
      <c r="L364" s="167">
        <v>1559031.69</v>
      </c>
      <c r="M364" s="167">
        <v>1559030.69</v>
      </c>
      <c r="N364" s="167">
        <v>1559030.69</v>
      </c>
      <c r="O364" s="167">
        <v>1559030.69</v>
      </c>
      <c r="P364" s="167">
        <v>1559030.69</v>
      </c>
      <c r="Q364" s="167">
        <v>1559030.69</v>
      </c>
      <c r="R364" s="167">
        <v>1559030.69</v>
      </c>
      <c r="S364" s="167">
        <v>1559030.69</v>
      </c>
      <c r="T364" s="168"/>
      <c r="U364" s="168"/>
      <c r="V364" s="168"/>
      <c r="W364" s="168"/>
      <c r="X364" s="167">
        <v>1559030.69</v>
      </c>
    </row>
    <row r="365" spans="1:24" ht="14.4" x14ac:dyDescent="0.3">
      <c r="A365" s="163" t="s">
        <v>246</v>
      </c>
      <c r="B365" s="164">
        <v>2000</v>
      </c>
      <c r="C365" s="167">
        <v>39074.559999999998</v>
      </c>
      <c r="D365" s="167">
        <v>163229.89000000001</v>
      </c>
      <c r="E365" s="167">
        <v>372951.48</v>
      </c>
      <c r="F365" s="167">
        <v>773456.92999999993</v>
      </c>
      <c r="G365" s="167">
        <v>3485717.71</v>
      </c>
      <c r="H365" s="167">
        <v>4375672.34</v>
      </c>
      <c r="I365" s="167">
        <v>4478318.4800000004</v>
      </c>
      <c r="J365" s="167">
        <v>9417443.6999999993</v>
      </c>
      <c r="K365" s="167">
        <v>24488515.330000006</v>
      </c>
      <c r="L365" s="167">
        <v>27370721.600000001</v>
      </c>
      <c r="M365" s="167">
        <v>27181093.790000007</v>
      </c>
      <c r="N365" s="167">
        <v>27181102.490000002</v>
      </c>
      <c r="O365" s="167">
        <v>27181102.490000002</v>
      </c>
      <c r="P365" s="167">
        <v>27168178.490000002</v>
      </c>
      <c r="Q365" s="167">
        <v>27168518.620000005</v>
      </c>
      <c r="R365" s="167">
        <v>27249810.399999999</v>
      </c>
      <c r="S365" s="168"/>
      <c r="T365" s="168"/>
      <c r="U365" s="168"/>
      <c r="V365" s="168"/>
      <c r="W365" s="168"/>
      <c r="X365" s="167">
        <v>27249810.399999999</v>
      </c>
    </row>
    <row r="366" spans="1:24" ht="14.4" x14ac:dyDescent="0.3">
      <c r="A366" s="163" t="s">
        <v>246</v>
      </c>
      <c r="B366" s="164">
        <v>2001</v>
      </c>
      <c r="C366" s="167">
        <v>258720.99</v>
      </c>
      <c r="D366" s="167">
        <v>806692.39</v>
      </c>
      <c r="E366" s="167">
        <v>2193244.2000000002</v>
      </c>
      <c r="F366" s="167">
        <v>2169909.15</v>
      </c>
      <c r="G366" s="167">
        <v>2170191.63</v>
      </c>
      <c r="H366" s="167">
        <v>2121386.27</v>
      </c>
      <c r="I366" s="167">
        <v>4960896.53</v>
      </c>
      <c r="J366" s="167">
        <v>5674247.9199999999</v>
      </c>
      <c r="K366" s="167">
        <v>8984469.8399999999</v>
      </c>
      <c r="L366" s="167">
        <v>10030987.379999999</v>
      </c>
      <c r="M366" s="167">
        <v>9590598.6999999993</v>
      </c>
      <c r="N366" s="167">
        <v>7252374.9399999995</v>
      </c>
      <c r="O366" s="167">
        <v>7429633.9399999995</v>
      </c>
      <c r="P366" s="167">
        <v>7429625.9399999995</v>
      </c>
      <c r="Q366" s="167">
        <v>7413660.9399999995</v>
      </c>
      <c r="R366" s="168"/>
      <c r="S366" s="168"/>
      <c r="T366" s="168"/>
      <c r="U366" s="168"/>
      <c r="V366" s="168"/>
      <c r="W366" s="168"/>
      <c r="X366" s="167">
        <v>7413660.9399999995</v>
      </c>
    </row>
    <row r="367" spans="1:24" ht="14.4" x14ac:dyDescent="0.3">
      <c r="A367" s="163" t="s">
        <v>246</v>
      </c>
      <c r="B367" s="164">
        <v>2002</v>
      </c>
      <c r="C367" s="167">
        <v>47355.92</v>
      </c>
      <c r="D367" s="167">
        <v>950444.15999999992</v>
      </c>
      <c r="E367" s="167">
        <v>1536002.1</v>
      </c>
      <c r="F367" s="167">
        <v>3071892.4</v>
      </c>
      <c r="G367" s="167">
        <v>3267497.17</v>
      </c>
      <c r="H367" s="167">
        <v>3167285.67</v>
      </c>
      <c r="I367" s="167">
        <v>3268744.0100000002</v>
      </c>
      <c r="J367" s="167">
        <v>3268742.0100000002</v>
      </c>
      <c r="K367" s="167">
        <v>3268741.0100000002</v>
      </c>
      <c r="L367" s="167">
        <v>3268741.0100000002</v>
      </c>
      <c r="M367" s="167">
        <v>3268741.0100000002</v>
      </c>
      <c r="N367" s="167">
        <v>3268741.0100000002</v>
      </c>
      <c r="O367" s="167">
        <v>3289554.84</v>
      </c>
      <c r="P367" s="167">
        <v>3291214.25</v>
      </c>
      <c r="Q367" s="168"/>
      <c r="R367" s="168"/>
      <c r="S367" s="168"/>
      <c r="T367" s="168"/>
      <c r="U367" s="168"/>
      <c r="V367" s="168"/>
      <c r="W367" s="168"/>
      <c r="X367" s="167">
        <v>3291214.25</v>
      </c>
    </row>
    <row r="368" spans="1:24" ht="14.4" x14ac:dyDescent="0.3">
      <c r="A368" s="163" t="s">
        <v>246</v>
      </c>
      <c r="B368" s="164">
        <v>2003</v>
      </c>
      <c r="C368" s="167">
        <v>298464.2</v>
      </c>
      <c r="D368" s="167">
        <v>1214830.6499999999</v>
      </c>
      <c r="E368" s="167">
        <v>978973.53</v>
      </c>
      <c r="F368" s="167">
        <v>1163935.02</v>
      </c>
      <c r="G368" s="167">
        <v>17230304.91</v>
      </c>
      <c r="H368" s="167">
        <v>21052944.520000003</v>
      </c>
      <c r="I368" s="167">
        <v>20189022.290000003</v>
      </c>
      <c r="J368" s="167">
        <v>29165971.810000002</v>
      </c>
      <c r="K368" s="167">
        <v>27636682.869999997</v>
      </c>
      <c r="L368" s="167">
        <v>27088395.349999998</v>
      </c>
      <c r="M368" s="167">
        <v>29190087.27</v>
      </c>
      <c r="N368" s="167">
        <v>29195087.27</v>
      </c>
      <c r="O368" s="167">
        <v>28793461.43</v>
      </c>
      <c r="P368" s="168"/>
      <c r="Q368" s="168"/>
      <c r="R368" s="168"/>
      <c r="S368" s="168"/>
      <c r="T368" s="168"/>
      <c r="U368" s="168"/>
      <c r="V368" s="168"/>
      <c r="W368" s="168"/>
      <c r="X368" s="167">
        <v>28793461.43</v>
      </c>
    </row>
    <row r="369" spans="1:24" ht="14.4" x14ac:dyDescent="0.3">
      <c r="A369" s="163" t="s">
        <v>246</v>
      </c>
      <c r="B369" s="164">
        <v>2004</v>
      </c>
      <c r="C369" s="167">
        <v>1531020.45</v>
      </c>
      <c r="D369" s="167">
        <v>4897724.72</v>
      </c>
      <c r="E369" s="167">
        <v>9045889.9399999995</v>
      </c>
      <c r="F369" s="167">
        <v>12575107.83</v>
      </c>
      <c r="G369" s="167">
        <v>12558482.949999999</v>
      </c>
      <c r="H369" s="167">
        <v>12360004.16</v>
      </c>
      <c r="I369" s="167">
        <v>12762990.16</v>
      </c>
      <c r="J369" s="167">
        <v>12492392.600000001</v>
      </c>
      <c r="K369" s="167">
        <v>12491468.870000001</v>
      </c>
      <c r="L369" s="167">
        <v>12491468.870000001</v>
      </c>
      <c r="M369" s="167">
        <v>12528111.68</v>
      </c>
      <c r="N369" s="167">
        <v>12527401.68</v>
      </c>
      <c r="O369" s="168"/>
      <c r="P369" s="168"/>
      <c r="Q369" s="168"/>
      <c r="R369" s="168"/>
      <c r="S369" s="168"/>
      <c r="T369" s="168"/>
      <c r="U369" s="168"/>
      <c r="V369" s="168"/>
      <c r="W369" s="168"/>
      <c r="X369" s="167">
        <v>12527401.68</v>
      </c>
    </row>
    <row r="370" spans="1:24" ht="14.4" x14ac:dyDescent="0.3">
      <c r="A370" s="163" t="s">
        <v>246</v>
      </c>
      <c r="B370" s="164">
        <v>2005</v>
      </c>
      <c r="C370" s="167">
        <v>447580.56</v>
      </c>
      <c r="D370" s="167">
        <v>3360023.91</v>
      </c>
      <c r="E370" s="167">
        <v>6114566.5500000007</v>
      </c>
      <c r="F370" s="167">
        <v>7875378.9799999995</v>
      </c>
      <c r="G370" s="167">
        <v>21078766.299999997</v>
      </c>
      <c r="H370" s="167">
        <v>24100948.02</v>
      </c>
      <c r="I370" s="167">
        <v>24085891.439999998</v>
      </c>
      <c r="J370" s="167">
        <v>24029721.09</v>
      </c>
      <c r="K370" s="167">
        <v>24385429.09</v>
      </c>
      <c r="L370" s="167">
        <v>24696910.170000002</v>
      </c>
      <c r="M370" s="167">
        <v>24446910.170000002</v>
      </c>
      <c r="N370" s="168"/>
      <c r="O370" s="168"/>
      <c r="P370" s="168"/>
      <c r="Q370" s="168"/>
      <c r="R370" s="168"/>
      <c r="S370" s="168"/>
      <c r="T370" s="168"/>
      <c r="U370" s="168"/>
      <c r="V370" s="168"/>
      <c r="W370" s="168"/>
      <c r="X370" s="167">
        <v>24446910.170000002</v>
      </c>
    </row>
    <row r="371" spans="1:24" ht="14.4" x14ac:dyDescent="0.3">
      <c r="A371" s="163" t="s">
        <v>246</v>
      </c>
      <c r="B371" s="164">
        <v>2006</v>
      </c>
      <c r="C371" s="167">
        <v>1056029.79</v>
      </c>
      <c r="D371" s="167">
        <v>2843966.15</v>
      </c>
      <c r="E371" s="167">
        <v>8637230.5700000003</v>
      </c>
      <c r="F371" s="167">
        <v>11009637.390000001</v>
      </c>
      <c r="G371" s="167">
        <v>18095308.719999999</v>
      </c>
      <c r="H371" s="167">
        <v>18078537.059999999</v>
      </c>
      <c r="I371" s="167">
        <v>18084180.849999998</v>
      </c>
      <c r="J371" s="167">
        <v>17843823.849999998</v>
      </c>
      <c r="K371" s="167">
        <v>18154222.129999999</v>
      </c>
      <c r="L371" s="167">
        <v>18551413.140000001</v>
      </c>
      <c r="M371" s="168"/>
      <c r="N371" s="168"/>
      <c r="O371" s="168"/>
      <c r="P371" s="168"/>
      <c r="Q371" s="168"/>
      <c r="R371" s="168"/>
      <c r="S371" s="168"/>
      <c r="T371" s="168"/>
      <c r="U371" s="168"/>
      <c r="V371" s="168"/>
      <c r="W371" s="168"/>
      <c r="X371" s="167">
        <v>18551413.140000001</v>
      </c>
    </row>
    <row r="372" spans="1:24" ht="14.4" x14ac:dyDescent="0.3">
      <c r="A372" s="163" t="s">
        <v>246</v>
      </c>
      <c r="B372" s="164">
        <v>2007</v>
      </c>
      <c r="C372" s="167">
        <v>865288.24</v>
      </c>
      <c r="D372" s="167">
        <v>10896042.140000001</v>
      </c>
      <c r="E372" s="167">
        <v>14041831.119999999</v>
      </c>
      <c r="F372" s="167">
        <v>56980133.5</v>
      </c>
      <c r="G372" s="167">
        <v>60718960.43</v>
      </c>
      <c r="H372" s="167">
        <v>68920788.120000005</v>
      </c>
      <c r="I372" s="167">
        <v>84343774</v>
      </c>
      <c r="J372" s="167">
        <v>92782749.38000001</v>
      </c>
      <c r="K372" s="167">
        <v>91868907.710000008</v>
      </c>
      <c r="L372" s="168"/>
      <c r="M372" s="168"/>
      <c r="N372" s="168"/>
      <c r="O372" s="168"/>
      <c r="P372" s="168"/>
      <c r="Q372" s="168"/>
      <c r="R372" s="168"/>
      <c r="S372" s="168"/>
      <c r="T372" s="168"/>
      <c r="U372" s="168"/>
      <c r="V372" s="168"/>
      <c r="W372" s="168"/>
      <c r="X372" s="167">
        <v>91868907.710000008</v>
      </c>
    </row>
    <row r="373" spans="1:24" ht="14.4" x14ac:dyDescent="0.3">
      <c r="A373" s="163" t="s">
        <v>246</v>
      </c>
      <c r="B373" s="164">
        <v>2008</v>
      </c>
      <c r="C373" s="167">
        <v>11125687.65</v>
      </c>
      <c r="D373" s="167">
        <v>48877569.040000007</v>
      </c>
      <c r="E373" s="167">
        <v>98091619.269999996</v>
      </c>
      <c r="F373" s="167">
        <v>99475386.849999994</v>
      </c>
      <c r="G373" s="167">
        <v>99910039.450000003</v>
      </c>
      <c r="H373" s="167">
        <v>109131860.5</v>
      </c>
      <c r="I373" s="167">
        <v>120097032.39000002</v>
      </c>
      <c r="J373" s="167">
        <v>120053567.05</v>
      </c>
      <c r="K373" s="168"/>
      <c r="L373" s="168"/>
      <c r="M373" s="168"/>
      <c r="N373" s="168"/>
      <c r="O373" s="168"/>
      <c r="P373" s="168"/>
      <c r="Q373" s="168"/>
      <c r="R373" s="168"/>
      <c r="S373" s="168"/>
      <c r="T373" s="168"/>
      <c r="U373" s="168"/>
      <c r="V373" s="168"/>
      <c r="W373" s="168"/>
      <c r="X373" s="167">
        <v>120053567.05</v>
      </c>
    </row>
    <row r="374" spans="1:24" ht="14.4" x14ac:dyDescent="0.3">
      <c r="A374" s="163" t="s">
        <v>246</v>
      </c>
      <c r="B374" s="164">
        <v>2009</v>
      </c>
      <c r="C374" s="167">
        <v>1752693.23</v>
      </c>
      <c r="D374" s="167">
        <v>61790576.520000003</v>
      </c>
      <c r="E374" s="167">
        <v>76742393.120000005</v>
      </c>
      <c r="F374" s="167">
        <v>88048537.5</v>
      </c>
      <c r="G374" s="167">
        <v>95459172.210000008</v>
      </c>
      <c r="H374" s="167">
        <v>96921730.129999995</v>
      </c>
      <c r="I374" s="167">
        <v>106825223.09</v>
      </c>
      <c r="J374" s="168"/>
      <c r="K374" s="168"/>
      <c r="L374" s="168"/>
      <c r="M374" s="168"/>
      <c r="N374" s="168"/>
      <c r="O374" s="168"/>
      <c r="P374" s="168"/>
      <c r="Q374" s="168"/>
      <c r="R374" s="168"/>
      <c r="S374" s="168"/>
      <c r="T374" s="168"/>
      <c r="U374" s="168"/>
      <c r="V374" s="168"/>
      <c r="W374" s="168"/>
      <c r="X374" s="167">
        <v>106825223.09</v>
      </c>
    </row>
    <row r="375" spans="1:24" ht="14.4" x14ac:dyDescent="0.3">
      <c r="A375" s="163" t="s">
        <v>246</v>
      </c>
      <c r="B375" s="164">
        <v>2010</v>
      </c>
      <c r="C375" s="167">
        <v>1570908.82</v>
      </c>
      <c r="D375" s="167">
        <v>10764866.289999999</v>
      </c>
      <c r="E375" s="167">
        <v>31220072.309999999</v>
      </c>
      <c r="F375" s="167">
        <v>40211549.390000001</v>
      </c>
      <c r="G375" s="167">
        <v>40610546.590000004</v>
      </c>
      <c r="H375" s="167">
        <v>35668015.469999999</v>
      </c>
      <c r="I375" s="168"/>
      <c r="J375" s="168"/>
      <c r="K375" s="168"/>
      <c r="L375" s="168"/>
      <c r="M375" s="168"/>
      <c r="N375" s="168"/>
      <c r="O375" s="168"/>
      <c r="P375" s="168"/>
      <c r="Q375" s="168"/>
      <c r="R375" s="168"/>
      <c r="S375" s="168"/>
      <c r="T375" s="168"/>
      <c r="U375" s="168"/>
      <c r="V375" s="168"/>
      <c r="W375" s="168"/>
      <c r="X375" s="167">
        <v>35668015.469999999</v>
      </c>
    </row>
    <row r="376" spans="1:24" ht="14.4" x14ac:dyDescent="0.3">
      <c r="A376" s="163" t="s">
        <v>246</v>
      </c>
      <c r="B376" s="164">
        <v>2011</v>
      </c>
      <c r="C376" s="167">
        <v>834777.7</v>
      </c>
      <c r="D376" s="167">
        <v>14516057.389999999</v>
      </c>
      <c r="E376" s="167">
        <v>27544481.809999999</v>
      </c>
      <c r="F376" s="167">
        <v>40094303.07</v>
      </c>
      <c r="G376" s="167">
        <v>51144838.730000004</v>
      </c>
      <c r="H376" s="168"/>
      <c r="I376" s="168"/>
      <c r="J376" s="168"/>
      <c r="K376" s="168"/>
      <c r="L376" s="168"/>
      <c r="M376" s="168"/>
      <c r="N376" s="168"/>
      <c r="O376" s="168"/>
      <c r="P376" s="168"/>
      <c r="Q376" s="168"/>
      <c r="R376" s="168"/>
      <c r="S376" s="168"/>
      <c r="T376" s="168"/>
      <c r="U376" s="168"/>
      <c r="V376" s="168"/>
      <c r="W376" s="168"/>
      <c r="X376" s="167">
        <v>51144838.730000004</v>
      </c>
    </row>
    <row r="377" spans="1:24" ht="14.4" x14ac:dyDescent="0.3">
      <c r="A377" s="163" t="s">
        <v>246</v>
      </c>
      <c r="B377" s="164">
        <v>2012</v>
      </c>
      <c r="C377" s="167">
        <v>1917067.81</v>
      </c>
      <c r="D377" s="167">
        <v>22279710.34</v>
      </c>
      <c r="E377" s="167">
        <v>45939256.690000005</v>
      </c>
      <c r="F377" s="167">
        <v>44081459.490000002</v>
      </c>
      <c r="G377" s="168"/>
      <c r="H377" s="168"/>
      <c r="I377" s="168"/>
      <c r="J377" s="168"/>
      <c r="K377" s="168"/>
      <c r="L377" s="168"/>
      <c r="M377" s="168"/>
      <c r="N377" s="168"/>
      <c r="O377" s="168"/>
      <c r="P377" s="168"/>
      <c r="Q377" s="168"/>
      <c r="R377" s="168"/>
      <c r="S377" s="168"/>
      <c r="T377" s="168"/>
      <c r="U377" s="168"/>
      <c r="V377" s="168"/>
      <c r="W377" s="168"/>
      <c r="X377" s="167">
        <v>44081459.490000002</v>
      </c>
    </row>
    <row r="378" spans="1:24" ht="14.4" x14ac:dyDescent="0.3">
      <c r="A378" s="163" t="s">
        <v>246</v>
      </c>
      <c r="B378" s="164">
        <v>2013</v>
      </c>
      <c r="C378" s="167">
        <v>2563059.71</v>
      </c>
      <c r="D378" s="167">
        <v>7141265.0500000007</v>
      </c>
      <c r="E378" s="167">
        <v>27486115.239999998</v>
      </c>
      <c r="F378" s="168"/>
      <c r="G378" s="168"/>
      <c r="H378" s="168"/>
      <c r="I378" s="168"/>
      <c r="J378" s="168"/>
      <c r="K378" s="168"/>
      <c r="L378" s="168"/>
      <c r="M378" s="168"/>
      <c r="N378" s="168"/>
      <c r="O378" s="168"/>
      <c r="P378" s="168"/>
      <c r="Q378" s="168"/>
      <c r="R378" s="168"/>
      <c r="S378" s="168"/>
      <c r="T378" s="168"/>
      <c r="U378" s="168"/>
      <c r="V378" s="168"/>
      <c r="W378" s="168"/>
      <c r="X378" s="167">
        <v>27486115.239999998</v>
      </c>
    </row>
    <row r="379" spans="1:24" ht="14.4" x14ac:dyDescent="0.3">
      <c r="A379" s="163" t="s">
        <v>246</v>
      </c>
      <c r="B379" s="164">
        <v>2014</v>
      </c>
      <c r="C379" s="167">
        <v>12331068.110000001</v>
      </c>
      <c r="D379" s="167">
        <v>19948255.489999998</v>
      </c>
      <c r="E379" s="168"/>
      <c r="F379" s="168"/>
      <c r="G379" s="168"/>
      <c r="H379" s="168"/>
      <c r="I379" s="168"/>
      <c r="J379" s="168"/>
      <c r="K379" s="168"/>
      <c r="L379" s="168"/>
      <c r="M379" s="168"/>
      <c r="N379" s="168"/>
      <c r="O379" s="168"/>
      <c r="P379" s="168"/>
      <c r="Q379" s="168"/>
      <c r="R379" s="168"/>
      <c r="S379" s="168"/>
      <c r="T379" s="168"/>
      <c r="U379" s="168"/>
      <c r="V379" s="168"/>
      <c r="W379" s="168"/>
      <c r="X379" s="167">
        <v>19948255.489999998</v>
      </c>
    </row>
    <row r="380" spans="1:24" ht="14.4" x14ac:dyDescent="0.3">
      <c r="A380" s="163" t="s">
        <v>246</v>
      </c>
      <c r="B380" s="164">
        <v>2015</v>
      </c>
      <c r="C380" s="167">
        <v>2439311.17</v>
      </c>
      <c r="D380" s="168"/>
      <c r="E380" s="168"/>
      <c r="F380" s="168"/>
      <c r="G380" s="168"/>
      <c r="H380" s="168"/>
      <c r="I380" s="168"/>
      <c r="J380" s="168"/>
      <c r="K380" s="168"/>
      <c r="L380" s="168"/>
      <c r="M380" s="168"/>
      <c r="N380" s="168"/>
      <c r="O380" s="168"/>
      <c r="P380" s="168"/>
      <c r="Q380" s="168"/>
      <c r="R380" s="168"/>
      <c r="S380" s="168"/>
      <c r="T380" s="168"/>
      <c r="U380" s="168"/>
      <c r="V380" s="168"/>
      <c r="W380" s="168"/>
      <c r="X380" s="167">
        <v>2439311.17</v>
      </c>
    </row>
    <row r="381" spans="1:24" ht="14.4" x14ac:dyDescent="0.3">
      <c r="A381" s="163" t="s">
        <v>247</v>
      </c>
      <c r="B381" s="164">
        <v>1995</v>
      </c>
      <c r="C381" s="167">
        <v>17543320.120000001</v>
      </c>
      <c r="D381" s="167">
        <v>65692158.850000001</v>
      </c>
      <c r="E381" s="167">
        <v>92336700.810000002</v>
      </c>
      <c r="F381" s="167">
        <v>102367179.25999999</v>
      </c>
      <c r="G381" s="167">
        <v>111242496.72</v>
      </c>
      <c r="H381" s="167">
        <v>112176616.44</v>
      </c>
      <c r="I381" s="167">
        <v>113919175.91999999</v>
      </c>
      <c r="J381" s="167">
        <v>116321479.78</v>
      </c>
      <c r="K381" s="167">
        <v>118322583.17999999</v>
      </c>
      <c r="L381" s="167">
        <v>118824789.95</v>
      </c>
      <c r="M381" s="167">
        <v>118848565.8</v>
      </c>
      <c r="N381" s="167">
        <v>118879253.84999999</v>
      </c>
      <c r="O381" s="167">
        <v>118610187.62</v>
      </c>
      <c r="P381" s="167">
        <v>118610708.24000001</v>
      </c>
      <c r="Q381" s="167">
        <v>118513119.7</v>
      </c>
      <c r="R381" s="167">
        <v>118513118.7</v>
      </c>
      <c r="S381" s="167">
        <v>118513118.7</v>
      </c>
      <c r="T381" s="167">
        <v>118513118.7</v>
      </c>
      <c r="U381" s="167">
        <v>118513118.7</v>
      </c>
      <c r="V381" s="167">
        <v>118513118.7</v>
      </c>
      <c r="W381" s="167">
        <v>118513118.7</v>
      </c>
      <c r="X381" s="167">
        <v>118513118.7</v>
      </c>
    </row>
    <row r="382" spans="1:24" ht="14.4" x14ac:dyDescent="0.3">
      <c r="A382" s="163" t="s">
        <v>247</v>
      </c>
      <c r="B382" s="164">
        <v>1996</v>
      </c>
      <c r="C382" s="167">
        <v>35086053.719999999</v>
      </c>
      <c r="D382" s="167">
        <v>83676570.469999999</v>
      </c>
      <c r="E382" s="167">
        <v>103600129.82000001</v>
      </c>
      <c r="F382" s="167">
        <v>119849792.51000001</v>
      </c>
      <c r="G382" s="167">
        <v>136155317.56999999</v>
      </c>
      <c r="H382" s="167">
        <v>140691933.69999999</v>
      </c>
      <c r="I382" s="167">
        <v>142562533.52000001</v>
      </c>
      <c r="J382" s="167">
        <v>142967318.69</v>
      </c>
      <c r="K382" s="167">
        <v>143380772.19999999</v>
      </c>
      <c r="L382" s="167">
        <v>143251670.30000001</v>
      </c>
      <c r="M382" s="167">
        <v>143112318.25</v>
      </c>
      <c r="N382" s="167">
        <v>143015317.72</v>
      </c>
      <c r="O382" s="167">
        <v>143016599.08000001</v>
      </c>
      <c r="P382" s="167">
        <v>143011857.42000002</v>
      </c>
      <c r="Q382" s="167">
        <v>143011857.42000002</v>
      </c>
      <c r="R382" s="167">
        <v>143011607.42000002</v>
      </c>
      <c r="S382" s="167">
        <v>143009857.42000002</v>
      </c>
      <c r="T382" s="167">
        <v>143009857.42000002</v>
      </c>
      <c r="U382" s="167">
        <v>143009857.42000002</v>
      </c>
      <c r="V382" s="167">
        <v>143009857.42000002</v>
      </c>
      <c r="W382" s="168"/>
      <c r="X382" s="167">
        <v>143009857.42000002</v>
      </c>
    </row>
    <row r="383" spans="1:24" ht="14.4" x14ac:dyDescent="0.3">
      <c r="A383" s="163" t="s">
        <v>247</v>
      </c>
      <c r="B383" s="164">
        <v>1997</v>
      </c>
      <c r="C383" s="167">
        <v>38024523.769999996</v>
      </c>
      <c r="D383" s="167">
        <v>74540850.049999997</v>
      </c>
      <c r="E383" s="167">
        <v>112809032.62</v>
      </c>
      <c r="F383" s="167">
        <v>126507733.69</v>
      </c>
      <c r="G383" s="167">
        <v>142129767.44999999</v>
      </c>
      <c r="H383" s="167">
        <v>148416964.60999998</v>
      </c>
      <c r="I383" s="167">
        <v>153903372.19999999</v>
      </c>
      <c r="J383" s="167">
        <v>156759196.22</v>
      </c>
      <c r="K383" s="167">
        <v>156173272.03999999</v>
      </c>
      <c r="L383" s="167">
        <v>156280171.38</v>
      </c>
      <c r="M383" s="167">
        <v>156624788.5</v>
      </c>
      <c r="N383" s="167">
        <v>156423854.34999999</v>
      </c>
      <c r="O383" s="167">
        <v>156490521.49000001</v>
      </c>
      <c r="P383" s="167">
        <v>156210086.44999999</v>
      </c>
      <c r="Q383" s="167">
        <v>160066890.50999999</v>
      </c>
      <c r="R383" s="167">
        <v>160712465.12</v>
      </c>
      <c r="S383" s="167">
        <v>159976861.63999999</v>
      </c>
      <c r="T383" s="167">
        <v>159805660.63999999</v>
      </c>
      <c r="U383" s="167">
        <v>159806342.74000001</v>
      </c>
      <c r="V383" s="168"/>
      <c r="W383" s="168"/>
      <c r="X383" s="167">
        <v>159806342.74000001</v>
      </c>
    </row>
    <row r="384" spans="1:24" ht="14.4" x14ac:dyDescent="0.3">
      <c r="A384" s="163" t="s">
        <v>247</v>
      </c>
      <c r="B384" s="164">
        <v>1998</v>
      </c>
      <c r="C384" s="167">
        <v>48885561.210000001</v>
      </c>
      <c r="D384" s="167">
        <v>103896882.78</v>
      </c>
      <c r="E384" s="167">
        <v>138942563.24000001</v>
      </c>
      <c r="F384" s="167">
        <v>165552210.46000001</v>
      </c>
      <c r="G384" s="167">
        <v>177310100.56999999</v>
      </c>
      <c r="H384" s="167">
        <v>187132451.94</v>
      </c>
      <c r="I384" s="167">
        <v>190948507.80000001</v>
      </c>
      <c r="J384" s="167">
        <v>193623102.88</v>
      </c>
      <c r="K384" s="167">
        <v>194207188.34</v>
      </c>
      <c r="L384" s="167">
        <v>193850134.76999998</v>
      </c>
      <c r="M384" s="167">
        <v>194283784.25</v>
      </c>
      <c r="N384" s="167">
        <v>194304331.57999998</v>
      </c>
      <c r="O384" s="167">
        <v>194143389.16999999</v>
      </c>
      <c r="P384" s="167">
        <v>194370083.63999999</v>
      </c>
      <c r="Q384" s="167">
        <v>194183578.94999999</v>
      </c>
      <c r="R384" s="167">
        <v>194205727.13999999</v>
      </c>
      <c r="S384" s="167">
        <v>194230492.55000001</v>
      </c>
      <c r="T384" s="167">
        <v>194153022.63999999</v>
      </c>
      <c r="U384" s="168"/>
      <c r="V384" s="168"/>
      <c r="W384" s="168"/>
      <c r="X384" s="167">
        <v>194153022.63999999</v>
      </c>
    </row>
    <row r="385" spans="1:24" ht="14.4" x14ac:dyDescent="0.3">
      <c r="A385" s="163" t="s">
        <v>247</v>
      </c>
      <c r="B385" s="164">
        <v>1999</v>
      </c>
      <c r="C385" s="167">
        <v>43722872.660000004</v>
      </c>
      <c r="D385" s="167">
        <v>103959623.88</v>
      </c>
      <c r="E385" s="167">
        <v>137441295.84999999</v>
      </c>
      <c r="F385" s="167">
        <v>153754668.33000001</v>
      </c>
      <c r="G385" s="167">
        <v>175912139.04999998</v>
      </c>
      <c r="H385" s="167">
        <v>179655815.58000001</v>
      </c>
      <c r="I385" s="167">
        <v>183716605.12</v>
      </c>
      <c r="J385" s="167">
        <v>188273791.13999999</v>
      </c>
      <c r="K385" s="167">
        <v>193336463.22</v>
      </c>
      <c r="L385" s="167">
        <v>193651666.07999998</v>
      </c>
      <c r="M385" s="167">
        <v>193793059.62</v>
      </c>
      <c r="N385" s="167">
        <v>192665733.56999999</v>
      </c>
      <c r="O385" s="167">
        <v>192602643.87</v>
      </c>
      <c r="P385" s="167">
        <v>192897278.09999999</v>
      </c>
      <c r="Q385" s="167">
        <v>192910939.16</v>
      </c>
      <c r="R385" s="167">
        <v>192836302.91</v>
      </c>
      <c r="S385" s="167">
        <v>192836302.91</v>
      </c>
      <c r="T385" s="168"/>
      <c r="U385" s="168"/>
      <c r="V385" s="168"/>
      <c r="W385" s="168"/>
      <c r="X385" s="167">
        <v>192836302.91</v>
      </c>
    </row>
    <row r="386" spans="1:24" ht="14.4" x14ac:dyDescent="0.3">
      <c r="A386" s="163" t="s">
        <v>247</v>
      </c>
      <c r="B386" s="164">
        <v>2000</v>
      </c>
      <c r="C386" s="167">
        <v>59088924.920000002</v>
      </c>
      <c r="D386" s="167">
        <v>133369092.75999999</v>
      </c>
      <c r="E386" s="167">
        <v>175531330.25999999</v>
      </c>
      <c r="F386" s="167">
        <v>216295647.5</v>
      </c>
      <c r="G386" s="167">
        <v>242823991.12</v>
      </c>
      <c r="H386" s="167">
        <v>255006897.34</v>
      </c>
      <c r="I386" s="167">
        <v>257117478.69999999</v>
      </c>
      <c r="J386" s="167">
        <v>258660567.75999999</v>
      </c>
      <c r="K386" s="167">
        <v>264762933.24000001</v>
      </c>
      <c r="L386" s="167">
        <v>264618945.22000003</v>
      </c>
      <c r="M386" s="167">
        <v>264823939.87</v>
      </c>
      <c r="N386" s="167">
        <v>264799907.18000001</v>
      </c>
      <c r="O386" s="167">
        <v>264138831.14999998</v>
      </c>
      <c r="P386" s="167">
        <v>264192160.54999998</v>
      </c>
      <c r="Q386" s="167">
        <v>264195174.37</v>
      </c>
      <c r="R386" s="167">
        <v>264195174.37</v>
      </c>
      <c r="S386" s="168"/>
      <c r="T386" s="168"/>
      <c r="U386" s="168"/>
      <c r="V386" s="168"/>
      <c r="W386" s="168"/>
      <c r="X386" s="167">
        <v>264195174.37</v>
      </c>
    </row>
    <row r="387" spans="1:24" ht="14.4" x14ac:dyDescent="0.3">
      <c r="A387" s="163" t="s">
        <v>247</v>
      </c>
      <c r="B387" s="164">
        <v>2001</v>
      </c>
      <c r="C387" s="167">
        <v>51198050.68</v>
      </c>
      <c r="D387" s="167">
        <v>101010668.88999999</v>
      </c>
      <c r="E387" s="167">
        <v>151667699.12</v>
      </c>
      <c r="F387" s="167">
        <v>184621887.30000001</v>
      </c>
      <c r="G387" s="167">
        <v>207617074.66000003</v>
      </c>
      <c r="H387" s="167">
        <v>220091028.09</v>
      </c>
      <c r="I387" s="167">
        <v>220844450.72000003</v>
      </c>
      <c r="J387" s="167">
        <v>232490639.41000003</v>
      </c>
      <c r="K387" s="167">
        <v>234740270.26999998</v>
      </c>
      <c r="L387" s="167">
        <v>236009086.42000002</v>
      </c>
      <c r="M387" s="167">
        <v>236575454.75999999</v>
      </c>
      <c r="N387" s="167">
        <v>240782759.47</v>
      </c>
      <c r="O387" s="167">
        <v>238046798.48999998</v>
      </c>
      <c r="P387" s="167">
        <v>238205806.60999998</v>
      </c>
      <c r="Q387" s="167">
        <v>239701276.26999998</v>
      </c>
      <c r="R387" s="168"/>
      <c r="S387" s="168"/>
      <c r="T387" s="168"/>
      <c r="U387" s="168"/>
      <c r="V387" s="168"/>
      <c r="W387" s="168"/>
      <c r="X387" s="167">
        <v>239701276.26999998</v>
      </c>
    </row>
    <row r="388" spans="1:24" ht="14.4" x14ac:dyDescent="0.3">
      <c r="A388" s="163" t="s">
        <v>247</v>
      </c>
      <c r="B388" s="164">
        <v>2002</v>
      </c>
      <c r="C388" s="167">
        <v>40020578.450000003</v>
      </c>
      <c r="D388" s="167">
        <v>109459686.39</v>
      </c>
      <c r="E388" s="167">
        <v>172868411.01999998</v>
      </c>
      <c r="F388" s="167">
        <v>207511221.15000001</v>
      </c>
      <c r="G388" s="167">
        <v>223910797.34</v>
      </c>
      <c r="H388" s="167">
        <v>237272415.03999999</v>
      </c>
      <c r="I388" s="167">
        <v>247089999.31999999</v>
      </c>
      <c r="J388" s="167">
        <v>255010150.07999998</v>
      </c>
      <c r="K388" s="167">
        <v>260498055.67000002</v>
      </c>
      <c r="L388" s="167">
        <v>261211482.68000001</v>
      </c>
      <c r="M388" s="167">
        <v>266583901.61000001</v>
      </c>
      <c r="N388" s="167">
        <v>265296472.41</v>
      </c>
      <c r="O388" s="167">
        <v>265002275.45999998</v>
      </c>
      <c r="P388" s="167">
        <v>270304100.58000004</v>
      </c>
      <c r="Q388" s="168"/>
      <c r="R388" s="168"/>
      <c r="S388" s="168"/>
      <c r="T388" s="168"/>
      <c r="U388" s="168"/>
      <c r="V388" s="168"/>
      <c r="W388" s="168"/>
      <c r="X388" s="167">
        <v>270304100.58000004</v>
      </c>
    </row>
    <row r="389" spans="1:24" ht="14.4" x14ac:dyDescent="0.3">
      <c r="A389" s="163" t="s">
        <v>247</v>
      </c>
      <c r="B389" s="164">
        <v>2003</v>
      </c>
      <c r="C389" s="167">
        <v>43325388.940000005</v>
      </c>
      <c r="D389" s="167">
        <v>126108863.09999999</v>
      </c>
      <c r="E389" s="167">
        <v>172445294.11000001</v>
      </c>
      <c r="F389" s="167">
        <v>198637549.77999997</v>
      </c>
      <c r="G389" s="167">
        <v>213252389.39000002</v>
      </c>
      <c r="H389" s="167">
        <v>231041870.05000001</v>
      </c>
      <c r="I389" s="167">
        <v>239343360.63999999</v>
      </c>
      <c r="J389" s="167">
        <v>249839477.94999999</v>
      </c>
      <c r="K389" s="167">
        <v>251063233.44999999</v>
      </c>
      <c r="L389" s="167">
        <v>253299647.71000001</v>
      </c>
      <c r="M389" s="167">
        <v>252649728.26000002</v>
      </c>
      <c r="N389" s="167">
        <v>253741993.84000003</v>
      </c>
      <c r="O389" s="167">
        <v>253540051.60000002</v>
      </c>
      <c r="P389" s="168"/>
      <c r="Q389" s="168"/>
      <c r="R389" s="168"/>
      <c r="S389" s="168"/>
      <c r="T389" s="168"/>
      <c r="U389" s="168"/>
      <c r="V389" s="168"/>
      <c r="W389" s="168"/>
      <c r="X389" s="167">
        <v>253540051.60000002</v>
      </c>
    </row>
    <row r="390" spans="1:24" ht="14.4" x14ac:dyDescent="0.3">
      <c r="A390" s="163" t="s">
        <v>247</v>
      </c>
      <c r="B390" s="164">
        <v>2004</v>
      </c>
      <c r="C390" s="167">
        <v>53346598.630000003</v>
      </c>
      <c r="D390" s="167">
        <v>121057089.64</v>
      </c>
      <c r="E390" s="167">
        <v>162381466.89999998</v>
      </c>
      <c r="F390" s="167">
        <v>185587455.11000001</v>
      </c>
      <c r="G390" s="167">
        <v>205599596.30000001</v>
      </c>
      <c r="H390" s="167">
        <v>212952164.06</v>
      </c>
      <c r="I390" s="167">
        <v>209903787.39999998</v>
      </c>
      <c r="J390" s="167">
        <v>207533329.13</v>
      </c>
      <c r="K390" s="167">
        <v>209645931.48000002</v>
      </c>
      <c r="L390" s="167">
        <v>211240011.43000001</v>
      </c>
      <c r="M390" s="167">
        <v>214431841.46000001</v>
      </c>
      <c r="N390" s="167">
        <v>215401276.06</v>
      </c>
      <c r="O390" s="168"/>
      <c r="P390" s="168"/>
      <c r="Q390" s="168"/>
      <c r="R390" s="168"/>
      <c r="S390" s="168"/>
      <c r="T390" s="168"/>
      <c r="U390" s="168"/>
      <c r="V390" s="168"/>
      <c r="W390" s="168"/>
      <c r="X390" s="167">
        <v>215401276.06</v>
      </c>
    </row>
    <row r="391" spans="1:24" ht="14.4" x14ac:dyDescent="0.3">
      <c r="A391" s="163" t="s">
        <v>247</v>
      </c>
      <c r="B391" s="164">
        <v>2005</v>
      </c>
      <c r="C391" s="167">
        <v>40571365.130000003</v>
      </c>
      <c r="D391" s="167">
        <v>119622098.61</v>
      </c>
      <c r="E391" s="167">
        <v>161271262.94999999</v>
      </c>
      <c r="F391" s="167">
        <v>182022088.69999999</v>
      </c>
      <c r="G391" s="167">
        <v>198052778.84999999</v>
      </c>
      <c r="H391" s="167">
        <v>212070261.38999999</v>
      </c>
      <c r="I391" s="167">
        <v>212352493.73999998</v>
      </c>
      <c r="J391" s="167">
        <v>213517118.04999998</v>
      </c>
      <c r="K391" s="167">
        <v>214254614.56</v>
      </c>
      <c r="L391" s="167">
        <v>214826827.44999999</v>
      </c>
      <c r="M391" s="167">
        <v>214496360.72000003</v>
      </c>
      <c r="N391" s="168"/>
      <c r="O391" s="168"/>
      <c r="P391" s="168"/>
      <c r="Q391" s="168"/>
      <c r="R391" s="168"/>
      <c r="S391" s="168"/>
      <c r="T391" s="168"/>
      <c r="U391" s="168"/>
      <c r="V391" s="168"/>
      <c r="W391" s="168"/>
      <c r="X391" s="167">
        <v>214496360.72000003</v>
      </c>
    </row>
    <row r="392" spans="1:24" ht="14.4" x14ac:dyDescent="0.3">
      <c r="A392" s="163" t="s">
        <v>247</v>
      </c>
      <c r="B392" s="164">
        <v>2006</v>
      </c>
      <c r="C392" s="167">
        <v>41155207.5</v>
      </c>
      <c r="D392" s="167">
        <v>95056294.980000004</v>
      </c>
      <c r="E392" s="167">
        <v>127210671.17</v>
      </c>
      <c r="F392" s="167">
        <v>151091372.72999999</v>
      </c>
      <c r="G392" s="167">
        <v>165969767.99000001</v>
      </c>
      <c r="H392" s="167">
        <v>173213064.84</v>
      </c>
      <c r="I392" s="167">
        <v>182952615.97</v>
      </c>
      <c r="J392" s="167">
        <v>192562177.47999999</v>
      </c>
      <c r="K392" s="167">
        <v>194652308.79999998</v>
      </c>
      <c r="L392" s="167">
        <v>194947806.5</v>
      </c>
      <c r="M392" s="168"/>
      <c r="N392" s="168"/>
      <c r="O392" s="168"/>
      <c r="P392" s="168"/>
      <c r="Q392" s="168"/>
      <c r="R392" s="168"/>
      <c r="S392" s="168"/>
      <c r="T392" s="168"/>
      <c r="U392" s="168"/>
      <c r="V392" s="168"/>
      <c r="W392" s="168"/>
      <c r="X392" s="167">
        <v>194947806.5</v>
      </c>
    </row>
    <row r="393" spans="1:24" ht="14.4" x14ac:dyDescent="0.3">
      <c r="A393" s="163" t="s">
        <v>247</v>
      </c>
      <c r="B393" s="164">
        <v>2007</v>
      </c>
      <c r="C393" s="167">
        <v>40567801.82</v>
      </c>
      <c r="D393" s="167">
        <v>110750881.59</v>
      </c>
      <c r="E393" s="167">
        <v>151736411.19999999</v>
      </c>
      <c r="F393" s="167">
        <v>171318894.34</v>
      </c>
      <c r="G393" s="167">
        <v>175074264.90000001</v>
      </c>
      <c r="H393" s="167">
        <v>193529142.74000001</v>
      </c>
      <c r="I393" s="167">
        <v>180931432.66</v>
      </c>
      <c r="J393" s="167">
        <v>180804653.27000001</v>
      </c>
      <c r="K393" s="167">
        <v>182969912.81</v>
      </c>
      <c r="L393" s="168"/>
      <c r="M393" s="168"/>
      <c r="N393" s="168"/>
      <c r="O393" s="168"/>
      <c r="P393" s="168"/>
      <c r="Q393" s="168"/>
      <c r="R393" s="168"/>
      <c r="S393" s="168"/>
      <c r="T393" s="168"/>
      <c r="U393" s="168"/>
      <c r="V393" s="168"/>
      <c r="W393" s="168"/>
      <c r="X393" s="167">
        <v>182969912.81</v>
      </c>
    </row>
    <row r="394" spans="1:24" ht="14.4" x14ac:dyDescent="0.3">
      <c r="A394" s="163" t="s">
        <v>247</v>
      </c>
      <c r="B394" s="164">
        <v>2008</v>
      </c>
      <c r="C394" s="167">
        <v>34497484.910000004</v>
      </c>
      <c r="D394" s="167">
        <v>123934974.59</v>
      </c>
      <c r="E394" s="167">
        <v>146606676.13</v>
      </c>
      <c r="F394" s="167">
        <v>165160409.72999999</v>
      </c>
      <c r="G394" s="167">
        <v>169345211.69999999</v>
      </c>
      <c r="H394" s="167">
        <v>174848420.91</v>
      </c>
      <c r="I394" s="167">
        <v>175357129.22999999</v>
      </c>
      <c r="J394" s="167">
        <v>173906613.75999999</v>
      </c>
      <c r="K394" s="168"/>
      <c r="L394" s="168"/>
      <c r="M394" s="168"/>
      <c r="N394" s="168"/>
      <c r="O394" s="168"/>
      <c r="P394" s="168"/>
      <c r="Q394" s="168"/>
      <c r="R394" s="168"/>
      <c r="S394" s="168"/>
      <c r="T394" s="168"/>
      <c r="U394" s="168"/>
      <c r="V394" s="168"/>
      <c r="W394" s="168"/>
      <c r="X394" s="167">
        <v>173906613.75999999</v>
      </c>
    </row>
    <row r="395" spans="1:24" ht="14.4" x14ac:dyDescent="0.3">
      <c r="A395" s="163" t="s">
        <v>247</v>
      </c>
      <c r="B395" s="164">
        <v>2009</v>
      </c>
      <c r="C395" s="167">
        <v>27079252.280000001</v>
      </c>
      <c r="D395" s="167">
        <v>81443060.890000001</v>
      </c>
      <c r="E395" s="167">
        <v>100887458.88999999</v>
      </c>
      <c r="F395" s="167">
        <v>110630536.81</v>
      </c>
      <c r="G395" s="167">
        <v>119578136.69</v>
      </c>
      <c r="H395" s="167">
        <v>126461944.73999999</v>
      </c>
      <c r="I395" s="167">
        <v>127211972.92</v>
      </c>
      <c r="J395" s="168"/>
      <c r="K395" s="168"/>
      <c r="L395" s="168"/>
      <c r="M395" s="168"/>
      <c r="N395" s="168"/>
      <c r="O395" s="168"/>
      <c r="P395" s="168"/>
      <c r="Q395" s="168"/>
      <c r="R395" s="168"/>
      <c r="S395" s="168"/>
      <c r="T395" s="168"/>
      <c r="U395" s="168"/>
      <c r="V395" s="168"/>
      <c r="W395" s="168"/>
      <c r="X395" s="167">
        <v>127211972.92</v>
      </c>
    </row>
    <row r="396" spans="1:24" ht="14.4" x14ac:dyDescent="0.3">
      <c r="A396" s="163" t="s">
        <v>247</v>
      </c>
      <c r="B396" s="164">
        <v>2010</v>
      </c>
      <c r="C396" s="167">
        <v>23217685.280000001</v>
      </c>
      <c r="D396" s="167">
        <v>80244747.50999999</v>
      </c>
      <c r="E396" s="167">
        <v>101036375.80000001</v>
      </c>
      <c r="F396" s="167">
        <v>110215068.08</v>
      </c>
      <c r="G396" s="167">
        <v>120409901.27000001</v>
      </c>
      <c r="H396" s="167">
        <v>120292987.97</v>
      </c>
      <c r="I396" s="168"/>
      <c r="J396" s="168"/>
      <c r="K396" s="168"/>
      <c r="L396" s="168"/>
      <c r="M396" s="168"/>
      <c r="N396" s="168"/>
      <c r="O396" s="168"/>
      <c r="P396" s="168"/>
      <c r="Q396" s="168"/>
      <c r="R396" s="168"/>
      <c r="S396" s="168"/>
      <c r="T396" s="168"/>
      <c r="U396" s="168"/>
      <c r="V396" s="168"/>
      <c r="W396" s="168"/>
      <c r="X396" s="167">
        <v>120292987.97</v>
      </c>
    </row>
    <row r="397" spans="1:24" ht="14.4" x14ac:dyDescent="0.3">
      <c r="A397" s="163" t="s">
        <v>247</v>
      </c>
      <c r="B397" s="164">
        <v>2011</v>
      </c>
      <c r="C397" s="167">
        <v>21057092.73</v>
      </c>
      <c r="D397" s="167">
        <v>79381625.829999998</v>
      </c>
      <c r="E397" s="167">
        <v>90470124.379999995</v>
      </c>
      <c r="F397" s="167">
        <v>102189573.21000001</v>
      </c>
      <c r="G397" s="167">
        <v>106579393.67</v>
      </c>
      <c r="H397" s="168"/>
      <c r="I397" s="168"/>
      <c r="J397" s="168"/>
      <c r="K397" s="168"/>
      <c r="L397" s="168"/>
      <c r="M397" s="168"/>
      <c r="N397" s="168"/>
      <c r="O397" s="168"/>
      <c r="P397" s="168"/>
      <c r="Q397" s="168"/>
      <c r="R397" s="168"/>
      <c r="S397" s="168"/>
      <c r="T397" s="168"/>
      <c r="U397" s="168"/>
      <c r="V397" s="168"/>
      <c r="W397" s="168"/>
      <c r="X397" s="167">
        <v>106579393.67</v>
      </c>
    </row>
    <row r="398" spans="1:24" ht="14.4" x14ac:dyDescent="0.3">
      <c r="A398" s="163" t="s">
        <v>247</v>
      </c>
      <c r="B398" s="164">
        <v>2012</v>
      </c>
      <c r="C398" s="167">
        <v>15813074.789999999</v>
      </c>
      <c r="D398" s="167">
        <v>65674713.759999998</v>
      </c>
      <c r="E398" s="167">
        <v>77989646.719999999</v>
      </c>
      <c r="F398" s="167">
        <v>90477736.340000004</v>
      </c>
      <c r="G398" s="168"/>
      <c r="H398" s="168"/>
      <c r="I398" s="168"/>
      <c r="J398" s="168"/>
      <c r="K398" s="168"/>
      <c r="L398" s="168"/>
      <c r="M398" s="168"/>
      <c r="N398" s="168"/>
      <c r="O398" s="168"/>
      <c r="P398" s="168"/>
      <c r="Q398" s="168"/>
      <c r="R398" s="168"/>
      <c r="S398" s="168"/>
      <c r="T398" s="168"/>
      <c r="U398" s="168"/>
      <c r="V398" s="168"/>
      <c r="W398" s="168"/>
      <c r="X398" s="167">
        <v>90477736.340000004</v>
      </c>
    </row>
    <row r="399" spans="1:24" ht="14.4" x14ac:dyDescent="0.3">
      <c r="A399" s="163" t="s">
        <v>247</v>
      </c>
      <c r="B399" s="164">
        <v>2013</v>
      </c>
      <c r="C399" s="167">
        <v>17546297.16</v>
      </c>
      <c r="D399" s="167">
        <v>75631592.979999989</v>
      </c>
      <c r="E399" s="167">
        <v>84872510.349999994</v>
      </c>
      <c r="F399" s="168"/>
      <c r="G399" s="168"/>
      <c r="H399" s="168"/>
      <c r="I399" s="168"/>
      <c r="J399" s="168"/>
      <c r="K399" s="168"/>
      <c r="L399" s="168"/>
      <c r="M399" s="168"/>
      <c r="N399" s="168"/>
      <c r="O399" s="168"/>
      <c r="P399" s="168"/>
      <c r="Q399" s="168"/>
      <c r="R399" s="168"/>
      <c r="S399" s="168"/>
      <c r="T399" s="168"/>
      <c r="U399" s="168"/>
      <c r="V399" s="168"/>
      <c r="W399" s="168"/>
      <c r="X399" s="167">
        <v>84872510.349999994</v>
      </c>
    </row>
    <row r="400" spans="1:24" ht="14.4" x14ac:dyDescent="0.3">
      <c r="A400" s="163" t="s">
        <v>247</v>
      </c>
      <c r="B400" s="164">
        <v>2014</v>
      </c>
      <c r="C400" s="167">
        <v>15421041.779999999</v>
      </c>
      <c r="D400" s="167">
        <v>74597264.620000005</v>
      </c>
      <c r="E400" s="168"/>
      <c r="F400" s="168"/>
      <c r="G400" s="168"/>
      <c r="H400" s="168"/>
      <c r="I400" s="168"/>
      <c r="J400" s="168"/>
      <c r="K400" s="168"/>
      <c r="L400" s="168"/>
      <c r="M400" s="168"/>
      <c r="N400" s="168"/>
      <c r="O400" s="168"/>
      <c r="P400" s="168"/>
      <c r="Q400" s="168"/>
      <c r="R400" s="168"/>
      <c r="S400" s="168"/>
      <c r="T400" s="168"/>
      <c r="U400" s="168"/>
      <c r="V400" s="168"/>
      <c r="W400" s="168"/>
      <c r="X400" s="167">
        <v>74597264.620000005</v>
      </c>
    </row>
    <row r="401" spans="1:24" ht="14.4" x14ac:dyDescent="0.3">
      <c r="A401" s="163" t="s">
        <v>247</v>
      </c>
      <c r="B401" s="164">
        <v>2015</v>
      </c>
      <c r="C401" s="167">
        <v>21592855.199999999</v>
      </c>
      <c r="D401" s="168"/>
      <c r="E401" s="168"/>
      <c r="F401" s="168"/>
      <c r="G401" s="168"/>
      <c r="H401" s="168"/>
      <c r="I401" s="168"/>
      <c r="J401" s="168"/>
      <c r="K401" s="168"/>
      <c r="L401" s="168"/>
      <c r="M401" s="168"/>
      <c r="N401" s="168"/>
      <c r="O401" s="168"/>
      <c r="P401" s="168"/>
      <c r="Q401" s="168"/>
      <c r="R401" s="168"/>
      <c r="S401" s="168"/>
      <c r="T401" s="168"/>
      <c r="U401" s="168"/>
      <c r="V401" s="168"/>
      <c r="W401" s="168"/>
      <c r="X401" s="167">
        <v>21592855.199999999</v>
      </c>
    </row>
    <row r="402" spans="1:24" ht="14.4" x14ac:dyDescent="0.3">
      <c r="A402" s="163" t="s">
        <v>248</v>
      </c>
      <c r="B402" s="164">
        <v>1995</v>
      </c>
      <c r="C402" s="167">
        <v>21484975.02</v>
      </c>
      <c r="D402" s="167">
        <v>79725778.469999999</v>
      </c>
      <c r="E402" s="167">
        <v>96627001.00999999</v>
      </c>
      <c r="F402" s="167">
        <v>109169528</v>
      </c>
      <c r="G402" s="167">
        <v>114707645.5</v>
      </c>
      <c r="H402" s="167">
        <v>118469637.89</v>
      </c>
      <c r="I402" s="167">
        <v>120380908.81</v>
      </c>
      <c r="J402" s="167">
        <v>119991561.21000001</v>
      </c>
      <c r="K402" s="167">
        <v>119682540.27000001</v>
      </c>
      <c r="L402" s="167">
        <v>119971482.89000002</v>
      </c>
      <c r="M402" s="167">
        <v>120430158.45999999</v>
      </c>
      <c r="N402" s="167">
        <v>121035410.88999999</v>
      </c>
      <c r="O402" s="167">
        <v>121364641.90000001</v>
      </c>
      <c r="P402" s="167">
        <v>121052643.48999999</v>
      </c>
      <c r="Q402" s="167">
        <v>121073236.97</v>
      </c>
      <c r="R402" s="167">
        <v>121185644.47</v>
      </c>
      <c r="S402" s="167">
        <v>121189444.83</v>
      </c>
      <c r="T402" s="167">
        <v>121196686.63</v>
      </c>
      <c r="U402" s="167">
        <v>121195786.12</v>
      </c>
      <c r="V402" s="167">
        <v>121195786.12</v>
      </c>
      <c r="W402" s="167">
        <v>121195786.12</v>
      </c>
      <c r="X402" s="167">
        <v>121195786.12</v>
      </c>
    </row>
    <row r="403" spans="1:24" ht="14.4" x14ac:dyDescent="0.3">
      <c r="A403" s="163" t="s">
        <v>248</v>
      </c>
      <c r="B403" s="164">
        <v>1996</v>
      </c>
      <c r="C403" s="167">
        <v>28401671.859999999</v>
      </c>
      <c r="D403" s="167">
        <v>68018589.700000003</v>
      </c>
      <c r="E403" s="167">
        <v>89246280.859999999</v>
      </c>
      <c r="F403" s="167">
        <v>102915108.78999999</v>
      </c>
      <c r="G403" s="167">
        <v>105953159.78</v>
      </c>
      <c r="H403" s="167">
        <v>110477907.47</v>
      </c>
      <c r="I403" s="167">
        <v>112130883.36</v>
      </c>
      <c r="J403" s="167">
        <v>112595564.61999999</v>
      </c>
      <c r="K403" s="167">
        <v>112439294.97999999</v>
      </c>
      <c r="L403" s="167">
        <v>112449805.36</v>
      </c>
      <c r="M403" s="167">
        <v>111943037.66</v>
      </c>
      <c r="N403" s="167">
        <v>111718248.47</v>
      </c>
      <c r="O403" s="167">
        <v>111764719.8</v>
      </c>
      <c r="P403" s="167">
        <v>111821807.2</v>
      </c>
      <c r="Q403" s="167">
        <v>111675578.37</v>
      </c>
      <c r="R403" s="167">
        <v>111635840.37</v>
      </c>
      <c r="S403" s="167">
        <v>111635840.37</v>
      </c>
      <c r="T403" s="167">
        <v>111635840.37</v>
      </c>
      <c r="U403" s="167">
        <v>111635840.37</v>
      </c>
      <c r="V403" s="167">
        <v>111635840.37</v>
      </c>
      <c r="W403" s="168"/>
      <c r="X403" s="167">
        <v>111635840.37</v>
      </c>
    </row>
    <row r="404" spans="1:24" ht="14.4" x14ac:dyDescent="0.3">
      <c r="A404" s="163" t="s">
        <v>248</v>
      </c>
      <c r="B404" s="164">
        <v>1997</v>
      </c>
      <c r="C404" s="167">
        <v>21690357.449999999</v>
      </c>
      <c r="D404" s="167">
        <v>64322471.329999998</v>
      </c>
      <c r="E404" s="167">
        <v>82743351.790000007</v>
      </c>
      <c r="F404" s="167">
        <v>92652428.289999992</v>
      </c>
      <c r="G404" s="167">
        <v>96472744.879999995</v>
      </c>
      <c r="H404" s="167">
        <v>96634420.859999999</v>
      </c>
      <c r="I404" s="167">
        <v>96662243.909999996</v>
      </c>
      <c r="J404" s="167">
        <v>96586173.069999993</v>
      </c>
      <c r="K404" s="167">
        <v>97218549.120000005</v>
      </c>
      <c r="L404" s="167">
        <v>97061912.5</v>
      </c>
      <c r="M404" s="167">
        <v>96832594.25999999</v>
      </c>
      <c r="N404" s="167">
        <v>96955611.590000004</v>
      </c>
      <c r="O404" s="167">
        <v>96949164.890000001</v>
      </c>
      <c r="P404" s="167">
        <v>96978682.760000005</v>
      </c>
      <c r="Q404" s="167">
        <v>96985908.760000005</v>
      </c>
      <c r="R404" s="167">
        <v>96829394.760000005</v>
      </c>
      <c r="S404" s="167">
        <v>96869169.379999995</v>
      </c>
      <c r="T404" s="167">
        <v>96882473.960000008</v>
      </c>
      <c r="U404" s="167">
        <v>96882473.960000008</v>
      </c>
      <c r="V404" s="168"/>
      <c r="W404" s="168"/>
      <c r="X404" s="167">
        <v>96882473.960000008</v>
      </c>
    </row>
    <row r="405" spans="1:24" ht="14.4" x14ac:dyDescent="0.3">
      <c r="A405" s="163" t="s">
        <v>248</v>
      </c>
      <c r="B405" s="164">
        <v>1998</v>
      </c>
      <c r="C405" s="167">
        <v>22981463.719999999</v>
      </c>
      <c r="D405" s="167">
        <v>61623883.020000003</v>
      </c>
      <c r="E405" s="167">
        <v>75826348.460000008</v>
      </c>
      <c r="F405" s="167">
        <v>82577619.299999997</v>
      </c>
      <c r="G405" s="167">
        <v>82930117.780000001</v>
      </c>
      <c r="H405" s="167">
        <v>86226290.150000006</v>
      </c>
      <c r="I405" s="167">
        <v>85609285.859999999</v>
      </c>
      <c r="J405" s="167">
        <v>86515777.069999993</v>
      </c>
      <c r="K405" s="167">
        <v>87260766.289999992</v>
      </c>
      <c r="L405" s="167">
        <v>87307339.359999999</v>
      </c>
      <c r="M405" s="167">
        <v>87279590.140000001</v>
      </c>
      <c r="N405" s="167">
        <v>88490477.590000004</v>
      </c>
      <c r="O405" s="167">
        <v>88273015.560000002</v>
      </c>
      <c r="P405" s="167">
        <v>88283985.359999999</v>
      </c>
      <c r="Q405" s="167">
        <v>88287236.539999992</v>
      </c>
      <c r="R405" s="167">
        <v>88286556.539999992</v>
      </c>
      <c r="S405" s="167">
        <v>88286556.539999992</v>
      </c>
      <c r="T405" s="167">
        <v>88286556.539999992</v>
      </c>
      <c r="U405" s="168"/>
      <c r="V405" s="168"/>
      <c r="W405" s="168"/>
      <c r="X405" s="167">
        <v>88286556.539999992</v>
      </c>
    </row>
    <row r="406" spans="1:24" ht="14.4" x14ac:dyDescent="0.3">
      <c r="A406" s="163" t="s">
        <v>248</v>
      </c>
      <c r="B406" s="164">
        <v>1999</v>
      </c>
      <c r="C406" s="167">
        <v>19648336.690000001</v>
      </c>
      <c r="D406" s="167">
        <v>52403754.5</v>
      </c>
      <c r="E406" s="167">
        <v>64346787.059999995</v>
      </c>
      <c r="F406" s="167">
        <v>70222828.24000001</v>
      </c>
      <c r="G406" s="167">
        <v>72336215.439999998</v>
      </c>
      <c r="H406" s="167">
        <v>75128265.840000004</v>
      </c>
      <c r="I406" s="167">
        <v>76212059.359999999</v>
      </c>
      <c r="J406" s="167">
        <v>76053854.599999994</v>
      </c>
      <c r="K406" s="167">
        <v>75953494.060000002</v>
      </c>
      <c r="L406" s="167">
        <v>76182151.129999995</v>
      </c>
      <c r="M406" s="167">
        <v>76730011.629999995</v>
      </c>
      <c r="N406" s="167">
        <v>76825622.75</v>
      </c>
      <c r="O406" s="167">
        <v>76883131.280000001</v>
      </c>
      <c r="P406" s="167">
        <v>76847069.780000001</v>
      </c>
      <c r="Q406" s="167">
        <v>77300498.400000006</v>
      </c>
      <c r="R406" s="167">
        <v>77927171.019999996</v>
      </c>
      <c r="S406" s="167">
        <v>77933449.659999996</v>
      </c>
      <c r="T406" s="168"/>
      <c r="U406" s="168"/>
      <c r="V406" s="168"/>
      <c r="W406" s="168"/>
      <c r="X406" s="167">
        <v>77933449.659999996</v>
      </c>
    </row>
    <row r="407" spans="1:24" ht="14.4" x14ac:dyDescent="0.3">
      <c r="A407" s="163" t="s">
        <v>248</v>
      </c>
      <c r="B407" s="164">
        <v>2000</v>
      </c>
      <c r="C407" s="167">
        <v>12122355.02</v>
      </c>
      <c r="D407" s="167">
        <v>36556633.539999999</v>
      </c>
      <c r="E407" s="167">
        <v>45119141.599999994</v>
      </c>
      <c r="F407" s="167">
        <v>49489005.300000004</v>
      </c>
      <c r="G407" s="167">
        <v>50408814.840000004</v>
      </c>
      <c r="H407" s="167">
        <v>50899588.170000002</v>
      </c>
      <c r="I407" s="167">
        <v>50161979.379999995</v>
      </c>
      <c r="J407" s="167">
        <v>50533990.790000007</v>
      </c>
      <c r="K407" s="167">
        <v>50863294.579999998</v>
      </c>
      <c r="L407" s="167">
        <v>50747726.099999994</v>
      </c>
      <c r="M407" s="167">
        <v>50774303.839999996</v>
      </c>
      <c r="N407" s="167">
        <v>50399878.030000001</v>
      </c>
      <c r="O407" s="167">
        <v>51117327.43</v>
      </c>
      <c r="P407" s="167">
        <v>51077872.009999998</v>
      </c>
      <c r="Q407" s="167">
        <v>51079432.509999998</v>
      </c>
      <c r="R407" s="167">
        <v>51079432.509999998</v>
      </c>
      <c r="S407" s="168"/>
      <c r="T407" s="168"/>
      <c r="U407" s="168"/>
      <c r="V407" s="168"/>
      <c r="W407" s="168"/>
      <c r="X407" s="167">
        <v>51079432.509999998</v>
      </c>
    </row>
    <row r="408" spans="1:24" ht="14.4" x14ac:dyDescent="0.3">
      <c r="A408" s="163" t="s">
        <v>248</v>
      </c>
      <c r="B408" s="164">
        <v>2001</v>
      </c>
      <c r="C408" s="167">
        <v>12387109.380000001</v>
      </c>
      <c r="D408" s="167">
        <v>30361837.309999999</v>
      </c>
      <c r="E408" s="167">
        <v>32051654.41</v>
      </c>
      <c r="F408" s="167">
        <v>36154016.269999996</v>
      </c>
      <c r="G408" s="167">
        <v>36339443.789999999</v>
      </c>
      <c r="H408" s="167">
        <v>36170804.539999999</v>
      </c>
      <c r="I408" s="167">
        <v>36996684.759999998</v>
      </c>
      <c r="J408" s="167">
        <v>36407232.909999996</v>
      </c>
      <c r="K408" s="167">
        <v>37637120.909999996</v>
      </c>
      <c r="L408" s="167">
        <v>37693925.140000001</v>
      </c>
      <c r="M408" s="167">
        <v>37840550.140000001</v>
      </c>
      <c r="N408" s="167">
        <v>37616656.259999998</v>
      </c>
      <c r="O408" s="167">
        <v>37645568.410000004</v>
      </c>
      <c r="P408" s="167">
        <v>37651328.329999998</v>
      </c>
      <c r="Q408" s="167">
        <v>37651328.329999998</v>
      </c>
      <c r="R408" s="168"/>
      <c r="S408" s="168"/>
      <c r="T408" s="168"/>
      <c r="U408" s="168"/>
      <c r="V408" s="168"/>
      <c r="W408" s="168"/>
      <c r="X408" s="167">
        <v>37651328.329999998</v>
      </c>
    </row>
    <row r="409" spans="1:24" ht="14.4" x14ac:dyDescent="0.3">
      <c r="A409" s="163" t="s">
        <v>248</v>
      </c>
      <c r="B409" s="164">
        <v>2002</v>
      </c>
      <c r="C409" s="167">
        <v>18105990.309999999</v>
      </c>
      <c r="D409" s="167">
        <v>42821356.830000006</v>
      </c>
      <c r="E409" s="167">
        <v>58162939.319999993</v>
      </c>
      <c r="F409" s="167">
        <v>71706454.670000002</v>
      </c>
      <c r="G409" s="167">
        <v>75793700.159999996</v>
      </c>
      <c r="H409" s="167">
        <v>77555638.980000004</v>
      </c>
      <c r="I409" s="167">
        <v>78752767.609999999</v>
      </c>
      <c r="J409" s="167">
        <v>78427650.859999999</v>
      </c>
      <c r="K409" s="167">
        <v>84412318.769999996</v>
      </c>
      <c r="L409" s="167">
        <v>85408596.469999999</v>
      </c>
      <c r="M409" s="167">
        <v>85313334.319999993</v>
      </c>
      <c r="N409" s="167">
        <v>85158144.670000002</v>
      </c>
      <c r="O409" s="167">
        <v>84965930.909999996</v>
      </c>
      <c r="P409" s="167">
        <v>84975203.140000001</v>
      </c>
      <c r="Q409" s="168"/>
      <c r="R409" s="168"/>
      <c r="S409" s="168"/>
      <c r="T409" s="168"/>
      <c r="U409" s="168"/>
      <c r="V409" s="168"/>
      <c r="W409" s="168"/>
      <c r="X409" s="167">
        <v>84975203.140000001</v>
      </c>
    </row>
    <row r="410" spans="1:24" ht="14.4" x14ac:dyDescent="0.3">
      <c r="A410" s="163" t="s">
        <v>248</v>
      </c>
      <c r="B410" s="164">
        <v>2003</v>
      </c>
      <c r="C410" s="167">
        <v>29000836.300000001</v>
      </c>
      <c r="D410" s="167">
        <v>65485044.149999999</v>
      </c>
      <c r="E410" s="167">
        <v>84502558.620000005</v>
      </c>
      <c r="F410" s="167">
        <v>88773554.719999999</v>
      </c>
      <c r="G410" s="167">
        <v>93480825.039999992</v>
      </c>
      <c r="H410" s="167">
        <v>91364656.319999993</v>
      </c>
      <c r="I410" s="167">
        <v>95486754.300000012</v>
      </c>
      <c r="J410" s="167">
        <v>98158250.599999994</v>
      </c>
      <c r="K410" s="167">
        <v>98717015.939999998</v>
      </c>
      <c r="L410" s="167">
        <v>98672805.189999998</v>
      </c>
      <c r="M410" s="167">
        <v>98696892.460000008</v>
      </c>
      <c r="N410" s="167">
        <v>98683838.870000005</v>
      </c>
      <c r="O410" s="167">
        <v>98693267.360000014</v>
      </c>
      <c r="P410" s="168"/>
      <c r="Q410" s="168"/>
      <c r="R410" s="168"/>
      <c r="S410" s="168"/>
      <c r="T410" s="168"/>
      <c r="U410" s="168"/>
      <c r="V410" s="168"/>
      <c r="W410" s="168"/>
      <c r="X410" s="167">
        <v>98693267.360000014</v>
      </c>
    </row>
    <row r="411" spans="1:24" ht="14.4" x14ac:dyDescent="0.3">
      <c r="A411" s="163" t="s">
        <v>248</v>
      </c>
      <c r="B411" s="164">
        <v>2004</v>
      </c>
      <c r="C411" s="167">
        <v>25292572.870000001</v>
      </c>
      <c r="D411" s="167">
        <v>82251652.719999999</v>
      </c>
      <c r="E411" s="167">
        <v>96169857.329999998</v>
      </c>
      <c r="F411" s="167">
        <v>99646300.370000005</v>
      </c>
      <c r="G411" s="167">
        <v>99467668.170000002</v>
      </c>
      <c r="H411" s="167">
        <v>100958775.2</v>
      </c>
      <c r="I411" s="167">
        <v>104780218.73</v>
      </c>
      <c r="J411" s="167">
        <v>106457600.99000001</v>
      </c>
      <c r="K411" s="167">
        <v>104866656.23999999</v>
      </c>
      <c r="L411" s="167">
        <v>105357746.34999999</v>
      </c>
      <c r="M411" s="167">
        <v>108426126.68000001</v>
      </c>
      <c r="N411" s="167">
        <v>108008336.09</v>
      </c>
      <c r="O411" s="168"/>
      <c r="P411" s="168"/>
      <c r="Q411" s="168"/>
      <c r="R411" s="168"/>
      <c r="S411" s="168"/>
      <c r="T411" s="168"/>
      <c r="U411" s="168"/>
      <c r="V411" s="168"/>
      <c r="W411" s="168"/>
      <c r="X411" s="167">
        <v>108008336.09</v>
      </c>
    </row>
    <row r="412" spans="1:24" ht="14.4" x14ac:dyDescent="0.3">
      <c r="A412" s="163" t="s">
        <v>248</v>
      </c>
      <c r="B412" s="164">
        <v>2005</v>
      </c>
      <c r="C412" s="167">
        <v>39742805.379999995</v>
      </c>
      <c r="D412" s="167">
        <v>78569210.699999988</v>
      </c>
      <c r="E412" s="167">
        <v>88720519.180000007</v>
      </c>
      <c r="F412" s="167">
        <v>100333699.63</v>
      </c>
      <c r="G412" s="167">
        <v>106555634.31999999</v>
      </c>
      <c r="H412" s="167">
        <v>113264793.46000001</v>
      </c>
      <c r="I412" s="167">
        <v>116486817.10999998</v>
      </c>
      <c r="J412" s="167">
        <v>114645409.66</v>
      </c>
      <c r="K412" s="167">
        <v>118407064.41</v>
      </c>
      <c r="L412" s="167">
        <v>114678281.92</v>
      </c>
      <c r="M412" s="167">
        <v>114773497.21000001</v>
      </c>
      <c r="N412" s="168"/>
      <c r="O412" s="168"/>
      <c r="P412" s="168"/>
      <c r="Q412" s="168"/>
      <c r="R412" s="168"/>
      <c r="S412" s="168"/>
      <c r="T412" s="168"/>
      <c r="U412" s="168"/>
      <c r="V412" s="168"/>
      <c r="W412" s="168"/>
      <c r="X412" s="167">
        <v>114773497.21000001</v>
      </c>
    </row>
    <row r="413" spans="1:24" ht="14.4" x14ac:dyDescent="0.3">
      <c r="A413" s="163" t="s">
        <v>248</v>
      </c>
      <c r="B413" s="164">
        <v>2006</v>
      </c>
      <c r="C413" s="167">
        <v>28965946.400000002</v>
      </c>
      <c r="D413" s="167">
        <v>74542423.079999998</v>
      </c>
      <c r="E413" s="167">
        <v>88064424.280000001</v>
      </c>
      <c r="F413" s="167">
        <v>99653996.400000006</v>
      </c>
      <c r="G413" s="167">
        <v>107478510.23999999</v>
      </c>
      <c r="H413" s="167">
        <v>109722338.61</v>
      </c>
      <c r="I413" s="167">
        <v>109755197.06999999</v>
      </c>
      <c r="J413" s="167">
        <v>111158380.22</v>
      </c>
      <c r="K413" s="167">
        <v>112827390.48</v>
      </c>
      <c r="L413" s="167">
        <v>114268715.93000001</v>
      </c>
      <c r="M413" s="168"/>
      <c r="N413" s="168"/>
      <c r="O413" s="168"/>
      <c r="P413" s="168"/>
      <c r="Q413" s="168"/>
      <c r="R413" s="168"/>
      <c r="S413" s="168"/>
      <c r="T413" s="168"/>
      <c r="U413" s="168"/>
      <c r="V413" s="168"/>
      <c r="W413" s="168"/>
      <c r="X413" s="167">
        <v>114268715.93000001</v>
      </c>
    </row>
    <row r="414" spans="1:24" ht="14.4" x14ac:dyDescent="0.3">
      <c r="A414" s="163" t="s">
        <v>248</v>
      </c>
      <c r="B414" s="164">
        <v>2007</v>
      </c>
      <c r="C414" s="167">
        <v>32796211.049999997</v>
      </c>
      <c r="D414" s="167">
        <v>82153915.429999992</v>
      </c>
      <c r="E414" s="167">
        <v>97147727.239999995</v>
      </c>
      <c r="F414" s="167">
        <v>106160623.41</v>
      </c>
      <c r="G414" s="167">
        <v>110996001.51000001</v>
      </c>
      <c r="H414" s="167">
        <v>112919296.59999999</v>
      </c>
      <c r="I414" s="167">
        <v>115513641.25</v>
      </c>
      <c r="J414" s="167">
        <v>116711838.53999999</v>
      </c>
      <c r="K414" s="167">
        <v>116749984.39</v>
      </c>
      <c r="L414" s="168"/>
      <c r="M414" s="168"/>
      <c r="N414" s="168"/>
      <c r="O414" s="168"/>
      <c r="P414" s="168"/>
      <c r="Q414" s="168"/>
      <c r="R414" s="168"/>
      <c r="S414" s="168"/>
      <c r="T414" s="168"/>
      <c r="U414" s="168"/>
      <c r="V414" s="168"/>
      <c r="W414" s="168"/>
      <c r="X414" s="167">
        <v>116749984.39</v>
      </c>
    </row>
    <row r="415" spans="1:24" ht="14.4" x14ac:dyDescent="0.3">
      <c r="A415" s="163" t="s">
        <v>248</v>
      </c>
      <c r="B415" s="164">
        <v>2008</v>
      </c>
      <c r="C415" s="167">
        <v>32844893.830000002</v>
      </c>
      <c r="D415" s="167">
        <v>84627944.719999999</v>
      </c>
      <c r="E415" s="167">
        <v>106185751.28999999</v>
      </c>
      <c r="F415" s="167">
        <v>119207386.09</v>
      </c>
      <c r="G415" s="167">
        <v>124493620.3</v>
      </c>
      <c r="H415" s="167">
        <v>127659312.66</v>
      </c>
      <c r="I415" s="167">
        <v>128537306.85000001</v>
      </c>
      <c r="J415" s="167">
        <v>130684420.94</v>
      </c>
      <c r="K415" s="168"/>
      <c r="L415" s="168"/>
      <c r="M415" s="168"/>
      <c r="N415" s="168"/>
      <c r="O415" s="168"/>
      <c r="P415" s="168"/>
      <c r="Q415" s="168"/>
      <c r="R415" s="168"/>
      <c r="S415" s="168"/>
      <c r="T415" s="168"/>
      <c r="U415" s="168"/>
      <c r="V415" s="168"/>
      <c r="W415" s="168"/>
      <c r="X415" s="167">
        <v>130684420.94</v>
      </c>
    </row>
    <row r="416" spans="1:24" ht="14.4" x14ac:dyDescent="0.3">
      <c r="A416" s="163" t="s">
        <v>248</v>
      </c>
      <c r="B416" s="164">
        <v>2009</v>
      </c>
      <c r="C416" s="167">
        <v>35356210.390000001</v>
      </c>
      <c r="D416" s="167">
        <v>105330027.23999999</v>
      </c>
      <c r="E416" s="167">
        <v>130667814.62</v>
      </c>
      <c r="F416" s="167">
        <v>149259954.49000001</v>
      </c>
      <c r="G416" s="167">
        <v>157557914.98000002</v>
      </c>
      <c r="H416" s="167">
        <v>165025391.77000001</v>
      </c>
      <c r="I416" s="167">
        <v>168408419.30000001</v>
      </c>
      <c r="J416" s="168"/>
      <c r="K416" s="168"/>
      <c r="L416" s="168"/>
      <c r="M416" s="168"/>
      <c r="N416" s="168"/>
      <c r="O416" s="168"/>
      <c r="P416" s="168"/>
      <c r="Q416" s="168"/>
      <c r="R416" s="168"/>
      <c r="S416" s="168"/>
      <c r="T416" s="168"/>
      <c r="U416" s="168"/>
      <c r="V416" s="168"/>
      <c r="W416" s="168"/>
      <c r="X416" s="167">
        <v>168408419.30000001</v>
      </c>
    </row>
    <row r="417" spans="1:24" ht="14.4" x14ac:dyDescent="0.3">
      <c r="A417" s="163" t="s">
        <v>248</v>
      </c>
      <c r="B417" s="164">
        <v>2010</v>
      </c>
      <c r="C417" s="167">
        <v>28197149.879999999</v>
      </c>
      <c r="D417" s="167">
        <v>105117100.16</v>
      </c>
      <c r="E417" s="167">
        <v>137802656.64000002</v>
      </c>
      <c r="F417" s="167">
        <v>154743369.31</v>
      </c>
      <c r="G417" s="167">
        <v>164945021</v>
      </c>
      <c r="H417" s="167">
        <v>165153461.43000001</v>
      </c>
      <c r="I417" s="168"/>
      <c r="J417" s="168"/>
      <c r="K417" s="168"/>
      <c r="L417" s="168"/>
      <c r="M417" s="168"/>
      <c r="N417" s="168"/>
      <c r="O417" s="168"/>
      <c r="P417" s="168"/>
      <c r="Q417" s="168"/>
      <c r="R417" s="168"/>
      <c r="S417" s="168"/>
      <c r="T417" s="168"/>
      <c r="U417" s="168"/>
      <c r="V417" s="168"/>
      <c r="W417" s="168"/>
      <c r="X417" s="167">
        <v>165153461.43000001</v>
      </c>
    </row>
    <row r="418" spans="1:24" ht="14.4" x14ac:dyDescent="0.3">
      <c r="A418" s="163" t="s">
        <v>248</v>
      </c>
      <c r="B418" s="164">
        <v>2011</v>
      </c>
      <c r="C418" s="167">
        <v>34037800.82</v>
      </c>
      <c r="D418" s="167">
        <v>106025411</v>
      </c>
      <c r="E418" s="167">
        <v>131267020.85000001</v>
      </c>
      <c r="F418" s="167">
        <v>146854778.21000001</v>
      </c>
      <c r="G418" s="167">
        <v>158385880.68000001</v>
      </c>
      <c r="H418" s="168"/>
      <c r="I418" s="168"/>
      <c r="J418" s="168"/>
      <c r="K418" s="168"/>
      <c r="L418" s="168"/>
      <c r="M418" s="168"/>
      <c r="N418" s="168"/>
      <c r="O418" s="168"/>
      <c r="P418" s="168"/>
      <c r="Q418" s="168"/>
      <c r="R418" s="168"/>
      <c r="S418" s="168"/>
      <c r="T418" s="168"/>
      <c r="U418" s="168"/>
      <c r="V418" s="168"/>
      <c r="W418" s="168"/>
      <c r="X418" s="167">
        <v>158385880.68000001</v>
      </c>
    </row>
    <row r="419" spans="1:24" ht="14.4" x14ac:dyDescent="0.3">
      <c r="A419" s="163" t="s">
        <v>248</v>
      </c>
      <c r="B419" s="164">
        <v>2012</v>
      </c>
      <c r="C419" s="167">
        <v>27487721.98</v>
      </c>
      <c r="D419" s="167">
        <v>118584030.65000001</v>
      </c>
      <c r="E419" s="167">
        <v>141235152.19</v>
      </c>
      <c r="F419" s="167">
        <v>167104302.84999999</v>
      </c>
      <c r="G419" s="168"/>
      <c r="H419" s="168"/>
      <c r="I419" s="168"/>
      <c r="J419" s="168"/>
      <c r="K419" s="168"/>
      <c r="L419" s="168"/>
      <c r="M419" s="168"/>
      <c r="N419" s="168"/>
      <c r="O419" s="168"/>
      <c r="P419" s="168"/>
      <c r="Q419" s="168"/>
      <c r="R419" s="168"/>
      <c r="S419" s="168"/>
      <c r="T419" s="168"/>
      <c r="U419" s="168"/>
      <c r="V419" s="168"/>
      <c r="W419" s="168"/>
      <c r="X419" s="167">
        <v>167104302.84999999</v>
      </c>
    </row>
    <row r="420" spans="1:24" ht="14.4" x14ac:dyDescent="0.3">
      <c r="A420" s="163" t="s">
        <v>248</v>
      </c>
      <c r="B420" s="164">
        <v>2013</v>
      </c>
      <c r="C420" s="167">
        <v>28481073.420000002</v>
      </c>
      <c r="D420" s="167">
        <v>111902449.23999999</v>
      </c>
      <c r="E420" s="167">
        <v>128813304.69</v>
      </c>
      <c r="F420" s="168"/>
      <c r="G420" s="168"/>
      <c r="H420" s="168"/>
      <c r="I420" s="168"/>
      <c r="J420" s="168"/>
      <c r="K420" s="168"/>
      <c r="L420" s="168"/>
      <c r="M420" s="168"/>
      <c r="N420" s="168"/>
      <c r="O420" s="168"/>
      <c r="P420" s="168"/>
      <c r="Q420" s="168"/>
      <c r="R420" s="168"/>
      <c r="S420" s="168"/>
      <c r="T420" s="168"/>
      <c r="U420" s="168"/>
      <c r="V420" s="168"/>
      <c r="W420" s="168"/>
      <c r="X420" s="167">
        <v>128813304.69</v>
      </c>
    </row>
    <row r="421" spans="1:24" ht="14.4" x14ac:dyDescent="0.3">
      <c r="A421" s="163" t="s">
        <v>248</v>
      </c>
      <c r="B421" s="164">
        <v>2014</v>
      </c>
      <c r="C421" s="167">
        <v>34385275.100000001</v>
      </c>
      <c r="D421" s="167">
        <v>122467995.47</v>
      </c>
      <c r="E421" s="168"/>
      <c r="F421" s="168"/>
      <c r="G421" s="168"/>
      <c r="H421" s="168"/>
      <c r="I421" s="168"/>
      <c r="J421" s="168"/>
      <c r="K421" s="168"/>
      <c r="L421" s="168"/>
      <c r="M421" s="168"/>
      <c r="N421" s="168"/>
      <c r="O421" s="168"/>
      <c r="P421" s="168"/>
      <c r="Q421" s="168"/>
      <c r="R421" s="168"/>
      <c r="S421" s="168"/>
      <c r="T421" s="168"/>
      <c r="U421" s="168"/>
      <c r="V421" s="168"/>
      <c r="W421" s="168"/>
      <c r="X421" s="167">
        <v>122467995.47</v>
      </c>
    </row>
    <row r="422" spans="1:24" ht="14.4" x14ac:dyDescent="0.3">
      <c r="A422" s="163" t="s">
        <v>248</v>
      </c>
      <c r="B422" s="164">
        <v>2015</v>
      </c>
      <c r="C422" s="167">
        <v>36063392.229999997</v>
      </c>
      <c r="D422" s="168"/>
      <c r="E422" s="168"/>
      <c r="F422" s="168"/>
      <c r="G422" s="168"/>
      <c r="H422" s="168"/>
      <c r="I422" s="168"/>
      <c r="J422" s="168"/>
      <c r="K422" s="168"/>
      <c r="L422" s="168"/>
      <c r="M422" s="168"/>
      <c r="N422" s="168"/>
      <c r="O422" s="168"/>
      <c r="P422" s="168"/>
      <c r="Q422" s="168"/>
      <c r="R422" s="168"/>
      <c r="S422" s="168"/>
      <c r="T422" s="168"/>
      <c r="U422" s="168"/>
      <c r="V422" s="168"/>
      <c r="W422" s="168"/>
      <c r="X422" s="167">
        <v>36063392.229999997</v>
      </c>
    </row>
    <row r="423" spans="1:24" ht="14.4" x14ac:dyDescent="0.3">
      <c r="A423" s="163" t="s">
        <v>249</v>
      </c>
      <c r="B423" s="164">
        <v>1995</v>
      </c>
      <c r="C423" s="167">
        <v>10000</v>
      </c>
      <c r="D423" s="167">
        <v>20000</v>
      </c>
      <c r="E423" s="167">
        <v>10000</v>
      </c>
      <c r="F423" s="167">
        <v>0</v>
      </c>
      <c r="G423" s="167">
        <v>0</v>
      </c>
      <c r="H423" s="167">
        <v>10001.44</v>
      </c>
      <c r="I423" s="167">
        <v>10001.44</v>
      </c>
      <c r="J423" s="167">
        <v>10001.44</v>
      </c>
      <c r="K423" s="167">
        <v>1.44</v>
      </c>
      <c r="L423" s="167">
        <v>1.44</v>
      </c>
      <c r="M423" s="167">
        <v>1.44</v>
      </c>
      <c r="N423" s="167">
        <v>1.44</v>
      </c>
      <c r="O423" s="167">
        <v>1.44</v>
      </c>
      <c r="P423" s="167">
        <v>1.44</v>
      </c>
      <c r="Q423" s="167">
        <v>1.44</v>
      </c>
      <c r="R423" s="167">
        <v>1.44</v>
      </c>
      <c r="S423" s="167">
        <v>1.44</v>
      </c>
      <c r="T423" s="167">
        <v>1.44</v>
      </c>
      <c r="U423" s="167">
        <v>1.44</v>
      </c>
      <c r="V423" s="167">
        <v>1.44</v>
      </c>
      <c r="W423" s="167">
        <v>1.44</v>
      </c>
      <c r="X423" s="167">
        <v>1.44</v>
      </c>
    </row>
    <row r="424" spans="1:24" ht="14.4" x14ac:dyDescent="0.3">
      <c r="A424" s="163" t="s">
        <v>249</v>
      </c>
      <c r="B424" s="164">
        <v>1996</v>
      </c>
      <c r="C424" s="167">
        <v>910857.32</v>
      </c>
      <c r="D424" s="167">
        <v>3081584.98</v>
      </c>
      <c r="E424" s="167">
        <v>2232326.69</v>
      </c>
      <c r="F424" s="167">
        <v>2269927.91</v>
      </c>
      <c r="G424" s="167">
        <v>2212471.7400000002</v>
      </c>
      <c r="H424" s="167">
        <v>2050231.79</v>
      </c>
      <c r="I424" s="167">
        <v>2054265.3900000001</v>
      </c>
      <c r="J424" s="167">
        <v>2054244.3900000001</v>
      </c>
      <c r="K424" s="167">
        <v>2044245.3900000001</v>
      </c>
      <c r="L424" s="167">
        <v>2044245.3900000001</v>
      </c>
      <c r="M424" s="167">
        <v>2044245.3900000001</v>
      </c>
      <c r="N424" s="167">
        <v>2044243.3900000001</v>
      </c>
      <c r="O424" s="167">
        <v>2044243.3900000001</v>
      </c>
      <c r="P424" s="167">
        <v>2044243.3900000001</v>
      </c>
      <c r="Q424" s="167">
        <v>2044243.3900000001</v>
      </c>
      <c r="R424" s="167">
        <v>2044243.3900000001</v>
      </c>
      <c r="S424" s="167">
        <v>2044243.3900000001</v>
      </c>
      <c r="T424" s="167">
        <v>2044243.3900000001</v>
      </c>
      <c r="U424" s="167">
        <v>2044243.3900000001</v>
      </c>
      <c r="V424" s="167">
        <v>2044243.3900000001</v>
      </c>
      <c r="W424" s="168"/>
      <c r="X424" s="167">
        <v>2044243.3900000001</v>
      </c>
    </row>
    <row r="425" spans="1:24" ht="14.4" x14ac:dyDescent="0.3">
      <c r="A425" s="163" t="s">
        <v>249</v>
      </c>
      <c r="B425" s="164">
        <v>1997</v>
      </c>
      <c r="C425" s="167">
        <v>4053714.07</v>
      </c>
      <c r="D425" s="167">
        <v>9847494.8899999987</v>
      </c>
      <c r="E425" s="167">
        <v>14251886.119999999</v>
      </c>
      <c r="F425" s="167">
        <v>15001828.289999999</v>
      </c>
      <c r="G425" s="167">
        <v>14550133.209999999</v>
      </c>
      <c r="H425" s="167">
        <v>16545422.85</v>
      </c>
      <c r="I425" s="167">
        <v>16556350.299999999</v>
      </c>
      <c r="J425" s="167">
        <v>16860796.809999999</v>
      </c>
      <c r="K425" s="167">
        <v>16877850.559999999</v>
      </c>
      <c r="L425" s="167">
        <v>16891240.48</v>
      </c>
      <c r="M425" s="167">
        <v>16889774.48</v>
      </c>
      <c r="N425" s="167">
        <v>16323722.219999999</v>
      </c>
      <c r="O425" s="167">
        <v>16179367.050000001</v>
      </c>
      <c r="P425" s="167">
        <v>16179367.050000001</v>
      </c>
      <c r="Q425" s="167">
        <v>16179367.050000001</v>
      </c>
      <c r="R425" s="167">
        <v>16179367.050000001</v>
      </c>
      <c r="S425" s="167">
        <v>16179367.050000001</v>
      </c>
      <c r="T425" s="167">
        <v>16179367.050000001</v>
      </c>
      <c r="U425" s="167">
        <v>16179367.050000001</v>
      </c>
      <c r="V425" s="168"/>
      <c r="W425" s="168"/>
      <c r="X425" s="167">
        <v>16179367.050000001</v>
      </c>
    </row>
    <row r="426" spans="1:24" ht="14.4" x14ac:dyDescent="0.3">
      <c r="A426" s="163" t="s">
        <v>249</v>
      </c>
      <c r="B426" s="164">
        <v>1998</v>
      </c>
      <c r="C426" s="167">
        <v>8674590.1400000006</v>
      </c>
      <c r="D426" s="167">
        <v>17595627.350000001</v>
      </c>
      <c r="E426" s="167">
        <v>21188986.699999999</v>
      </c>
      <c r="F426" s="167">
        <v>24839467.82</v>
      </c>
      <c r="G426" s="167">
        <v>23734731.279999997</v>
      </c>
      <c r="H426" s="167">
        <v>25104569.890000001</v>
      </c>
      <c r="I426" s="167">
        <v>25769335.609999999</v>
      </c>
      <c r="J426" s="167">
        <v>25951844.559999999</v>
      </c>
      <c r="K426" s="167">
        <v>25999538.720000003</v>
      </c>
      <c r="L426" s="167">
        <v>26877540.080000002</v>
      </c>
      <c r="M426" s="167">
        <v>31386925.82</v>
      </c>
      <c r="N426" s="167">
        <v>29598585.300000001</v>
      </c>
      <c r="O426" s="167">
        <v>29598583.300000001</v>
      </c>
      <c r="P426" s="167">
        <v>29598583.300000001</v>
      </c>
      <c r="Q426" s="167">
        <v>29598583.300000001</v>
      </c>
      <c r="R426" s="167">
        <v>29598583.300000001</v>
      </c>
      <c r="S426" s="167">
        <v>29598582.300000001</v>
      </c>
      <c r="T426" s="167">
        <v>29598582.300000001</v>
      </c>
      <c r="U426" s="168"/>
      <c r="V426" s="168"/>
      <c r="W426" s="168"/>
      <c r="X426" s="167">
        <v>29598582.300000001</v>
      </c>
    </row>
    <row r="427" spans="1:24" ht="14.4" x14ac:dyDescent="0.3">
      <c r="A427" s="163" t="s">
        <v>249</v>
      </c>
      <c r="B427" s="164">
        <v>1999</v>
      </c>
      <c r="C427" s="167">
        <v>14704205.35</v>
      </c>
      <c r="D427" s="167">
        <v>16717226.73</v>
      </c>
      <c r="E427" s="167">
        <v>22244329.530000001</v>
      </c>
      <c r="F427" s="167">
        <v>20744707.190000001</v>
      </c>
      <c r="G427" s="167">
        <v>25816779.550000001</v>
      </c>
      <c r="H427" s="167">
        <v>26921833.600000001</v>
      </c>
      <c r="I427" s="167">
        <v>26747103.829999998</v>
      </c>
      <c r="J427" s="167">
        <v>26805999.710000001</v>
      </c>
      <c r="K427" s="167">
        <v>26670321.640000001</v>
      </c>
      <c r="L427" s="167">
        <v>27732017.689999998</v>
      </c>
      <c r="M427" s="167">
        <v>27146029.109999999</v>
      </c>
      <c r="N427" s="167">
        <v>27356029.300000001</v>
      </c>
      <c r="O427" s="167">
        <v>27261249.300000001</v>
      </c>
      <c r="P427" s="167">
        <v>27261248.300000001</v>
      </c>
      <c r="Q427" s="167">
        <v>27051248.300000001</v>
      </c>
      <c r="R427" s="167">
        <v>27051248.300000001</v>
      </c>
      <c r="S427" s="167">
        <v>30051248.48</v>
      </c>
      <c r="T427" s="168"/>
      <c r="U427" s="168"/>
      <c r="V427" s="168"/>
      <c r="W427" s="168"/>
      <c r="X427" s="167">
        <v>30051248.48</v>
      </c>
    </row>
    <row r="428" spans="1:24" ht="14.4" x14ac:dyDescent="0.3">
      <c r="A428" s="163" t="s">
        <v>249</v>
      </c>
      <c r="B428" s="164">
        <v>2000</v>
      </c>
      <c r="C428" s="167">
        <v>5044789.3500000006</v>
      </c>
      <c r="D428" s="167">
        <v>14400388.609999999</v>
      </c>
      <c r="E428" s="167">
        <v>20007980.489999998</v>
      </c>
      <c r="F428" s="167">
        <v>32946407.210000001</v>
      </c>
      <c r="G428" s="167">
        <v>38089030</v>
      </c>
      <c r="H428" s="167">
        <v>41226007.769999996</v>
      </c>
      <c r="I428" s="167">
        <v>41302601.769999996</v>
      </c>
      <c r="J428" s="167">
        <v>43770102.600000001</v>
      </c>
      <c r="K428" s="167">
        <v>46398189.75</v>
      </c>
      <c r="L428" s="167">
        <v>48093646.140000001</v>
      </c>
      <c r="M428" s="167">
        <v>49068670.359999999</v>
      </c>
      <c r="N428" s="167">
        <v>51247929.210000001</v>
      </c>
      <c r="O428" s="167">
        <v>51247928.609999999</v>
      </c>
      <c r="P428" s="167">
        <v>51247969.390000001</v>
      </c>
      <c r="Q428" s="167">
        <v>51248371.859999999</v>
      </c>
      <c r="R428" s="167">
        <v>48848371.780000001</v>
      </c>
      <c r="S428" s="168"/>
      <c r="T428" s="168"/>
      <c r="U428" s="168"/>
      <c r="V428" s="168"/>
      <c r="W428" s="168"/>
      <c r="X428" s="167">
        <v>48848371.780000001</v>
      </c>
    </row>
    <row r="429" spans="1:24" ht="14.4" x14ac:dyDescent="0.3">
      <c r="A429" s="163" t="s">
        <v>249</v>
      </c>
      <c r="B429" s="164">
        <v>2001</v>
      </c>
      <c r="C429" s="167">
        <v>5618908.71</v>
      </c>
      <c r="D429" s="167">
        <v>13848495.57</v>
      </c>
      <c r="E429" s="167">
        <v>27957996.719999999</v>
      </c>
      <c r="F429" s="167">
        <v>32283426.599999998</v>
      </c>
      <c r="G429" s="167">
        <v>65291217.420000002</v>
      </c>
      <c r="H429" s="167">
        <v>45406567.990000002</v>
      </c>
      <c r="I429" s="167">
        <v>49432175.660000004</v>
      </c>
      <c r="J429" s="167">
        <v>51998597.630000003</v>
      </c>
      <c r="K429" s="167">
        <v>63170781.600000001</v>
      </c>
      <c r="L429" s="167">
        <v>63515894.530000001</v>
      </c>
      <c r="M429" s="167">
        <v>62734312.940000013</v>
      </c>
      <c r="N429" s="167">
        <v>58473897.890000001</v>
      </c>
      <c r="O429" s="167">
        <v>57415861.390000001</v>
      </c>
      <c r="P429" s="167">
        <v>57418483.380000003</v>
      </c>
      <c r="Q429" s="167">
        <v>57893482.979999997</v>
      </c>
      <c r="R429" s="168"/>
      <c r="S429" s="168"/>
      <c r="T429" s="168"/>
      <c r="U429" s="168"/>
      <c r="V429" s="168"/>
      <c r="W429" s="168"/>
      <c r="X429" s="167">
        <v>57893482.979999997</v>
      </c>
    </row>
    <row r="430" spans="1:24" ht="14.4" x14ac:dyDescent="0.3">
      <c r="A430" s="163" t="s">
        <v>249</v>
      </c>
      <c r="B430" s="164">
        <v>2002</v>
      </c>
      <c r="C430" s="167">
        <v>2887831.4699999997</v>
      </c>
      <c r="D430" s="167">
        <v>17904366.030000001</v>
      </c>
      <c r="E430" s="167">
        <v>23842071.009999998</v>
      </c>
      <c r="F430" s="167">
        <v>36688712.989999995</v>
      </c>
      <c r="G430" s="167">
        <v>44878817.730000004</v>
      </c>
      <c r="H430" s="167">
        <v>77799026.310000002</v>
      </c>
      <c r="I430" s="167">
        <v>70109720.870000005</v>
      </c>
      <c r="J430" s="167">
        <v>66558863.349999994</v>
      </c>
      <c r="K430" s="167">
        <v>63784107.990000002</v>
      </c>
      <c r="L430" s="167">
        <v>62725886.07</v>
      </c>
      <c r="M430" s="167">
        <v>65253269.82</v>
      </c>
      <c r="N430" s="167">
        <v>65185938.810000002</v>
      </c>
      <c r="O430" s="167">
        <v>65548590.460000008</v>
      </c>
      <c r="P430" s="167">
        <v>66298587.890000001</v>
      </c>
      <c r="Q430" s="168"/>
      <c r="R430" s="168"/>
      <c r="S430" s="168"/>
      <c r="T430" s="168"/>
      <c r="U430" s="168"/>
      <c r="V430" s="168"/>
      <c r="W430" s="168"/>
      <c r="X430" s="167">
        <v>66298587.890000001</v>
      </c>
    </row>
    <row r="431" spans="1:24" ht="14.4" x14ac:dyDescent="0.3">
      <c r="A431" s="163" t="s">
        <v>249</v>
      </c>
      <c r="B431" s="164">
        <v>2003</v>
      </c>
      <c r="C431" s="167">
        <v>2401945.19</v>
      </c>
      <c r="D431" s="167">
        <v>15346335</v>
      </c>
      <c r="E431" s="167">
        <v>25527011.310000002</v>
      </c>
      <c r="F431" s="167">
        <v>37275023.149999999</v>
      </c>
      <c r="G431" s="167">
        <v>42567835.060000002</v>
      </c>
      <c r="H431" s="167">
        <v>51718945.740000002</v>
      </c>
      <c r="I431" s="167">
        <v>50444302.039999999</v>
      </c>
      <c r="J431" s="167">
        <v>53079859.399999999</v>
      </c>
      <c r="K431" s="167">
        <v>55091534.340000004</v>
      </c>
      <c r="L431" s="167">
        <v>55871541.030000001</v>
      </c>
      <c r="M431" s="167">
        <v>54888160.799999997</v>
      </c>
      <c r="N431" s="167">
        <v>55158014.25</v>
      </c>
      <c r="O431" s="167">
        <v>55261628.850000001</v>
      </c>
      <c r="P431" s="168"/>
      <c r="Q431" s="168"/>
      <c r="R431" s="168"/>
      <c r="S431" s="168"/>
      <c r="T431" s="168"/>
      <c r="U431" s="168"/>
      <c r="V431" s="168"/>
      <c r="W431" s="168"/>
      <c r="X431" s="167">
        <v>55261628.850000001</v>
      </c>
    </row>
    <row r="432" spans="1:24" ht="14.4" x14ac:dyDescent="0.3">
      <c r="A432" s="163" t="s">
        <v>249</v>
      </c>
      <c r="B432" s="164">
        <v>2004</v>
      </c>
      <c r="C432" s="167">
        <v>671918.22</v>
      </c>
      <c r="D432" s="167">
        <v>7815555.5499999998</v>
      </c>
      <c r="E432" s="167">
        <v>13308877.809999999</v>
      </c>
      <c r="F432" s="167">
        <v>14808097.32</v>
      </c>
      <c r="G432" s="167">
        <v>19579259.799999997</v>
      </c>
      <c r="H432" s="167">
        <v>19126010.560000002</v>
      </c>
      <c r="I432" s="167">
        <v>33387608.609999999</v>
      </c>
      <c r="J432" s="167">
        <v>39747508.439999998</v>
      </c>
      <c r="K432" s="167">
        <v>39313953.490000002</v>
      </c>
      <c r="L432" s="167">
        <v>39954546.25</v>
      </c>
      <c r="M432" s="167">
        <v>39955651.969999999</v>
      </c>
      <c r="N432" s="167">
        <v>38815736.5</v>
      </c>
      <c r="O432" s="168"/>
      <c r="P432" s="168"/>
      <c r="Q432" s="168"/>
      <c r="R432" s="168"/>
      <c r="S432" s="168"/>
      <c r="T432" s="168"/>
      <c r="U432" s="168"/>
      <c r="V432" s="168"/>
      <c r="W432" s="168"/>
      <c r="X432" s="167">
        <v>38815736.5</v>
      </c>
    </row>
    <row r="433" spans="1:24" ht="14.4" x14ac:dyDescent="0.3">
      <c r="A433" s="163" t="s">
        <v>249</v>
      </c>
      <c r="B433" s="164">
        <v>2005</v>
      </c>
      <c r="C433" s="167">
        <v>2717347.21</v>
      </c>
      <c r="D433" s="167">
        <v>15643773.51</v>
      </c>
      <c r="E433" s="167">
        <v>35169052.580000006</v>
      </c>
      <c r="F433" s="167">
        <v>46835156.900000006</v>
      </c>
      <c r="G433" s="167">
        <v>53673702.75</v>
      </c>
      <c r="H433" s="167">
        <v>55754258.909999996</v>
      </c>
      <c r="I433" s="167">
        <v>57755287.43</v>
      </c>
      <c r="J433" s="167">
        <v>57035495.990000002</v>
      </c>
      <c r="K433" s="167">
        <v>56915013.829999998</v>
      </c>
      <c r="L433" s="167">
        <v>54849936.230000004</v>
      </c>
      <c r="M433" s="167">
        <v>54846605.240000002</v>
      </c>
      <c r="N433" s="168"/>
      <c r="O433" s="168"/>
      <c r="P433" s="168"/>
      <c r="Q433" s="168"/>
      <c r="R433" s="168"/>
      <c r="S433" s="168"/>
      <c r="T433" s="168"/>
      <c r="U433" s="168"/>
      <c r="V433" s="168"/>
      <c r="W433" s="168"/>
      <c r="X433" s="167">
        <v>54846605.240000002</v>
      </c>
    </row>
    <row r="434" spans="1:24" ht="14.4" x14ac:dyDescent="0.3">
      <c r="A434" s="163" t="s">
        <v>249</v>
      </c>
      <c r="B434" s="164">
        <v>2006</v>
      </c>
      <c r="C434" s="167">
        <v>731535.46</v>
      </c>
      <c r="D434" s="167">
        <v>8375049.6200000001</v>
      </c>
      <c r="E434" s="167">
        <v>18345394.48</v>
      </c>
      <c r="F434" s="167">
        <v>24543768.84</v>
      </c>
      <c r="G434" s="167">
        <v>37716410.25</v>
      </c>
      <c r="H434" s="167">
        <v>49050297.789999999</v>
      </c>
      <c r="I434" s="167">
        <v>53488941.069999993</v>
      </c>
      <c r="J434" s="167">
        <v>53170996.840000004</v>
      </c>
      <c r="K434" s="167">
        <v>50951190.289999999</v>
      </c>
      <c r="L434" s="167">
        <v>51299941.200000003</v>
      </c>
      <c r="M434" s="168"/>
      <c r="N434" s="168"/>
      <c r="O434" s="168"/>
      <c r="P434" s="168"/>
      <c r="Q434" s="168"/>
      <c r="R434" s="168"/>
      <c r="S434" s="168"/>
      <c r="T434" s="168"/>
      <c r="U434" s="168"/>
      <c r="V434" s="168"/>
      <c r="W434" s="168"/>
      <c r="X434" s="167">
        <v>51299941.200000003</v>
      </c>
    </row>
    <row r="435" spans="1:24" ht="14.4" x14ac:dyDescent="0.3">
      <c r="A435" s="163" t="s">
        <v>249</v>
      </c>
      <c r="B435" s="164">
        <v>2007</v>
      </c>
      <c r="C435" s="167">
        <v>530380.39</v>
      </c>
      <c r="D435" s="167">
        <v>5290500.9300000006</v>
      </c>
      <c r="E435" s="167">
        <v>12598858.709999999</v>
      </c>
      <c r="F435" s="167">
        <v>27697129.359999999</v>
      </c>
      <c r="G435" s="167">
        <v>54592113.469999999</v>
      </c>
      <c r="H435" s="167">
        <v>57094447.769999996</v>
      </c>
      <c r="I435" s="167">
        <v>59398814.109999992</v>
      </c>
      <c r="J435" s="167">
        <v>60680784.739999995</v>
      </c>
      <c r="K435" s="167">
        <v>59658811.839999996</v>
      </c>
      <c r="L435" s="168"/>
      <c r="M435" s="168"/>
      <c r="N435" s="168"/>
      <c r="O435" s="168"/>
      <c r="P435" s="168"/>
      <c r="Q435" s="168"/>
      <c r="R435" s="168"/>
      <c r="S435" s="168"/>
      <c r="T435" s="168"/>
      <c r="U435" s="168"/>
      <c r="V435" s="168"/>
      <c r="W435" s="168"/>
      <c r="X435" s="167">
        <v>59658811.839999996</v>
      </c>
    </row>
    <row r="436" spans="1:24" ht="14.4" x14ac:dyDescent="0.3">
      <c r="A436" s="163" t="s">
        <v>249</v>
      </c>
      <c r="B436" s="164">
        <v>2008</v>
      </c>
      <c r="C436" s="167">
        <v>978481.21999999986</v>
      </c>
      <c r="D436" s="167">
        <v>12184833.190000001</v>
      </c>
      <c r="E436" s="167">
        <v>22835640.91</v>
      </c>
      <c r="F436" s="167">
        <v>47971770.350000001</v>
      </c>
      <c r="G436" s="167">
        <v>64520735.460000001</v>
      </c>
      <c r="H436" s="167">
        <v>68992610.109999999</v>
      </c>
      <c r="I436" s="167">
        <v>68886673.140000001</v>
      </c>
      <c r="J436" s="167">
        <v>74439788.670000002</v>
      </c>
      <c r="K436" s="168"/>
      <c r="L436" s="168"/>
      <c r="M436" s="168"/>
      <c r="N436" s="168"/>
      <c r="O436" s="168"/>
      <c r="P436" s="168"/>
      <c r="Q436" s="168"/>
      <c r="R436" s="168"/>
      <c r="S436" s="168"/>
      <c r="T436" s="168"/>
      <c r="U436" s="168"/>
      <c r="V436" s="168"/>
      <c r="W436" s="168"/>
      <c r="X436" s="167">
        <v>74439788.670000002</v>
      </c>
    </row>
    <row r="437" spans="1:24" ht="14.4" x14ac:dyDescent="0.3">
      <c r="A437" s="163" t="s">
        <v>249</v>
      </c>
      <c r="B437" s="164">
        <v>2009</v>
      </c>
      <c r="C437" s="167">
        <v>1788994.94</v>
      </c>
      <c r="D437" s="167">
        <v>19689527.98</v>
      </c>
      <c r="E437" s="167">
        <v>36897053.609999999</v>
      </c>
      <c r="F437" s="167">
        <v>87339765.590000004</v>
      </c>
      <c r="G437" s="167">
        <v>93229051.699999988</v>
      </c>
      <c r="H437" s="167">
        <v>112802270.58</v>
      </c>
      <c r="I437" s="167">
        <v>120518210.60000001</v>
      </c>
      <c r="J437" s="168"/>
      <c r="K437" s="168"/>
      <c r="L437" s="168"/>
      <c r="M437" s="168"/>
      <c r="N437" s="168"/>
      <c r="O437" s="168"/>
      <c r="P437" s="168"/>
      <c r="Q437" s="168"/>
      <c r="R437" s="168"/>
      <c r="S437" s="168"/>
      <c r="T437" s="168"/>
      <c r="U437" s="168"/>
      <c r="V437" s="168"/>
      <c r="W437" s="168"/>
      <c r="X437" s="167">
        <v>120518210.60000001</v>
      </c>
    </row>
    <row r="438" spans="1:24" ht="14.4" x14ac:dyDescent="0.3">
      <c r="A438" s="163" t="s">
        <v>249</v>
      </c>
      <c r="B438" s="164">
        <v>2010</v>
      </c>
      <c r="C438" s="167">
        <v>6999949.1399999997</v>
      </c>
      <c r="D438" s="167">
        <v>15511902.529999999</v>
      </c>
      <c r="E438" s="167">
        <v>41026282.369999997</v>
      </c>
      <c r="F438" s="167">
        <v>50930701.660000004</v>
      </c>
      <c r="G438" s="167">
        <v>61314577.600000001</v>
      </c>
      <c r="H438" s="167">
        <v>67556160.219999999</v>
      </c>
      <c r="I438" s="168"/>
      <c r="J438" s="168"/>
      <c r="K438" s="168"/>
      <c r="L438" s="168"/>
      <c r="M438" s="168"/>
      <c r="N438" s="168"/>
      <c r="O438" s="168"/>
      <c r="P438" s="168"/>
      <c r="Q438" s="168"/>
      <c r="R438" s="168"/>
      <c r="S438" s="168"/>
      <c r="T438" s="168"/>
      <c r="U438" s="168"/>
      <c r="V438" s="168"/>
      <c r="W438" s="168"/>
      <c r="X438" s="167">
        <v>67556160.219999999</v>
      </c>
    </row>
    <row r="439" spans="1:24" ht="14.4" x14ac:dyDescent="0.3">
      <c r="A439" s="163" t="s">
        <v>249</v>
      </c>
      <c r="B439" s="164">
        <v>2011</v>
      </c>
      <c r="C439" s="167">
        <v>2316253.2599999998</v>
      </c>
      <c r="D439" s="167">
        <v>32324590.199999999</v>
      </c>
      <c r="E439" s="167">
        <v>36278903.230000004</v>
      </c>
      <c r="F439" s="167">
        <v>56391503.789999999</v>
      </c>
      <c r="G439" s="167">
        <v>46925036.369999997</v>
      </c>
      <c r="H439" s="168"/>
      <c r="I439" s="168"/>
      <c r="J439" s="168"/>
      <c r="K439" s="168"/>
      <c r="L439" s="168"/>
      <c r="M439" s="168"/>
      <c r="N439" s="168"/>
      <c r="O439" s="168"/>
      <c r="P439" s="168"/>
      <c r="Q439" s="168"/>
      <c r="R439" s="168"/>
      <c r="S439" s="168"/>
      <c r="T439" s="168"/>
      <c r="U439" s="168"/>
      <c r="V439" s="168"/>
      <c r="W439" s="168"/>
      <c r="X439" s="167">
        <v>46925036.369999997</v>
      </c>
    </row>
    <row r="440" spans="1:24" ht="14.4" x14ac:dyDescent="0.3">
      <c r="A440" s="163" t="s">
        <v>249</v>
      </c>
      <c r="B440" s="164">
        <v>2012</v>
      </c>
      <c r="C440" s="167">
        <v>1935845.61</v>
      </c>
      <c r="D440" s="167">
        <v>9060281.8499999996</v>
      </c>
      <c r="E440" s="167">
        <v>14760687.279999999</v>
      </c>
      <c r="F440" s="167">
        <v>21506111.080000002</v>
      </c>
      <c r="G440" s="168"/>
      <c r="H440" s="168"/>
      <c r="I440" s="168"/>
      <c r="J440" s="168"/>
      <c r="K440" s="168"/>
      <c r="L440" s="168"/>
      <c r="M440" s="168"/>
      <c r="N440" s="168"/>
      <c r="O440" s="168"/>
      <c r="P440" s="168"/>
      <c r="Q440" s="168"/>
      <c r="R440" s="168"/>
      <c r="S440" s="168"/>
      <c r="T440" s="168"/>
      <c r="U440" s="168"/>
      <c r="V440" s="168"/>
      <c r="W440" s="168"/>
      <c r="X440" s="167">
        <v>21506111.080000002</v>
      </c>
    </row>
    <row r="441" spans="1:24" ht="14.4" x14ac:dyDescent="0.3">
      <c r="A441" s="163" t="s">
        <v>249</v>
      </c>
      <c r="B441" s="164">
        <v>2013</v>
      </c>
      <c r="C441" s="167">
        <v>736558.9</v>
      </c>
      <c r="D441" s="167">
        <v>17114261.150000002</v>
      </c>
      <c r="E441" s="167">
        <v>34167330.830000006</v>
      </c>
      <c r="F441" s="168"/>
      <c r="G441" s="168"/>
      <c r="H441" s="168"/>
      <c r="I441" s="168"/>
      <c r="J441" s="168"/>
      <c r="K441" s="168"/>
      <c r="L441" s="168"/>
      <c r="M441" s="168"/>
      <c r="N441" s="168"/>
      <c r="O441" s="168"/>
      <c r="P441" s="168"/>
      <c r="Q441" s="168"/>
      <c r="R441" s="168"/>
      <c r="S441" s="168"/>
      <c r="T441" s="168"/>
      <c r="U441" s="168"/>
      <c r="V441" s="168"/>
      <c r="W441" s="168"/>
      <c r="X441" s="167">
        <v>34167330.830000006</v>
      </c>
    </row>
    <row r="442" spans="1:24" ht="14.4" x14ac:dyDescent="0.3">
      <c r="A442" s="163" t="s">
        <v>249</v>
      </c>
      <c r="B442" s="164">
        <v>2014</v>
      </c>
      <c r="C442" s="167">
        <v>135520</v>
      </c>
      <c r="D442" s="167">
        <v>18135853.799999997</v>
      </c>
      <c r="E442" s="168"/>
      <c r="F442" s="168"/>
      <c r="G442" s="168"/>
      <c r="H442" s="168"/>
      <c r="I442" s="168"/>
      <c r="J442" s="168"/>
      <c r="K442" s="168"/>
      <c r="L442" s="168"/>
      <c r="M442" s="168"/>
      <c r="N442" s="168"/>
      <c r="O442" s="168"/>
      <c r="P442" s="168"/>
      <c r="Q442" s="168"/>
      <c r="R442" s="168"/>
      <c r="S442" s="168"/>
      <c r="T442" s="168"/>
      <c r="U442" s="168"/>
      <c r="V442" s="168"/>
      <c r="W442" s="168"/>
      <c r="X442" s="167">
        <v>18135853.799999997</v>
      </c>
    </row>
    <row r="443" spans="1:24" ht="14.4" x14ac:dyDescent="0.3">
      <c r="A443" s="163" t="s">
        <v>249</v>
      </c>
      <c r="B443" s="164">
        <v>2015</v>
      </c>
      <c r="C443" s="167">
        <v>653291.53</v>
      </c>
      <c r="D443" s="168"/>
      <c r="E443" s="168"/>
      <c r="F443" s="168"/>
      <c r="G443" s="168"/>
      <c r="H443" s="168"/>
      <c r="I443" s="168"/>
      <c r="J443" s="168"/>
      <c r="K443" s="168"/>
      <c r="L443" s="168"/>
      <c r="M443" s="168"/>
      <c r="N443" s="168"/>
      <c r="O443" s="168"/>
      <c r="P443" s="168"/>
      <c r="Q443" s="168"/>
      <c r="R443" s="168"/>
      <c r="S443" s="168"/>
      <c r="T443" s="168"/>
      <c r="U443" s="168"/>
      <c r="V443" s="168"/>
      <c r="W443" s="168"/>
      <c r="X443" s="167">
        <v>653291.53</v>
      </c>
    </row>
    <row r="444" spans="1:24" ht="14.4" x14ac:dyDescent="0.3">
      <c r="A444" s="163" t="s">
        <v>250</v>
      </c>
      <c r="B444" s="164">
        <v>1995</v>
      </c>
      <c r="C444" s="167">
        <v>12165913.35</v>
      </c>
      <c r="D444" s="167">
        <v>34382295.640000001</v>
      </c>
      <c r="E444" s="167">
        <v>48144047.670000002</v>
      </c>
      <c r="F444" s="167">
        <v>55468325.859999999</v>
      </c>
      <c r="G444" s="167">
        <v>58857861.920000002</v>
      </c>
      <c r="H444" s="167">
        <v>62314802.189999998</v>
      </c>
      <c r="I444" s="167">
        <v>64609175.520000003</v>
      </c>
      <c r="J444" s="167">
        <v>64753541.57</v>
      </c>
      <c r="K444" s="167">
        <v>65410976.609999999</v>
      </c>
      <c r="L444" s="167">
        <v>65287700.170000002</v>
      </c>
      <c r="M444" s="167">
        <v>63551908.299999997</v>
      </c>
      <c r="N444" s="167">
        <v>63499057.739999995</v>
      </c>
      <c r="O444" s="167">
        <v>63571911.719999999</v>
      </c>
      <c r="P444" s="167">
        <v>63831865.600000001</v>
      </c>
      <c r="Q444" s="167">
        <v>63807468.799999997</v>
      </c>
      <c r="R444" s="167">
        <v>63807469.799999997</v>
      </c>
      <c r="S444" s="167">
        <v>63807468.799999997</v>
      </c>
      <c r="T444" s="167">
        <v>63809420.799999997</v>
      </c>
      <c r="U444" s="167">
        <v>63809420.799999997</v>
      </c>
      <c r="V444" s="167">
        <v>63809420.799999997</v>
      </c>
      <c r="W444" s="167">
        <v>63809420.799999997</v>
      </c>
      <c r="X444" s="167">
        <v>63809420.799999997</v>
      </c>
    </row>
    <row r="445" spans="1:24" ht="14.4" x14ac:dyDescent="0.3">
      <c r="A445" s="163" t="s">
        <v>250</v>
      </c>
      <c r="B445" s="164">
        <v>1996</v>
      </c>
      <c r="C445" s="167">
        <v>25115722.66</v>
      </c>
      <c r="D445" s="167">
        <v>43351666.609999999</v>
      </c>
      <c r="E445" s="167">
        <v>57727963.649999999</v>
      </c>
      <c r="F445" s="167">
        <v>62039190.600000001</v>
      </c>
      <c r="G445" s="167">
        <v>70003447.040000007</v>
      </c>
      <c r="H445" s="167">
        <v>70638946.310000002</v>
      </c>
      <c r="I445" s="167">
        <v>70267595.86999999</v>
      </c>
      <c r="J445" s="167">
        <v>70817387.019999996</v>
      </c>
      <c r="K445" s="167">
        <v>70491738.100000009</v>
      </c>
      <c r="L445" s="167">
        <v>70721853.699999988</v>
      </c>
      <c r="M445" s="167">
        <v>70844592.949999988</v>
      </c>
      <c r="N445" s="167">
        <v>70851112.349999994</v>
      </c>
      <c r="O445" s="167">
        <v>71271647.840000004</v>
      </c>
      <c r="P445" s="167">
        <v>71299679.75</v>
      </c>
      <c r="Q445" s="167">
        <v>71324830.939999998</v>
      </c>
      <c r="R445" s="167">
        <v>71185641.629999995</v>
      </c>
      <c r="S445" s="167">
        <v>71188356.939999998</v>
      </c>
      <c r="T445" s="167">
        <v>71228589.180000007</v>
      </c>
      <c r="U445" s="167">
        <v>71228741.180000007</v>
      </c>
      <c r="V445" s="167">
        <v>71228741.180000007</v>
      </c>
      <c r="W445" s="168"/>
      <c r="X445" s="167">
        <v>71228741.180000007</v>
      </c>
    </row>
    <row r="446" spans="1:24" ht="14.4" x14ac:dyDescent="0.3">
      <c r="A446" s="163" t="s">
        <v>250</v>
      </c>
      <c r="B446" s="164">
        <v>1997</v>
      </c>
      <c r="C446" s="167">
        <v>21789662.719999999</v>
      </c>
      <c r="D446" s="167">
        <v>40458215.079999998</v>
      </c>
      <c r="E446" s="167">
        <v>57748650.269999996</v>
      </c>
      <c r="F446" s="167">
        <v>65233735.789999999</v>
      </c>
      <c r="G446" s="167">
        <v>68940274.729999989</v>
      </c>
      <c r="H446" s="167">
        <v>70120445.219999999</v>
      </c>
      <c r="I446" s="167">
        <v>69952170.060000002</v>
      </c>
      <c r="J446" s="167">
        <v>70304883.50999999</v>
      </c>
      <c r="K446" s="167">
        <v>70322183.640000001</v>
      </c>
      <c r="L446" s="167">
        <v>70315461.829999998</v>
      </c>
      <c r="M446" s="167">
        <v>71998043.699999988</v>
      </c>
      <c r="N446" s="167">
        <v>71939913.909999996</v>
      </c>
      <c r="O446" s="167">
        <v>71929998.099999994</v>
      </c>
      <c r="P446" s="167">
        <v>71929998.099999994</v>
      </c>
      <c r="Q446" s="167">
        <v>71929997.099999994</v>
      </c>
      <c r="R446" s="167">
        <v>71929997.189999998</v>
      </c>
      <c r="S446" s="167">
        <v>71929997.189999998</v>
      </c>
      <c r="T446" s="167">
        <v>71929997.189999998</v>
      </c>
      <c r="U446" s="167">
        <v>71929994.189999998</v>
      </c>
      <c r="V446" s="168"/>
      <c r="W446" s="168"/>
      <c r="X446" s="167">
        <v>71929994.189999998</v>
      </c>
    </row>
    <row r="447" spans="1:24" ht="14.4" x14ac:dyDescent="0.3">
      <c r="A447" s="163" t="s">
        <v>250</v>
      </c>
      <c r="B447" s="164">
        <v>1998</v>
      </c>
      <c r="C447" s="167">
        <v>15448328.02</v>
      </c>
      <c r="D447" s="167">
        <v>35526022.880000003</v>
      </c>
      <c r="E447" s="167">
        <v>50052236.329999998</v>
      </c>
      <c r="F447" s="167">
        <v>63765874.939999998</v>
      </c>
      <c r="G447" s="167">
        <v>65156287.18</v>
      </c>
      <c r="H447" s="167">
        <v>64849345.960000001</v>
      </c>
      <c r="I447" s="167">
        <v>69254891.989999995</v>
      </c>
      <c r="J447" s="167">
        <v>71006159.340000004</v>
      </c>
      <c r="K447" s="167">
        <v>71295014.980000004</v>
      </c>
      <c r="L447" s="167">
        <v>71184526.430000007</v>
      </c>
      <c r="M447" s="167">
        <v>70816015.890000001</v>
      </c>
      <c r="N447" s="167">
        <v>70712028.780000001</v>
      </c>
      <c r="O447" s="167">
        <v>71069013.829999998</v>
      </c>
      <c r="P447" s="167">
        <v>70933565.25</v>
      </c>
      <c r="Q447" s="167">
        <v>70834553.689999998</v>
      </c>
      <c r="R447" s="167">
        <v>70841915.989999995</v>
      </c>
      <c r="S447" s="167">
        <v>70810541.329999998</v>
      </c>
      <c r="T447" s="167">
        <v>70699679.010000005</v>
      </c>
      <c r="U447" s="168"/>
      <c r="V447" s="168"/>
      <c r="W447" s="168"/>
      <c r="X447" s="167">
        <v>70699679.010000005</v>
      </c>
    </row>
    <row r="448" spans="1:24" ht="14.4" x14ac:dyDescent="0.3">
      <c r="A448" s="163" t="s">
        <v>250</v>
      </c>
      <c r="B448" s="164">
        <v>1999</v>
      </c>
      <c r="C448" s="167">
        <v>13668130.210000001</v>
      </c>
      <c r="D448" s="167">
        <v>31538214.369999997</v>
      </c>
      <c r="E448" s="167">
        <v>52248484.25</v>
      </c>
      <c r="F448" s="167">
        <v>56878821.25</v>
      </c>
      <c r="G448" s="167">
        <v>59716840.689999998</v>
      </c>
      <c r="H448" s="167">
        <v>61126070.590000004</v>
      </c>
      <c r="I448" s="167">
        <v>60487857.660000004</v>
      </c>
      <c r="J448" s="167">
        <v>60268333.799999997</v>
      </c>
      <c r="K448" s="167">
        <v>60410453.180000007</v>
      </c>
      <c r="L448" s="167">
        <v>60306823.660000004</v>
      </c>
      <c r="M448" s="167">
        <v>59983269.330000006</v>
      </c>
      <c r="N448" s="167">
        <v>60007727.230000004</v>
      </c>
      <c r="O448" s="167">
        <v>60071907.310000002</v>
      </c>
      <c r="P448" s="167">
        <v>60022140.010000005</v>
      </c>
      <c r="Q448" s="167">
        <v>60012439.160000004</v>
      </c>
      <c r="R448" s="167">
        <v>60005878.899999999</v>
      </c>
      <c r="S448" s="167">
        <v>60006036.619999997</v>
      </c>
      <c r="T448" s="168"/>
      <c r="U448" s="168"/>
      <c r="V448" s="168"/>
      <c r="W448" s="168"/>
      <c r="X448" s="167">
        <v>60006036.619999997</v>
      </c>
    </row>
    <row r="449" spans="1:24" ht="14.4" x14ac:dyDescent="0.3">
      <c r="A449" s="163" t="s">
        <v>250</v>
      </c>
      <c r="B449" s="164">
        <v>2000</v>
      </c>
      <c r="C449" s="167">
        <v>13192683.35</v>
      </c>
      <c r="D449" s="167">
        <v>42992682.260000005</v>
      </c>
      <c r="E449" s="167">
        <v>51955035.510000005</v>
      </c>
      <c r="F449" s="167">
        <v>60748132.480000004</v>
      </c>
      <c r="G449" s="167">
        <v>66433019.060000002</v>
      </c>
      <c r="H449" s="167">
        <v>68386902.030000001</v>
      </c>
      <c r="I449" s="167">
        <v>68935031.370000005</v>
      </c>
      <c r="J449" s="167">
        <v>71818628.75999999</v>
      </c>
      <c r="K449" s="167">
        <v>72754362.310000002</v>
      </c>
      <c r="L449" s="167">
        <v>73018804.439999998</v>
      </c>
      <c r="M449" s="167">
        <v>73626816.829999998</v>
      </c>
      <c r="N449" s="167">
        <v>73660101.070000008</v>
      </c>
      <c r="O449" s="167">
        <v>73675040.070000008</v>
      </c>
      <c r="P449" s="167">
        <v>73668891.030000001</v>
      </c>
      <c r="Q449" s="167">
        <v>73678589.290000007</v>
      </c>
      <c r="R449" s="167">
        <v>73685551.170000002</v>
      </c>
      <c r="S449" s="168"/>
      <c r="T449" s="168"/>
      <c r="U449" s="168"/>
      <c r="V449" s="168"/>
      <c r="W449" s="168"/>
      <c r="X449" s="167">
        <v>73685551.170000002</v>
      </c>
    </row>
    <row r="450" spans="1:24" ht="14.4" x14ac:dyDescent="0.3">
      <c r="A450" s="163" t="s">
        <v>250</v>
      </c>
      <c r="B450" s="164">
        <v>2001</v>
      </c>
      <c r="C450" s="167">
        <v>13958237.130000001</v>
      </c>
      <c r="D450" s="167">
        <v>35576330.140000001</v>
      </c>
      <c r="E450" s="167">
        <v>53423978.57</v>
      </c>
      <c r="F450" s="167">
        <v>68433859.129999995</v>
      </c>
      <c r="G450" s="167">
        <v>71187139.88000001</v>
      </c>
      <c r="H450" s="167">
        <v>72865482.340000004</v>
      </c>
      <c r="I450" s="167">
        <v>73322034.060000002</v>
      </c>
      <c r="J450" s="167">
        <v>73599714.719999999</v>
      </c>
      <c r="K450" s="167">
        <v>73993676.609999999</v>
      </c>
      <c r="L450" s="167">
        <v>74216054.899999991</v>
      </c>
      <c r="M450" s="167">
        <v>74057311.590000004</v>
      </c>
      <c r="N450" s="167">
        <v>74260393.25999999</v>
      </c>
      <c r="O450" s="167">
        <v>74263738.620000005</v>
      </c>
      <c r="P450" s="167">
        <v>74304898.689999998</v>
      </c>
      <c r="Q450" s="167">
        <v>74287405.419999987</v>
      </c>
      <c r="R450" s="168"/>
      <c r="S450" s="168"/>
      <c r="T450" s="168"/>
      <c r="U450" s="168"/>
      <c r="V450" s="168"/>
      <c r="W450" s="168"/>
      <c r="X450" s="167">
        <v>74287405.419999987</v>
      </c>
    </row>
    <row r="451" spans="1:24" ht="14.4" x14ac:dyDescent="0.3">
      <c r="A451" s="163" t="s">
        <v>250</v>
      </c>
      <c r="B451" s="164">
        <v>2002</v>
      </c>
      <c r="C451" s="167">
        <v>19249671.75</v>
      </c>
      <c r="D451" s="167">
        <v>60887365.080000006</v>
      </c>
      <c r="E451" s="167">
        <v>85278483.449999988</v>
      </c>
      <c r="F451" s="167">
        <v>93461266.689999998</v>
      </c>
      <c r="G451" s="167">
        <v>98927194.790000007</v>
      </c>
      <c r="H451" s="167">
        <v>98893437.140000001</v>
      </c>
      <c r="I451" s="167">
        <v>100474269.88</v>
      </c>
      <c r="J451" s="167">
        <v>98158704.939999998</v>
      </c>
      <c r="K451" s="167">
        <v>98504298.090000004</v>
      </c>
      <c r="L451" s="167">
        <v>98573115.430000007</v>
      </c>
      <c r="M451" s="167">
        <v>98716255.150000006</v>
      </c>
      <c r="N451" s="167">
        <v>98799648.280000001</v>
      </c>
      <c r="O451" s="167">
        <v>98816838.280000001</v>
      </c>
      <c r="P451" s="167">
        <v>98777333.180000007</v>
      </c>
      <c r="Q451" s="168"/>
      <c r="R451" s="168"/>
      <c r="S451" s="168"/>
      <c r="T451" s="168"/>
      <c r="U451" s="168"/>
      <c r="V451" s="168"/>
      <c r="W451" s="168"/>
      <c r="X451" s="167">
        <v>98777333.180000007</v>
      </c>
    </row>
    <row r="452" spans="1:24" ht="14.4" x14ac:dyDescent="0.3">
      <c r="A452" s="163" t="s">
        <v>250</v>
      </c>
      <c r="B452" s="164">
        <v>2003</v>
      </c>
      <c r="C452" s="167">
        <v>39091031.399999999</v>
      </c>
      <c r="D452" s="167">
        <v>95405166.930000007</v>
      </c>
      <c r="E452" s="167">
        <v>113945602.93000001</v>
      </c>
      <c r="F452" s="167">
        <v>125381290.56</v>
      </c>
      <c r="G452" s="167">
        <v>126832152.7</v>
      </c>
      <c r="H452" s="167">
        <v>130444490.61</v>
      </c>
      <c r="I452" s="167">
        <v>131830888.00999999</v>
      </c>
      <c r="J452" s="167">
        <v>133376079.23</v>
      </c>
      <c r="K452" s="167">
        <v>133022413.19</v>
      </c>
      <c r="L452" s="167">
        <v>133553282.62</v>
      </c>
      <c r="M452" s="167">
        <v>132742636.5</v>
      </c>
      <c r="N452" s="167">
        <v>132937181.90000001</v>
      </c>
      <c r="O452" s="167">
        <v>132938189.47000001</v>
      </c>
      <c r="P452" s="168"/>
      <c r="Q452" s="168"/>
      <c r="R452" s="168"/>
      <c r="S452" s="168"/>
      <c r="T452" s="168"/>
      <c r="U452" s="168"/>
      <c r="V452" s="168"/>
      <c r="W452" s="168"/>
      <c r="X452" s="167">
        <v>132938189.47000001</v>
      </c>
    </row>
    <row r="453" spans="1:24" ht="14.4" x14ac:dyDescent="0.3">
      <c r="A453" s="163" t="s">
        <v>250</v>
      </c>
      <c r="B453" s="164">
        <v>2004</v>
      </c>
      <c r="C453" s="167">
        <v>31691319.010000002</v>
      </c>
      <c r="D453" s="167">
        <v>68032706.780000001</v>
      </c>
      <c r="E453" s="167">
        <v>88155544.140000001</v>
      </c>
      <c r="F453" s="167">
        <v>99472122.039999992</v>
      </c>
      <c r="G453" s="167">
        <v>105178758.06</v>
      </c>
      <c r="H453" s="167">
        <v>103045027.84</v>
      </c>
      <c r="I453" s="167">
        <v>104243705.91999999</v>
      </c>
      <c r="J453" s="167">
        <v>104259310.64</v>
      </c>
      <c r="K453" s="167">
        <v>104453472.86</v>
      </c>
      <c r="L453" s="167">
        <v>105128043.69</v>
      </c>
      <c r="M453" s="167">
        <v>105094392.41</v>
      </c>
      <c r="N453" s="167">
        <v>105002127.37</v>
      </c>
      <c r="O453" s="168"/>
      <c r="P453" s="168"/>
      <c r="Q453" s="168"/>
      <c r="R453" s="168"/>
      <c r="S453" s="168"/>
      <c r="T453" s="168"/>
      <c r="U453" s="168"/>
      <c r="V453" s="168"/>
      <c r="W453" s="168"/>
      <c r="X453" s="167">
        <v>105002127.37</v>
      </c>
    </row>
    <row r="454" spans="1:24" ht="14.4" x14ac:dyDescent="0.3">
      <c r="A454" s="163" t="s">
        <v>250</v>
      </c>
      <c r="B454" s="164">
        <v>2005</v>
      </c>
      <c r="C454" s="167">
        <v>29553409.27</v>
      </c>
      <c r="D454" s="167">
        <v>70445672.460000008</v>
      </c>
      <c r="E454" s="167">
        <v>83224399.549999997</v>
      </c>
      <c r="F454" s="167">
        <v>93123658.340000004</v>
      </c>
      <c r="G454" s="167">
        <v>94274504.550000012</v>
      </c>
      <c r="H454" s="167">
        <v>98071969.439999998</v>
      </c>
      <c r="I454" s="167">
        <v>100538895.40000001</v>
      </c>
      <c r="J454" s="167">
        <v>100996879.94</v>
      </c>
      <c r="K454" s="167">
        <v>100972037.06</v>
      </c>
      <c r="L454" s="167">
        <v>101222526.92</v>
      </c>
      <c r="M454" s="167">
        <v>100457807.42</v>
      </c>
      <c r="N454" s="168"/>
      <c r="O454" s="168"/>
      <c r="P454" s="168"/>
      <c r="Q454" s="168"/>
      <c r="R454" s="168"/>
      <c r="S454" s="168"/>
      <c r="T454" s="168"/>
      <c r="U454" s="168"/>
      <c r="V454" s="168"/>
      <c r="W454" s="168"/>
      <c r="X454" s="167">
        <v>100457807.42</v>
      </c>
    </row>
    <row r="455" spans="1:24" ht="14.4" x14ac:dyDescent="0.3">
      <c r="A455" s="163" t="s">
        <v>250</v>
      </c>
      <c r="B455" s="164">
        <v>2006</v>
      </c>
      <c r="C455" s="167">
        <v>28138767.460000001</v>
      </c>
      <c r="D455" s="167">
        <v>62597336.060000002</v>
      </c>
      <c r="E455" s="167">
        <v>86112280.920000002</v>
      </c>
      <c r="F455" s="167">
        <v>93342556.599999994</v>
      </c>
      <c r="G455" s="167">
        <v>98912868.900000006</v>
      </c>
      <c r="H455" s="167">
        <v>100534040.91</v>
      </c>
      <c r="I455" s="167">
        <v>102771936.93000001</v>
      </c>
      <c r="J455" s="167">
        <v>104215360.14</v>
      </c>
      <c r="K455" s="167">
        <v>104405874.99000001</v>
      </c>
      <c r="L455" s="167">
        <v>104258338.97</v>
      </c>
      <c r="M455" s="168"/>
      <c r="N455" s="168"/>
      <c r="O455" s="168"/>
      <c r="P455" s="168"/>
      <c r="Q455" s="168"/>
      <c r="R455" s="168"/>
      <c r="S455" s="168"/>
      <c r="T455" s="168"/>
      <c r="U455" s="168"/>
      <c r="V455" s="168"/>
      <c r="W455" s="168"/>
      <c r="X455" s="167">
        <v>104258338.97</v>
      </c>
    </row>
    <row r="456" spans="1:24" ht="14.4" x14ac:dyDescent="0.3">
      <c r="A456" s="163" t="s">
        <v>250</v>
      </c>
      <c r="B456" s="164">
        <v>2007</v>
      </c>
      <c r="C456" s="167">
        <v>24912569.010000002</v>
      </c>
      <c r="D456" s="167">
        <v>73259360.469999999</v>
      </c>
      <c r="E456" s="167">
        <v>78854482.030000001</v>
      </c>
      <c r="F456" s="167">
        <v>89357226.900000006</v>
      </c>
      <c r="G456" s="167">
        <v>95688232.939999998</v>
      </c>
      <c r="H456" s="167">
        <v>97219361.439999998</v>
      </c>
      <c r="I456" s="167">
        <v>96735127.799999997</v>
      </c>
      <c r="J456" s="167">
        <v>96913152.319999993</v>
      </c>
      <c r="K456" s="167">
        <v>96798627.450000003</v>
      </c>
      <c r="L456" s="168"/>
      <c r="M456" s="168"/>
      <c r="N456" s="168"/>
      <c r="O456" s="168"/>
      <c r="P456" s="168"/>
      <c r="Q456" s="168"/>
      <c r="R456" s="168"/>
      <c r="S456" s="168"/>
      <c r="T456" s="168"/>
      <c r="U456" s="168"/>
      <c r="V456" s="168"/>
      <c r="W456" s="168"/>
      <c r="X456" s="167">
        <v>96798627.450000003</v>
      </c>
    </row>
    <row r="457" spans="1:24" ht="14.4" x14ac:dyDescent="0.3">
      <c r="A457" s="163" t="s">
        <v>250</v>
      </c>
      <c r="B457" s="164">
        <v>2008</v>
      </c>
      <c r="C457" s="167">
        <v>32219523.440000001</v>
      </c>
      <c r="D457" s="167">
        <v>71905030.549999997</v>
      </c>
      <c r="E457" s="167">
        <v>87383968.420000002</v>
      </c>
      <c r="F457" s="167">
        <v>95003714.870000005</v>
      </c>
      <c r="G457" s="167">
        <v>98614856.519999996</v>
      </c>
      <c r="H457" s="167">
        <v>100171053.37</v>
      </c>
      <c r="I457" s="167">
        <v>100841744.24000001</v>
      </c>
      <c r="J457" s="167">
        <v>100712006.85999998</v>
      </c>
      <c r="K457" s="168"/>
      <c r="L457" s="168"/>
      <c r="M457" s="168"/>
      <c r="N457" s="168"/>
      <c r="O457" s="168"/>
      <c r="P457" s="168"/>
      <c r="Q457" s="168"/>
      <c r="R457" s="168"/>
      <c r="S457" s="168"/>
      <c r="T457" s="168"/>
      <c r="U457" s="168"/>
      <c r="V457" s="168"/>
      <c r="W457" s="168"/>
      <c r="X457" s="167">
        <v>100712006.85999998</v>
      </c>
    </row>
    <row r="458" spans="1:24" ht="14.4" x14ac:dyDescent="0.3">
      <c r="A458" s="163" t="s">
        <v>250</v>
      </c>
      <c r="B458" s="164">
        <v>2009</v>
      </c>
      <c r="C458" s="167">
        <v>25622470.369999997</v>
      </c>
      <c r="D458" s="167">
        <v>105900828.31999999</v>
      </c>
      <c r="E458" s="167">
        <v>124634077.96000001</v>
      </c>
      <c r="F458" s="167">
        <v>133891324.86</v>
      </c>
      <c r="G458" s="167">
        <v>143489277.51999998</v>
      </c>
      <c r="H458" s="167">
        <v>167548774.25999999</v>
      </c>
      <c r="I458" s="167">
        <v>173111960.72999999</v>
      </c>
      <c r="J458" s="168"/>
      <c r="K458" s="168"/>
      <c r="L458" s="168"/>
      <c r="M458" s="168"/>
      <c r="N458" s="168"/>
      <c r="O458" s="168"/>
      <c r="P458" s="168"/>
      <c r="Q458" s="168"/>
      <c r="R458" s="168"/>
      <c r="S458" s="168"/>
      <c r="T458" s="168"/>
      <c r="U458" s="168"/>
      <c r="V458" s="168"/>
      <c r="W458" s="168"/>
      <c r="X458" s="167">
        <v>173111960.72999999</v>
      </c>
    </row>
    <row r="459" spans="1:24" ht="14.4" x14ac:dyDescent="0.3">
      <c r="A459" s="163" t="s">
        <v>250</v>
      </c>
      <c r="B459" s="164">
        <v>2010</v>
      </c>
      <c r="C459" s="167">
        <v>25511678.259999998</v>
      </c>
      <c r="D459" s="167">
        <v>72003522.590000004</v>
      </c>
      <c r="E459" s="167">
        <v>93162126.060000002</v>
      </c>
      <c r="F459" s="167">
        <v>105238084.63</v>
      </c>
      <c r="G459" s="167">
        <v>111812539.5</v>
      </c>
      <c r="H459" s="167">
        <v>117545639.52</v>
      </c>
      <c r="I459" s="168"/>
      <c r="J459" s="168"/>
      <c r="K459" s="168"/>
      <c r="L459" s="168"/>
      <c r="M459" s="168"/>
      <c r="N459" s="168"/>
      <c r="O459" s="168"/>
      <c r="P459" s="168"/>
      <c r="Q459" s="168"/>
      <c r="R459" s="168"/>
      <c r="S459" s="168"/>
      <c r="T459" s="168"/>
      <c r="U459" s="168"/>
      <c r="V459" s="168"/>
      <c r="W459" s="168"/>
      <c r="X459" s="167">
        <v>117545639.52</v>
      </c>
    </row>
    <row r="460" spans="1:24" ht="14.4" x14ac:dyDescent="0.3">
      <c r="A460" s="163" t="s">
        <v>250</v>
      </c>
      <c r="B460" s="164">
        <v>2011</v>
      </c>
      <c r="C460" s="167">
        <v>25517747.199999999</v>
      </c>
      <c r="D460" s="167">
        <v>86785292.209999993</v>
      </c>
      <c r="E460" s="167">
        <v>107058975.72</v>
      </c>
      <c r="F460" s="167">
        <v>123875012.61</v>
      </c>
      <c r="G460" s="167">
        <v>125443396.34</v>
      </c>
      <c r="H460" s="168"/>
      <c r="I460" s="168"/>
      <c r="J460" s="168"/>
      <c r="K460" s="168"/>
      <c r="L460" s="168"/>
      <c r="M460" s="168"/>
      <c r="N460" s="168"/>
      <c r="O460" s="168"/>
      <c r="P460" s="168"/>
      <c r="Q460" s="168"/>
      <c r="R460" s="168"/>
      <c r="S460" s="168"/>
      <c r="T460" s="168"/>
      <c r="U460" s="168"/>
      <c r="V460" s="168"/>
      <c r="W460" s="168"/>
      <c r="X460" s="167">
        <v>125443396.34</v>
      </c>
    </row>
    <row r="461" spans="1:24" ht="14.4" x14ac:dyDescent="0.3">
      <c r="A461" s="163" t="s">
        <v>250</v>
      </c>
      <c r="B461" s="164">
        <v>2012</v>
      </c>
      <c r="C461" s="167">
        <v>26969791.98</v>
      </c>
      <c r="D461" s="167">
        <v>72251254.700000003</v>
      </c>
      <c r="E461" s="167">
        <v>100604812.13</v>
      </c>
      <c r="F461" s="167">
        <v>113540749.52</v>
      </c>
      <c r="G461" s="168"/>
      <c r="H461" s="168"/>
      <c r="I461" s="168"/>
      <c r="J461" s="168"/>
      <c r="K461" s="168"/>
      <c r="L461" s="168"/>
      <c r="M461" s="168"/>
      <c r="N461" s="168"/>
      <c r="O461" s="168"/>
      <c r="P461" s="168"/>
      <c r="Q461" s="168"/>
      <c r="R461" s="168"/>
      <c r="S461" s="168"/>
      <c r="T461" s="168"/>
      <c r="U461" s="168"/>
      <c r="V461" s="168"/>
      <c r="W461" s="168"/>
      <c r="X461" s="167">
        <v>113540749.52</v>
      </c>
    </row>
    <row r="462" spans="1:24" ht="14.4" x14ac:dyDescent="0.3">
      <c r="A462" s="163" t="s">
        <v>250</v>
      </c>
      <c r="B462" s="164">
        <v>2013</v>
      </c>
      <c r="C462" s="167">
        <v>20743759.780000001</v>
      </c>
      <c r="D462" s="167">
        <v>77133485.540000007</v>
      </c>
      <c r="E462" s="167">
        <v>91691727.629999995</v>
      </c>
      <c r="F462" s="168"/>
      <c r="G462" s="168"/>
      <c r="H462" s="168"/>
      <c r="I462" s="168"/>
      <c r="J462" s="168"/>
      <c r="K462" s="168"/>
      <c r="L462" s="168"/>
      <c r="M462" s="168"/>
      <c r="N462" s="168"/>
      <c r="O462" s="168"/>
      <c r="P462" s="168"/>
      <c r="Q462" s="168"/>
      <c r="R462" s="168"/>
      <c r="S462" s="168"/>
      <c r="T462" s="168"/>
      <c r="U462" s="168"/>
      <c r="V462" s="168"/>
      <c r="W462" s="168"/>
      <c r="X462" s="167">
        <v>91691727.629999995</v>
      </c>
    </row>
    <row r="463" spans="1:24" ht="14.4" x14ac:dyDescent="0.3">
      <c r="A463" s="163" t="s">
        <v>250</v>
      </c>
      <c r="B463" s="164">
        <v>2014</v>
      </c>
      <c r="C463" s="167">
        <v>19857419.219999999</v>
      </c>
      <c r="D463" s="167">
        <v>71978946.849999994</v>
      </c>
      <c r="E463" s="168"/>
      <c r="F463" s="168"/>
      <c r="G463" s="168"/>
      <c r="H463" s="168"/>
      <c r="I463" s="168"/>
      <c r="J463" s="168"/>
      <c r="K463" s="168"/>
      <c r="L463" s="168"/>
      <c r="M463" s="168"/>
      <c r="N463" s="168"/>
      <c r="O463" s="168"/>
      <c r="P463" s="168"/>
      <c r="Q463" s="168"/>
      <c r="R463" s="168"/>
      <c r="S463" s="168"/>
      <c r="T463" s="168"/>
      <c r="U463" s="168"/>
      <c r="V463" s="168"/>
      <c r="W463" s="168"/>
      <c r="X463" s="167">
        <v>71978946.849999994</v>
      </c>
    </row>
    <row r="464" spans="1:24" ht="14.4" x14ac:dyDescent="0.3">
      <c r="A464" s="163" t="s">
        <v>250</v>
      </c>
      <c r="B464" s="164">
        <v>2015</v>
      </c>
      <c r="C464" s="167">
        <v>19077521.259999998</v>
      </c>
      <c r="D464" s="168"/>
      <c r="E464" s="168"/>
      <c r="F464" s="168"/>
      <c r="G464" s="168"/>
      <c r="H464" s="168"/>
      <c r="I464" s="168"/>
      <c r="J464" s="168"/>
      <c r="K464" s="168"/>
      <c r="L464" s="168"/>
      <c r="M464" s="168"/>
      <c r="N464" s="168"/>
      <c r="O464" s="168"/>
      <c r="P464" s="168"/>
      <c r="Q464" s="168"/>
      <c r="R464" s="168"/>
      <c r="S464" s="168"/>
      <c r="T464" s="168"/>
      <c r="U464" s="168"/>
      <c r="V464" s="168"/>
      <c r="W464" s="168"/>
      <c r="X464" s="167">
        <v>19077521.259999998</v>
      </c>
    </row>
    <row r="465" spans="1:24" ht="14.4" x14ac:dyDescent="0.3">
      <c r="A465" s="163" t="s">
        <v>251</v>
      </c>
      <c r="B465" s="164">
        <v>1995</v>
      </c>
      <c r="C465" s="167">
        <v>1005262.08</v>
      </c>
      <c r="D465" s="167">
        <v>2007273.1700000002</v>
      </c>
      <c r="E465" s="167">
        <v>2417522.86</v>
      </c>
      <c r="F465" s="167">
        <v>2119018.4699999997</v>
      </c>
      <c r="G465" s="167">
        <v>2129941.31</v>
      </c>
      <c r="H465" s="167">
        <v>2115296.71</v>
      </c>
      <c r="I465" s="167">
        <v>2120341.09</v>
      </c>
      <c r="J465" s="167">
        <v>2128037.7800000003</v>
      </c>
      <c r="K465" s="167">
        <v>2133367.65</v>
      </c>
      <c r="L465" s="167">
        <v>2133330.65</v>
      </c>
      <c r="M465" s="167">
        <v>3180701.9</v>
      </c>
      <c r="N465" s="167">
        <v>3180698.6199999996</v>
      </c>
      <c r="O465" s="167">
        <v>3171050.6199999996</v>
      </c>
      <c r="P465" s="167">
        <v>3171050.6199999996</v>
      </c>
      <c r="Q465" s="167">
        <v>3171050.6199999996</v>
      </c>
      <c r="R465" s="167">
        <v>3171050.6199999996</v>
      </c>
      <c r="S465" s="167">
        <v>3171050.6199999996</v>
      </c>
      <c r="T465" s="167">
        <v>3171050.6199999996</v>
      </c>
      <c r="U465" s="167">
        <v>3171049.6199999996</v>
      </c>
      <c r="V465" s="167">
        <v>3171049.6199999996</v>
      </c>
      <c r="W465" s="167">
        <v>3171049.6199999996</v>
      </c>
      <c r="X465" s="167">
        <v>3171049.6199999996</v>
      </c>
    </row>
    <row r="466" spans="1:24" ht="14.4" x14ac:dyDescent="0.3">
      <c r="A466" s="163" t="s">
        <v>251</v>
      </c>
      <c r="B466" s="164">
        <v>1996</v>
      </c>
      <c r="C466" s="167">
        <v>744044.2</v>
      </c>
      <c r="D466" s="167">
        <v>2473982.21</v>
      </c>
      <c r="E466" s="167">
        <v>3510509.84</v>
      </c>
      <c r="F466" s="167">
        <v>4732930.04</v>
      </c>
      <c r="G466" s="167">
        <v>5303270.71</v>
      </c>
      <c r="H466" s="167">
        <v>6997651.0099999998</v>
      </c>
      <c r="I466" s="167">
        <v>6900686.6900000004</v>
      </c>
      <c r="J466" s="167">
        <v>6791084.25</v>
      </c>
      <c r="K466" s="167">
        <v>7402063.5</v>
      </c>
      <c r="L466" s="167">
        <v>7388094.1099999994</v>
      </c>
      <c r="M466" s="167">
        <v>7388085.1099999994</v>
      </c>
      <c r="N466" s="167">
        <v>7388085.1099999994</v>
      </c>
      <c r="O466" s="167">
        <v>7388084.1099999994</v>
      </c>
      <c r="P466" s="167">
        <v>7388084.1099999994</v>
      </c>
      <c r="Q466" s="167">
        <v>7388084.1099999994</v>
      </c>
      <c r="R466" s="167">
        <v>7388084.1099999994</v>
      </c>
      <c r="S466" s="167">
        <v>7388084.1099999994</v>
      </c>
      <c r="T466" s="167">
        <v>7388084.1099999994</v>
      </c>
      <c r="U466" s="167">
        <v>7388084.1099999994</v>
      </c>
      <c r="V466" s="167">
        <v>7388084.1099999994</v>
      </c>
      <c r="W466" s="168"/>
      <c r="X466" s="167">
        <v>7388084.1099999994</v>
      </c>
    </row>
    <row r="467" spans="1:24" ht="14.4" x14ac:dyDescent="0.3">
      <c r="A467" s="163" t="s">
        <v>251</v>
      </c>
      <c r="B467" s="164">
        <v>1997</v>
      </c>
      <c r="C467" s="167">
        <v>3127779</v>
      </c>
      <c r="D467" s="167">
        <v>7099203.8399999999</v>
      </c>
      <c r="E467" s="167">
        <v>8682110.4499999993</v>
      </c>
      <c r="F467" s="167">
        <v>9235536.1099999994</v>
      </c>
      <c r="G467" s="167">
        <v>12833678.93</v>
      </c>
      <c r="H467" s="167">
        <v>13783684.620000001</v>
      </c>
      <c r="I467" s="167">
        <v>13977789.670000002</v>
      </c>
      <c r="J467" s="167">
        <v>13560868.33</v>
      </c>
      <c r="K467" s="167">
        <v>13560713.33</v>
      </c>
      <c r="L467" s="167">
        <v>13560713.33</v>
      </c>
      <c r="M467" s="167">
        <v>13560713.33</v>
      </c>
      <c r="N467" s="167">
        <v>13560582.789999999</v>
      </c>
      <c r="O467" s="167">
        <v>12960581.789999999</v>
      </c>
      <c r="P467" s="167">
        <v>12960581.789999999</v>
      </c>
      <c r="Q467" s="167">
        <v>12959026.879999999</v>
      </c>
      <c r="R467" s="167">
        <v>12959026.879999999</v>
      </c>
      <c r="S467" s="167">
        <v>12959025.879999999</v>
      </c>
      <c r="T467" s="167">
        <v>12959025.879999999</v>
      </c>
      <c r="U467" s="167">
        <v>12959025.879999999</v>
      </c>
      <c r="V467" s="168"/>
      <c r="W467" s="168"/>
      <c r="X467" s="167">
        <v>12959025.879999999</v>
      </c>
    </row>
    <row r="468" spans="1:24" ht="14.4" x14ac:dyDescent="0.3">
      <c r="A468" s="163" t="s">
        <v>251</v>
      </c>
      <c r="B468" s="164">
        <v>1998</v>
      </c>
      <c r="C468" s="167">
        <v>1372745.24</v>
      </c>
      <c r="D468" s="167">
        <v>3523874.22</v>
      </c>
      <c r="E468" s="167">
        <v>12652530.52</v>
      </c>
      <c r="F468" s="167">
        <v>21827779.300000001</v>
      </c>
      <c r="G468" s="167">
        <v>26165098.440000001</v>
      </c>
      <c r="H468" s="167">
        <v>33360854.240000002</v>
      </c>
      <c r="I468" s="167">
        <v>32153901.529999997</v>
      </c>
      <c r="J468" s="167">
        <v>34870730.520000003</v>
      </c>
      <c r="K468" s="167">
        <v>34870729.520000003</v>
      </c>
      <c r="L468" s="167">
        <v>34960668.520000003</v>
      </c>
      <c r="M468" s="167">
        <v>34960667.520000003</v>
      </c>
      <c r="N468" s="167">
        <v>34960667.579999998</v>
      </c>
      <c r="O468" s="167">
        <v>41187600.209999993</v>
      </c>
      <c r="P468" s="167">
        <v>41187600.209999993</v>
      </c>
      <c r="Q468" s="167">
        <v>41187600.209999993</v>
      </c>
      <c r="R468" s="167">
        <v>40803107.209999993</v>
      </c>
      <c r="S468" s="167">
        <v>40803107.209999993</v>
      </c>
      <c r="T468" s="167">
        <v>40803106.209999993</v>
      </c>
      <c r="U468" s="168"/>
      <c r="V468" s="168"/>
      <c r="W468" s="168"/>
      <c r="X468" s="167">
        <v>40803106.209999993</v>
      </c>
    </row>
    <row r="469" spans="1:24" ht="14.4" x14ac:dyDescent="0.3">
      <c r="A469" s="163" t="s">
        <v>251</v>
      </c>
      <c r="B469" s="164">
        <v>1999</v>
      </c>
      <c r="C469" s="167">
        <v>1210327.18</v>
      </c>
      <c r="D469" s="167">
        <v>5648535.4299999997</v>
      </c>
      <c r="E469" s="167">
        <v>14948965.07</v>
      </c>
      <c r="F469" s="167">
        <v>21328689.739999998</v>
      </c>
      <c r="G469" s="167">
        <v>18573881.079999998</v>
      </c>
      <c r="H469" s="167">
        <v>21076845.200000003</v>
      </c>
      <c r="I469" s="167">
        <v>24062403.59</v>
      </c>
      <c r="J469" s="167">
        <v>23078078.18</v>
      </c>
      <c r="K469" s="167">
        <v>23132725.460000001</v>
      </c>
      <c r="L469" s="167">
        <v>22432751.080000002</v>
      </c>
      <c r="M469" s="167">
        <v>22193463.289999999</v>
      </c>
      <c r="N469" s="167">
        <v>27952755.170000002</v>
      </c>
      <c r="O469" s="167">
        <v>28152254.580000002</v>
      </c>
      <c r="P469" s="167">
        <v>28152254.580000002</v>
      </c>
      <c r="Q469" s="167">
        <v>28090582.580000002</v>
      </c>
      <c r="R469" s="167">
        <v>28090582.580000002</v>
      </c>
      <c r="S469" s="167">
        <v>28090582.580000002</v>
      </c>
      <c r="T469" s="168"/>
      <c r="U469" s="168"/>
      <c r="V469" s="168"/>
      <c r="W469" s="168"/>
      <c r="X469" s="167">
        <v>28090582.580000002</v>
      </c>
    </row>
    <row r="470" spans="1:24" ht="14.4" x14ac:dyDescent="0.3">
      <c r="A470" s="163" t="s">
        <v>251</v>
      </c>
      <c r="B470" s="164">
        <v>2000</v>
      </c>
      <c r="C470" s="167">
        <v>953681.4</v>
      </c>
      <c r="D470" s="167">
        <v>3947728.83</v>
      </c>
      <c r="E470" s="167">
        <v>8162126.1000000006</v>
      </c>
      <c r="F470" s="167">
        <v>10847671.809999999</v>
      </c>
      <c r="G470" s="167">
        <v>12385209.33</v>
      </c>
      <c r="H470" s="167">
        <v>12192097.09</v>
      </c>
      <c r="I470" s="167">
        <v>12293140.060000001</v>
      </c>
      <c r="J470" s="167">
        <v>12293137.43</v>
      </c>
      <c r="K470" s="167">
        <v>12293136.08</v>
      </c>
      <c r="L470" s="167">
        <v>12242851.17</v>
      </c>
      <c r="M470" s="167">
        <v>12242850.689999999</v>
      </c>
      <c r="N470" s="167">
        <v>12242849.75</v>
      </c>
      <c r="O470" s="167">
        <v>12242848.75</v>
      </c>
      <c r="P470" s="167">
        <v>12242847.75</v>
      </c>
      <c r="Q470" s="167">
        <v>12242847.75</v>
      </c>
      <c r="R470" s="167">
        <v>12242847.75</v>
      </c>
      <c r="S470" s="168"/>
      <c r="T470" s="168"/>
      <c r="U470" s="168"/>
      <c r="V470" s="168"/>
      <c r="W470" s="168"/>
      <c r="X470" s="167">
        <v>12242847.75</v>
      </c>
    </row>
    <row r="471" spans="1:24" ht="14.4" x14ac:dyDescent="0.3">
      <c r="A471" s="163" t="s">
        <v>251</v>
      </c>
      <c r="B471" s="164">
        <v>2001</v>
      </c>
      <c r="C471" s="167">
        <v>891856.46</v>
      </c>
      <c r="D471" s="167">
        <v>6333444.3399999999</v>
      </c>
      <c r="E471" s="167">
        <v>8377105.9699999997</v>
      </c>
      <c r="F471" s="167">
        <v>9414567.0399999991</v>
      </c>
      <c r="G471" s="167">
        <v>9031857.6500000004</v>
      </c>
      <c r="H471" s="167">
        <v>8826425.3200000003</v>
      </c>
      <c r="I471" s="167">
        <v>16815173.689999998</v>
      </c>
      <c r="J471" s="167">
        <v>16811163.66</v>
      </c>
      <c r="K471" s="167">
        <v>16726893.900000002</v>
      </c>
      <c r="L471" s="167">
        <v>16726892.900000002</v>
      </c>
      <c r="M471" s="167">
        <v>16715933.880000001</v>
      </c>
      <c r="N471" s="167">
        <v>16715932.880000001</v>
      </c>
      <c r="O471" s="167">
        <v>16715932.880000001</v>
      </c>
      <c r="P471" s="167">
        <v>16715932.880000001</v>
      </c>
      <c r="Q471" s="167">
        <v>16715932.880000001</v>
      </c>
      <c r="R471" s="168"/>
      <c r="S471" s="168"/>
      <c r="T471" s="168"/>
      <c r="U471" s="168"/>
      <c r="V471" s="168"/>
      <c r="W471" s="168"/>
      <c r="X471" s="167">
        <v>16715932.880000001</v>
      </c>
    </row>
    <row r="472" spans="1:24" ht="14.4" x14ac:dyDescent="0.3">
      <c r="A472" s="163" t="s">
        <v>251</v>
      </c>
      <c r="B472" s="164">
        <v>2002</v>
      </c>
      <c r="C472" s="167">
        <v>1090354.0599999998</v>
      </c>
      <c r="D472" s="167">
        <v>2832123.5600000005</v>
      </c>
      <c r="E472" s="167">
        <v>9766938.8900000006</v>
      </c>
      <c r="F472" s="167">
        <v>11123580.4</v>
      </c>
      <c r="G472" s="167">
        <v>10416796.98</v>
      </c>
      <c r="H472" s="167">
        <v>10376076.310000001</v>
      </c>
      <c r="I472" s="167">
        <v>10487702.550000001</v>
      </c>
      <c r="J472" s="167">
        <v>10525699.550000001</v>
      </c>
      <c r="K472" s="167">
        <v>12069888.66</v>
      </c>
      <c r="L472" s="167">
        <v>17026920.439999998</v>
      </c>
      <c r="M472" s="167">
        <v>16988921.439999998</v>
      </c>
      <c r="N472" s="167">
        <v>16988919.439999998</v>
      </c>
      <c r="O472" s="167">
        <v>24238918.440000005</v>
      </c>
      <c r="P472" s="167">
        <v>24238918.440000005</v>
      </c>
      <c r="Q472" s="168"/>
      <c r="R472" s="168"/>
      <c r="S472" s="168"/>
      <c r="T472" s="168"/>
      <c r="U472" s="168"/>
      <c r="V472" s="168"/>
      <c r="W472" s="168"/>
      <c r="X472" s="167">
        <v>24238918.440000005</v>
      </c>
    </row>
    <row r="473" spans="1:24" ht="14.4" x14ac:dyDescent="0.3">
      <c r="A473" s="163" t="s">
        <v>251</v>
      </c>
      <c r="B473" s="164">
        <v>2003</v>
      </c>
      <c r="C473" s="167">
        <v>3543672.66</v>
      </c>
      <c r="D473" s="167">
        <v>9728691.7199999988</v>
      </c>
      <c r="E473" s="167">
        <v>12499412.82</v>
      </c>
      <c r="F473" s="167">
        <v>14445112.52</v>
      </c>
      <c r="G473" s="167">
        <v>18939222.170000002</v>
      </c>
      <c r="H473" s="167">
        <v>27530807.23</v>
      </c>
      <c r="I473" s="167">
        <v>30537690.709999997</v>
      </c>
      <c r="J473" s="167">
        <v>32053703.849999998</v>
      </c>
      <c r="K473" s="167">
        <v>29022878.419999998</v>
      </c>
      <c r="L473" s="167">
        <v>29172879.419999998</v>
      </c>
      <c r="M473" s="167">
        <v>29022876.32</v>
      </c>
      <c r="N473" s="167">
        <v>29022876.370000001</v>
      </c>
      <c r="O473" s="167">
        <v>29022875.790000003</v>
      </c>
      <c r="P473" s="168"/>
      <c r="Q473" s="168"/>
      <c r="R473" s="168"/>
      <c r="S473" s="168"/>
      <c r="T473" s="168"/>
      <c r="U473" s="168"/>
      <c r="V473" s="168"/>
      <c r="W473" s="168"/>
      <c r="X473" s="167">
        <v>29022875.790000003</v>
      </c>
    </row>
    <row r="474" spans="1:24" ht="14.4" x14ac:dyDescent="0.3">
      <c r="A474" s="163" t="s">
        <v>251</v>
      </c>
      <c r="B474" s="164">
        <v>2004</v>
      </c>
      <c r="C474" s="167">
        <v>1255356.23</v>
      </c>
      <c r="D474" s="167">
        <v>8578310.75</v>
      </c>
      <c r="E474" s="167">
        <v>12873779.260000002</v>
      </c>
      <c r="F474" s="167">
        <v>17709273.310000002</v>
      </c>
      <c r="G474" s="167">
        <v>28876568.259999994</v>
      </c>
      <c r="H474" s="167">
        <v>28981558.039999995</v>
      </c>
      <c r="I474" s="167">
        <v>27970607.340000004</v>
      </c>
      <c r="J474" s="167">
        <v>33189702.010000005</v>
      </c>
      <c r="K474" s="167">
        <v>33341567.079999998</v>
      </c>
      <c r="L474" s="167">
        <v>33370529.730000004</v>
      </c>
      <c r="M474" s="167">
        <v>33367495.25</v>
      </c>
      <c r="N474" s="167">
        <v>33404812.379999995</v>
      </c>
      <c r="O474" s="168"/>
      <c r="P474" s="168"/>
      <c r="Q474" s="168"/>
      <c r="R474" s="168"/>
      <c r="S474" s="168"/>
      <c r="T474" s="168"/>
      <c r="U474" s="168"/>
      <c r="V474" s="168"/>
      <c r="W474" s="168"/>
      <c r="X474" s="167">
        <v>33404812.379999995</v>
      </c>
    </row>
    <row r="475" spans="1:24" ht="14.4" x14ac:dyDescent="0.3">
      <c r="A475" s="163" t="s">
        <v>251</v>
      </c>
      <c r="B475" s="164">
        <v>2005</v>
      </c>
      <c r="C475" s="167">
        <v>1255546.9500000002</v>
      </c>
      <c r="D475" s="167">
        <v>7154315.9300000006</v>
      </c>
      <c r="E475" s="167">
        <v>19659006.110000003</v>
      </c>
      <c r="F475" s="167">
        <v>18842623.810000002</v>
      </c>
      <c r="G475" s="167">
        <v>16224978.379999999</v>
      </c>
      <c r="H475" s="167">
        <v>17815098.379999999</v>
      </c>
      <c r="I475" s="167">
        <v>17787367.719999999</v>
      </c>
      <c r="J475" s="167">
        <v>18510137.259999998</v>
      </c>
      <c r="K475" s="167">
        <v>19237960.25</v>
      </c>
      <c r="L475" s="167">
        <v>18238274.759999998</v>
      </c>
      <c r="M475" s="167">
        <v>18334144.790000003</v>
      </c>
      <c r="N475" s="168"/>
      <c r="O475" s="168"/>
      <c r="P475" s="168"/>
      <c r="Q475" s="168"/>
      <c r="R475" s="168"/>
      <c r="S475" s="168"/>
      <c r="T475" s="168"/>
      <c r="U475" s="168"/>
      <c r="V475" s="168"/>
      <c r="W475" s="168"/>
      <c r="X475" s="167">
        <v>18334144.790000003</v>
      </c>
    </row>
    <row r="476" spans="1:24" ht="14.4" x14ac:dyDescent="0.3">
      <c r="A476" s="163" t="s">
        <v>251</v>
      </c>
      <c r="B476" s="164">
        <v>2006</v>
      </c>
      <c r="C476" s="167">
        <v>5084240.16</v>
      </c>
      <c r="D476" s="167">
        <v>15233937.48</v>
      </c>
      <c r="E476" s="167">
        <v>18530133.02</v>
      </c>
      <c r="F476" s="167">
        <v>20645724.98</v>
      </c>
      <c r="G476" s="167">
        <v>20537699.66</v>
      </c>
      <c r="H476" s="167">
        <v>22172195.469999999</v>
      </c>
      <c r="I476" s="167">
        <v>23493760.599999998</v>
      </c>
      <c r="J476" s="167">
        <v>24384759.77</v>
      </c>
      <c r="K476" s="167">
        <v>24158661.789999999</v>
      </c>
      <c r="L476" s="167">
        <v>22159812.789999999</v>
      </c>
      <c r="M476" s="168"/>
      <c r="N476" s="168"/>
      <c r="O476" s="168"/>
      <c r="P476" s="168"/>
      <c r="Q476" s="168"/>
      <c r="R476" s="168"/>
      <c r="S476" s="168"/>
      <c r="T476" s="168"/>
      <c r="U476" s="168"/>
      <c r="V476" s="168"/>
      <c r="W476" s="168"/>
      <c r="X476" s="167">
        <v>22159812.789999999</v>
      </c>
    </row>
    <row r="477" spans="1:24" ht="14.4" x14ac:dyDescent="0.3">
      <c r="A477" s="163" t="s">
        <v>251</v>
      </c>
      <c r="B477" s="164">
        <v>2007</v>
      </c>
      <c r="C477" s="167">
        <v>4130463.61</v>
      </c>
      <c r="D477" s="167">
        <v>24148564.399999999</v>
      </c>
      <c r="E477" s="167">
        <v>31266769.650000002</v>
      </c>
      <c r="F477" s="167">
        <v>37793482.68</v>
      </c>
      <c r="G477" s="167">
        <v>38782847.640000001</v>
      </c>
      <c r="H477" s="167">
        <v>34895704.910000004</v>
      </c>
      <c r="I477" s="167">
        <v>37330344.189999998</v>
      </c>
      <c r="J477" s="167">
        <v>37150436.150000006</v>
      </c>
      <c r="K477" s="167">
        <v>37151049.490000002</v>
      </c>
      <c r="L477" s="168"/>
      <c r="M477" s="168"/>
      <c r="N477" s="168"/>
      <c r="O477" s="168"/>
      <c r="P477" s="168"/>
      <c r="Q477" s="168"/>
      <c r="R477" s="168"/>
      <c r="S477" s="168"/>
      <c r="T477" s="168"/>
      <c r="U477" s="168"/>
      <c r="V477" s="168"/>
      <c r="W477" s="168"/>
      <c r="X477" s="167">
        <v>37151049.490000002</v>
      </c>
    </row>
    <row r="478" spans="1:24" ht="14.4" x14ac:dyDescent="0.3">
      <c r="A478" s="163" t="s">
        <v>251</v>
      </c>
      <c r="B478" s="164">
        <v>2008</v>
      </c>
      <c r="C478" s="167">
        <v>2231060.08</v>
      </c>
      <c r="D478" s="167">
        <v>8345164.1699999999</v>
      </c>
      <c r="E478" s="167">
        <v>12116109.68</v>
      </c>
      <c r="F478" s="167">
        <v>12385244.209999999</v>
      </c>
      <c r="G478" s="167">
        <v>34799363.5</v>
      </c>
      <c r="H478" s="167">
        <v>37420314.800000004</v>
      </c>
      <c r="I478" s="167">
        <v>38131286.960000001</v>
      </c>
      <c r="J478" s="167">
        <v>38012324.359999999</v>
      </c>
      <c r="K478" s="168"/>
      <c r="L478" s="168"/>
      <c r="M478" s="168"/>
      <c r="N478" s="168"/>
      <c r="O478" s="168"/>
      <c r="P478" s="168"/>
      <c r="Q478" s="168"/>
      <c r="R478" s="168"/>
      <c r="S478" s="168"/>
      <c r="T478" s="168"/>
      <c r="U478" s="168"/>
      <c r="V478" s="168"/>
      <c r="W478" s="168"/>
      <c r="X478" s="167">
        <v>38012324.359999999</v>
      </c>
    </row>
    <row r="479" spans="1:24" ht="14.4" x14ac:dyDescent="0.3">
      <c r="A479" s="163" t="s">
        <v>251</v>
      </c>
      <c r="B479" s="164">
        <v>2009</v>
      </c>
      <c r="C479" s="167">
        <v>12170565.32</v>
      </c>
      <c r="D479" s="167">
        <v>30222211.579999998</v>
      </c>
      <c r="E479" s="167">
        <v>32792421.920000002</v>
      </c>
      <c r="F479" s="167">
        <v>33999424.380000003</v>
      </c>
      <c r="G479" s="167">
        <v>34313978.219999999</v>
      </c>
      <c r="H479" s="167">
        <v>34438121.640000001</v>
      </c>
      <c r="I479" s="167">
        <v>34435498.560000002</v>
      </c>
      <c r="J479" s="168"/>
      <c r="K479" s="168"/>
      <c r="L479" s="168"/>
      <c r="M479" s="168"/>
      <c r="N479" s="168"/>
      <c r="O479" s="168"/>
      <c r="P479" s="168"/>
      <c r="Q479" s="168"/>
      <c r="R479" s="168"/>
      <c r="S479" s="168"/>
      <c r="T479" s="168"/>
      <c r="U479" s="168"/>
      <c r="V479" s="168"/>
      <c r="W479" s="168"/>
      <c r="X479" s="167">
        <v>34435498.560000002</v>
      </c>
    </row>
    <row r="480" spans="1:24" ht="14.4" x14ac:dyDescent="0.3">
      <c r="A480" s="163" t="s">
        <v>251</v>
      </c>
      <c r="B480" s="164">
        <v>2010</v>
      </c>
      <c r="C480" s="167">
        <v>13050917.440000001</v>
      </c>
      <c r="D480" s="167">
        <v>21607093.550000001</v>
      </c>
      <c r="E480" s="167">
        <v>39381752.399999999</v>
      </c>
      <c r="F480" s="167">
        <v>46286312.659999996</v>
      </c>
      <c r="G480" s="167">
        <v>47240478.810000002</v>
      </c>
      <c r="H480" s="167">
        <v>42299480.579999998</v>
      </c>
      <c r="I480" s="168"/>
      <c r="J480" s="168"/>
      <c r="K480" s="168"/>
      <c r="L480" s="168"/>
      <c r="M480" s="168"/>
      <c r="N480" s="168"/>
      <c r="O480" s="168"/>
      <c r="P480" s="168"/>
      <c r="Q480" s="168"/>
      <c r="R480" s="168"/>
      <c r="S480" s="168"/>
      <c r="T480" s="168"/>
      <c r="U480" s="168"/>
      <c r="V480" s="168"/>
      <c r="W480" s="168"/>
      <c r="X480" s="167">
        <v>42299480.579999998</v>
      </c>
    </row>
    <row r="481" spans="1:50" ht="14.4" x14ac:dyDescent="0.3">
      <c r="A481" s="163" t="s">
        <v>251</v>
      </c>
      <c r="B481" s="164">
        <v>2011</v>
      </c>
      <c r="C481" s="167">
        <v>17447843.920000002</v>
      </c>
      <c r="D481" s="167">
        <v>47392980.649999999</v>
      </c>
      <c r="E481" s="167">
        <v>59465931.920000002</v>
      </c>
      <c r="F481" s="167">
        <v>69028145.799999997</v>
      </c>
      <c r="G481" s="167">
        <v>87740458.560000002</v>
      </c>
      <c r="H481" s="168"/>
      <c r="I481" s="168"/>
      <c r="J481" s="168"/>
      <c r="K481" s="168"/>
      <c r="L481" s="168"/>
      <c r="M481" s="168"/>
      <c r="N481" s="168"/>
      <c r="O481" s="168"/>
      <c r="P481" s="168"/>
      <c r="Q481" s="168"/>
      <c r="R481" s="168"/>
      <c r="S481" s="168"/>
      <c r="T481" s="168"/>
      <c r="U481" s="168"/>
      <c r="V481" s="168"/>
      <c r="W481" s="168"/>
      <c r="X481" s="167">
        <v>87740458.560000002</v>
      </c>
    </row>
    <row r="482" spans="1:50" ht="14.4" x14ac:dyDescent="0.3">
      <c r="A482" s="163" t="s">
        <v>251</v>
      </c>
      <c r="B482" s="164">
        <v>2012</v>
      </c>
      <c r="C482" s="167">
        <v>8587982.1899999995</v>
      </c>
      <c r="D482" s="167">
        <v>44562444.770000003</v>
      </c>
      <c r="E482" s="167">
        <v>71349408.569999993</v>
      </c>
      <c r="F482" s="167">
        <v>72259767.969999999</v>
      </c>
      <c r="G482" s="168"/>
      <c r="H482" s="168"/>
      <c r="I482" s="168"/>
      <c r="J482" s="168"/>
      <c r="K482" s="168"/>
      <c r="L482" s="168"/>
      <c r="M482" s="168"/>
      <c r="N482" s="168"/>
      <c r="O482" s="168"/>
      <c r="P482" s="168"/>
      <c r="Q482" s="168"/>
      <c r="R482" s="168"/>
      <c r="S482" s="168"/>
      <c r="T482" s="168"/>
      <c r="U482" s="168"/>
      <c r="V482" s="168"/>
      <c r="W482" s="168"/>
      <c r="X482" s="167">
        <v>72259767.969999999</v>
      </c>
    </row>
    <row r="483" spans="1:50" ht="14.4" x14ac:dyDescent="0.3">
      <c r="A483" s="163" t="s">
        <v>251</v>
      </c>
      <c r="B483" s="164">
        <v>2013</v>
      </c>
      <c r="C483" s="167">
        <v>7341202.5800000001</v>
      </c>
      <c r="D483" s="167">
        <v>43982012.619999997</v>
      </c>
      <c r="E483" s="167">
        <v>45951000.370000005</v>
      </c>
      <c r="F483" s="168"/>
      <c r="G483" s="168"/>
      <c r="H483" s="168"/>
      <c r="I483" s="168"/>
      <c r="J483" s="168"/>
      <c r="K483" s="168"/>
      <c r="L483" s="168"/>
      <c r="M483" s="168"/>
      <c r="N483" s="168"/>
      <c r="O483" s="168"/>
      <c r="P483" s="168"/>
      <c r="Q483" s="168"/>
      <c r="R483" s="168"/>
      <c r="S483" s="168"/>
      <c r="T483" s="168"/>
      <c r="U483" s="168"/>
      <c r="V483" s="168"/>
      <c r="W483" s="168"/>
      <c r="X483" s="167">
        <v>45951000.370000005</v>
      </c>
    </row>
    <row r="484" spans="1:50" ht="14.4" x14ac:dyDescent="0.3">
      <c r="A484" s="163" t="s">
        <v>251</v>
      </c>
      <c r="B484" s="164">
        <v>2014</v>
      </c>
      <c r="C484" s="167">
        <v>2560119.0099999998</v>
      </c>
      <c r="D484" s="167">
        <v>21410525.779999997</v>
      </c>
      <c r="E484" s="168"/>
      <c r="F484" s="168"/>
      <c r="G484" s="168"/>
      <c r="H484" s="168"/>
      <c r="I484" s="168"/>
      <c r="J484" s="168"/>
      <c r="K484" s="168"/>
      <c r="L484" s="168"/>
      <c r="M484" s="168"/>
      <c r="N484" s="168"/>
      <c r="O484" s="168"/>
      <c r="P484" s="168"/>
      <c r="Q484" s="168"/>
      <c r="R484" s="168"/>
      <c r="S484" s="168"/>
      <c r="T484" s="168"/>
      <c r="U484" s="168"/>
      <c r="V484" s="168"/>
      <c r="W484" s="168"/>
      <c r="X484" s="167">
        <v>21410525.779999997</v>
      </c>
    </row>
    <row r="485" spans="1:50" ht="14.4" x14ac:dyDescent="0.3">
      <c r="A485" s="163" t="s">
        <v>251</v>
      </c>
      <c r="B485" s="164">
        <v>2015</v>
      </c>
      <c r="C485" s="167">
        <v>16989771</v>
      </c>
      <c r="D485" s="168"/>
      <c r="E485" s="168"/>
      <c r="F485" s="168"/>
      <c r="G485" s="168"/>
      <c r="H485" s="168"/>
      <c r="I485" s="168"/>
      <c r="J485" s="168"/>
      <c r="K485" s="168"/>
      <c r="L485" s="168"/>
      <c r="M485" s="168"/>
      <c r="N485" s="168"/>
      <c r="O485" s="168"/>
      <c r="P485" s="168"/>
      <c r="Q485" s="168"/>
      <c r="R485" s="168"/>
      <c r="S485" s="168"/>
      <c r="T485" s="168"/>
      <c r="U485" s="168"/>
      <c r="V485" s="168"/>
      <c r="W485" s="168"/>
      <c r="X485" s="167">
        <v>16989771</v>
      </c>
      <c r="AB485" s="127" t="s">
        <v>184</v>
      </c>
      <c r="AC485" s="127" t="s">
        <v>185</v>
      </c>
      <c r="AD485" s="127" t="s">
        <v>186</v>
      </c>
      <c r="AE485" s="127" t="s">
        <v>187</v>
      </c>
      <c r="AF485" s="127" t="s">
        <v>188</v>
      </c>
      <c r="AG485" s="127" t="s">
        <v>189</v>
      </c>
      <c r="AH485" s="127" t="s">
        <v>190</v>
      </c>
      <c r="AI485" s="127" t="s">
        <v>191</v>
      </c>
      <c r="AJ485" s="127" t="s">
        <v>192</v>
      </c>
      <c r="AK485" s="127" t="s">
        <v>193</v>
      </c>
      <c r="AL485" s="127" t="s">
        <v>194</v>
      </c>
      <c r="AM485" s="127" t="s">
        <v>195</v>
      </c>
      <c r="AN485" s="127" t="s">
        <v>196</v>
      </c>
      <c r="AO485" s="127" t="s">
        <v>197</v>
      </c>
      <c r="AP485" s="127" t="s">
        <v>198</v>
      </c>
      <c r="AQ485" s="127" t="s">
        <v>199</v>
      </c>
      <c r="AR485" s="127" t="s">
        <v>200</v>
      </c>
      <c r="AS485" s="127" t="s">
        <v>201</v>
      </c>
      <c r="AT485" s="127" t="s">
        <v>202</v>
      </c>
      <c r="AU485" s="127" t="s">
        <v>203</v>
      </c>
      <c r="AV485" s="127" t="s">
        <v>204</v>
      </c>
      <c r="AW485" s="127" t="s">
        <v>205</v>
      </c>
      <c r="AX485" s="127" t="s">
        <v>100</v>
      </c>
    </row>
    <row r="486" spans="1:50" ht="14.4" x14ac:dyDescent="0.3">
      <c r="A486" s="163" t="s">
        <v>252</v>
      </c>
      <c r="B486" s="164">
        <v>1995</v>
      </c>
      <c r="C486" s="167">
        <v>9434094.5600000005</v>
      </c>
      <c r="D486" s="167">
        <v>34662894.579999998</v>
      </c>
      <c r="E486" s="167">
        <v>33854522.410000004</v>
      </c>
      <c r="F486" s="167">
        <v>31833773.560000002</v>
      </c>
      <c r="G486" s="167">
        <v>38028253.150000006</v>
      </c>
      <c r="H486" s="167">
        <v>39231719.25</v>
      </c>
      <c r="I486" s="167">
        <v>40818593.57</v>
      </c>
      <c r="J486" s="167">
        <v>40215074.410000004</v>
      </c>
      <c r="K486" s="167">
        <v>40162905.689999998</v>
      </c>
      <c r="L486" s="167">
        <v>39522280.57</v>
      </c>
      <c r="M486" s="167">
        <v>39472162.900000006</v>
      </c>
      <c r="N486" s="167">
        <v>39402148.68</v>
      </c>
      <c r="O486" s="167">
        <v>39399694.68</v>
      </c>
      <c r="P486" s="167">
        <v>39495765.410000004</v>
      </c>
      <c r="Q486" s="167">
        <v>39495765.410000004</v>
      </c>
      <c r="R486" s="167">
        <v>39495765.410000004</v>
      </c>
      <c r="S486" s="167">
        <v>39495765.410000004</v>
      </c>
      <c r="T486" s="167">
        <v>39495765.410000004</v>
      </c>
      <c r="U486" s="167">
        <v>39495765.410000004</v>
      </c>
      <c r="V486" s="167">
        <v>39495765.410000004</v>
      </c>
      <c r="W486" s="167">
        <v>39495765.410000004</v>
      </c>
      <c r="X486" s="167">
        <v>39495765.410000004</v>
      </c>
      <c r="AB486" s="129">
        <v>1992</v>
      </c>
      <c r="AC486" s="132">
        <v>0</v>
      </c>
      <c r="AD486" s="132">
        <v>0</v>
      </c>
      <c r="AE486" s="132">
        <v>0</v>
      </c>
      <c r="AF486" s="132">
        <v>0</v>
      </c>
      <c r="AG486" s="132">
        <v>0</v>
      </c>
      <c r="AH486" s="132">
        <v>0</v>
      </c>
      <c r="AI486" s="132">
        <v>0</v>
      </c>
      <c r="AJ486" s="132">
        <v>0</v>
      </c>
      <c r="AK486" s="132">
        <v>0</v>
      </c>
      <c r="AL486" s="132">
        <v>0</v>
      </c>
      <c r="AM486" s="132">
        <v>0</v>
      </c>
      <c r="AN486" s="132">
        <v>0</v>
      </c>
      <c r="AO486" s="132">
        <v>0</v>
      </c>
      <c r="AP486" s="132">
        <v>0</v>
      </c>
      <c r="AQ486" s="132">
        <v>0</v>
      </c>
      <c r="AR486" s="132">
        <v>0</v>
      </c>
      <c r="AS486" s="132">
        <v>0</v>
      </c>
      <c r="AT486" s="132">
        <v>0</v>
      </c>
      <c r="AU486" s="132">
        <v>0</v>
      </c>
      <c r="AV486" s="132">
        <v>0</v>
      </c>
      <c r="AW486" s="132">
        <v>0</v>
      </c>
      <c r="AX486" s="132">
        <v>0</v>
      </c>
    </row>
    <row r="487" spans="1:50" ht="14.4" x14ac:dyDescent="0.3">
      <c r="A487" s="163" t="s">
        <v>252</v>
      </c>
      <c r="B487" s="164">
        <v>1996</v>
      </c>
      <c r="C487" s="167">
        <v>5071653.12</v>
      </c>
      <c r="D487" s="167">
        <v>16311953.9</v>
      </c>
      <c r="E487" s="167">
        <v>18741896.080000002</v>
      </c>
      <c r="F487" s="167">
        <v>15868477.620000001</v>
      </c>
      <c r="G487" s="167">
        <v>18484960.710000001</v>
      </c>
      <c r="H487" s="167">
        <v>21010605.800000001</v>
      </c>
      <c r="I487" s="167">
        <v>18739514.659999996</v>
      </c>
      <c r="J487" s="167">
        <v>16904644.210000001</v>
      </c>
      <c r="K487" s="167">
        <v>19032533.210000001</v>
      </c>
      <c r="L487" s="167">
        <v>18892542.759999998</v>
      </c>
      <c r="M487" s="167">
        <v>19199021.120000001</v>
      </c>
      <c r="N487" s="167">
        <v>18889488.029999997</v>
      </c>
      <c r="O487" s="167">
        <v>20076913.909999996</v>
      </c>
      <c r="P487" s="167">
        <v>18041065.159999996</v>
      </c>
      <c r="Q487" s="167">
        <v>17953530.159999996</v>
      </c>
      <c r="R487" s="167">
        <v>17953530.159999996</v>
      </c>
      <c r="S487" s="167">
        <v>17953530.159999996</v>
      </c>
      <c r="T487" s="167">
        <v>17953530.159999996</v>
      </c>
      <c r="U487" s="167">
        <v>17953530.159999996</v>
      </c>
      <c r="V487" s="167">
        <v>17953530.159999996</v>
      </c>
      <c r="W487" s="168"/>
      <c r="X487" s="167">
        <v>17953530.159999996</v>
      </c>
      <c r="AB487" s="129">
        <v>1993</v>
      </c>
      <c r="AC487" s="132">
        <v>0</v>
      </c>
      <c r="AD487" s="132">
        <v>0</v>
      </c>
      <c r="AE487" s="132">
        <v>0</v>
      </c>
      <c r="AF487" s="132">
        <v>0</v>
      </c>
      <c r="AG487" s="132">
        <v>0</v>
      </c>
      <c r="AH487" s="132">
        <v>0</v>
      </c>
      <c r="AI487" s="132">
        <v>0</v>
      </c>
      <c r="AJ487" s="132">
        <v>0</v>
      </c>
      <c r="AK487" s="132">
        <v>0</v>
      </c>
      <c r="AL487" s="132">
        <v>0</v>
      </c>
      <c r="AM487" s="132">
        <v>0</v>
      </c>
      <c r="AN487" s="132">
        <v>0</v>
      </c>
      <c r="AO487" s="132">
        <v>0</v>
      </c>
      <c r="AP487" s="132">
        <v>0</v>
      </c>
      <c r="AQ487" s="132">
        <v>0</v>
      </c>
      <c r="AR487" s="132">
        <v>0</v>
      </c>
      <c r="AS487" s="132">
        <v>0</v>
      </c>
      <c r="AT487" s="132">
        <v>0</v>
      </c>
      <c r="AU487" s="132">
        <v>0</v>
      </c>
      <c r="AV487" s="132">
        <v>0</v>
      </c>
      <c r="AW487" s="133"/>
      <c r="AX487" s="132">
        <v>0</v>
      </c>
    </row>
    <row r="488" spans="1:50" ht="14.4" x14ac:dyDescent="0.3">
      <c r="A488" s="163" t="s">
        <v>252</v>
      </c>
      <c r="B488" s="164">
        <v>1997</v>
      </c>
      <c r="C488" s="167">
        <v>4233418.1599999992</v>
      </c>
      <c r="D488" s="167">
        <v>10051833.760000002</v>
      </c>
      <c r="E488" s="167">
        <v>33915392.269999996</v>
      </c>
      <c r="F488" s="167">
        <v>24350243.36999999</v>
      </c>
      <c r="G488" s="167">
        <v>24573444.200000003</v>
      </c>
      <c r="H488" s="167">
        <v>23515816.900000006</v>
      </c>
      <c r="I488" s="167">
        <v>23793452.88000001</v>
      </c>
      <c r="J488" s="167">
        <v>14277330.579999998</v>
      </c>
      <c r="K488" s="167">
        <v>9697847.4700000137</v>
      </c>
      <c r="L488" s="167">
        <v>8143678.2100000083</v>
      </c>
      <c r="M488" s="167">
        <v>8143781.0900000185</v>
      </c>
      <c r="N488" s="167">
        <v>7580648.0800000131</v>
      </c>
      <c r="O488" s="167">
        <v>7580645.0800000131</v>
      </c>
      <c r="P488" s="167">
        <v>7581005.3200000226</v>
      </c>
      <c r="Q488" s="167">
        <v>7581005.3200000226</v>
      </c>
      <c r="R488" s="167">
        <v>7581005.3200000226</v>
      </c>
      <c r="S488" s="167">
        <v>7581005.2800000161</v>
      </c>
      <c r="T488" s="167">
        <v>7581005.2800000161</v>
      </c>
      <c r="U488" s="167">
        <v>7579068.0600000173</v>
      </c>
      <c r="V488" s="168"/>
      <c r="W488" s="168"/>
      <c r="X488" s="167">
        <v>7579068.0600000173</v>
      </c>
      <c r="AB488" s="129">
        <v>1994</v>
      </c>
      <c r="AC488" s="132">
        <v>3054504</v>
      </c>
      <c r="AD488" s="132">
        <v>17319717.280000001</v>
      </c>
      <c r="AE488" s="132">
        <v>15949135.890000001</v>
      </c>
      <c r="AF488" s="132">
        <v>20233376.869999997</v>
      </c>
      <c r="AG488" s="132">
        <v>29446690.57</v>
      </c>
      <c r="AH488" s="132">
        <v>31923176.460000001</v>
      </c>
      <c r="AI488" s="132">
        <v>34403789.689999998</v>
      </c>
      <c r="AJ488" s="132">
        <v>29566418.129999999</v>
      </c>
      <c r="AK488" s="132">
        <v>36573770.900000006</v>
      </c>
      <c r="AL488" s="132">
        <v>46351821.859999999</v>
      </c>
      <c r="AM488" s="132">
        <v>50558361.57</v>
      </c>
      <c r="AN488" s="132">
        <v>54937279.280000001</v>
      </c>
      <c r="AO488" s="132">
        <v>59995378.699999996</v>
      </c>
      <c r="AP488" s="132">
        <v>68331965.609999999</v>
      </c>
      <c r="AQ488" s="132">
        <v>71530313.010000005</v>
      </c>
      <c r="AR488" s="132">
        <v>73393719.609999999</v>
      </c>
      <c r="AS488" s="132">
        <v>79610535.289999992</v>
      </c>
      <c r="AT488" s="132">
        <v>90700244.090000004</v>
      </c>
      <c r="AU488" s="132">
        <v>92708153.350000009</v>
      </c>
      <c r="AV488" s="133"/>
      <c r="AW488" s="133"/>
      <c r="AX488" s="132">
        <v>92708153.350000009</v>
      </c>
    </row>
    <row r="489" spans="1:50" ht="14.4" x14ac:dyDescent="0.3">
      <c r="A489" s="163" t="s">
        <v>252</v>
      </c>
      <c r="B489" s="164">
        <v>1998</v>
      </c>
      <c r="C489" s="167">
        <v>3794028.43</v>
      </c>
      <c r="D489" s="167">
        <v>32147358.600000001</v>
      </c>
      <c r="E489" s="167">
        <v>10899444.809999995</v>
      </c>
      <c r="F489" s="167">
        <v>8468737.9600000009</v>
      </c>
      <c r="G489" s="167">
        <v>9219053.4799999893</v>
      </c>
      <c r="H489" s="167">
        <v>7452391.3399999887</v>
      </c>
      <c r="I489" s="167">
        <v>1539596.7699999958</v>
      </c>
      <c r="J489" s="167">
        <v>1122225.5199999958</v>
      </c>
      <c r="K489" s="167">
        <v>1374167.4299999923</v>
      </c>
      <c r="L489" s="167">
        <v>7042051.5300000012</v>
      </c>
      <c r="M489" s="167">
        <v>7298010.1099999845</v>
      </c>
      <c r="N489" s="167">
        <v>5467850.1600000113</v>
      </c>
      <c r="O489" s="167">
        <v>4022159.5899999887</v>
      </c>
      <c r="P489" s="167">
        <v>8034402.2399999946</v>
      </c>
      <c r="Q489" s="167">
        <v>8036430.1899999976</v>
      </c>
      <c r="R489" s="167">
        <v>8176564.6800000072</v>
      </c>
      <c r="S489" s="167">
        <v>6679919</v>
      </c>
      <c r="T489" s="167">
        <v>6679919.6899999976</v>
      </c>
      <c r="U489" s="168"/>
      <c r="V489" s="168"/>
      <c r="W489" s="168"/>
      <c r="X489" s="167">
        <v>6679919.6899999976</v>
      </c>
      <c r="AB489" s="129">
        <v>1995</v>
      </c>
      <c r="AC489" s="132">
        <v>24596533</v>
      </c>
      <c r="AD489" s="132">
        <v>20637691.670000002</v>
      </c>
      <c r="AE489" s="132">
        <v>29488570.530000001</v>
      </c>
      <c r="AF489" s="132">
        <v>41878838.020000003</v>
      </c>
      <c r="AG489" s="132">
        <v>46749618.259999998</v>
      </c>
      <c r="AH489" s="132">
        <v>50258094.019999996</v>
      </c>
      <c r="AI489" s="132">
        <v>55546837.68</v>
      </c>
      <c r="AJ489" s="132">
        <v>66309194.450000003</v>
      </c>
      <c r="AK489" s="132">
        <v>78224662.730000004</v>
      </c>
      <c r="AL489" s="132">
        <v>90394211.149999991</v>
      </c>
      <c r="AM489" s="132">
        <v>97409613.820000008</v>
      </c>
      <c r="AN489" s="132">
        <v>103666489.14</v>
      </c>
      <c r="AO489" s="132">
        <v>112879843.68000001</v>
      </c>
      <c r="AP489" s="132">
        <v>121698418.75</v>
      </c>
      <c r="AQ489" s="132">
        <v>122305021.7</v>
      </c>
      <c r="AR489" s="132">
        <v>118005309.51000001</v>
      </c>
      <c r="AS489" s="132">
        <v>126102842.31999999</v>
      </c>
      <c r="AT489" s="132">
        <v>131571268.14999999</v>
      </c>
      <c r="AU489" s="133"/>
      <c r="AV489" s="133"/>
      <c r="AW489" s="133"/>
      <c r="AX489" s="132">
        <v>131571268.14999999</v>
      </c>
    </row>
    <row r="490" spans="1:50" ht="14.4" x14ac:dyDescent="0.3">
      <c r="A490" s="180" t="s">
        <v>252</v>
      </c>
      <c r="B490" s="181">
        <v>1999</v>
      </c>
      <c r="C490" s="182">
        <v>18051489.48</v>
      </c>
      <c r="D490" s="182">
        <v>105813139.66</v>
      </c>
      <c r="E490" s="182">
        <v>115603360.34</v>
      </c>
      <c r="F490" s="182">
        <v>113066470.34</v>
      </c>
      <c r="G490" s="182">
        <v>124482502.8</v>
      </c>
      <c r="H490" s="182">
        <v>124893590.59999999</v>
      </c>
      <c r="I490" s="182">
        <v>152530143.5</v>
      </c>
      <c r="J490" s="182">
        <v>157114169.83000001</v>
      </c>
      <c r="K490" s="182">
        <v>154633858.28</v>
      </c>
      <c r="L490" s="182">
        <v>154323857.24000001</v>
      </c>
      <c r="M490" s="182">
        <v>153406767.24000001</v>
      </c>
      <c r="N490" s="182">
        <v>153406765.24000001</v>
      </c>
      <c r="O490" s="182">
        <v>160906764.24000001</v>
      </c>
      <c r="P490" s="182">
        <v>159422338.94999999</v>
      </c>
      <c r="Q490" s="182">
        <v>159422335.94999999</v>
      </c>
      <c r="R490" s="182">
        <v>159422335.94999999</v>
      </c>
      <c r="S490" s="182">
        <v>159422335.94999999</v>
      </c>
      <c r="T490" s="168"/>
      <c r="U490" s="168"/>
      <c r="V490" s="168"/>
      <c r="W490" s="168"/>
      <c r="X490" s="167">
        <v>-21535689.75</v>
      </c>
      <c r="AB490" s="129">
        <v>1996</v>
      </c>
      <c r="AC490" s="132">
        <v>8892284</v>
      </c>
      <c r="AD490" s="132">
        <v>20386161.670000002</v>
      </c>
      <c r="AE490" s="132">
        <v>24963011.330000002</v>
      </c>
      <c r="AF490" s="132">
        <v>34262282.670000002</v>
      </c>
      <c r="AG490" s="132">
        <v>36197600.93</v>
      </c>
      <c r="AH490" s="132">
        <v>40473214.68</v>
      </c>
      <c r="AI490" s="132">
        <v>52415995.719999999</v>
      </c>
      <c r="AJ490" s="132">
        <v>63304422.739999995</v>
      </c>
      <c r="AK490" s="132">
        <v>79984775.569999993</v>
      </c>
      <c r="AL490" s="132">
        <v>93028301.590000004</v>
      </c>
      <c r="AM490" s="132">
        <v>98748133.909999996</v>
      </c>
      <c r="AN490" s="132">
        <v>110583117.98999999</v>
      </c>
      <c r="AO490" s="132">
        <v>110999688.06</v>
      </c>
      <c r="AP490" s="132">
        <v>115418940.53</v>
      </c>
      <c r="AQ490" s="132">
        <v>117765784.78</v>
      </c>
      <c r="AR490" s="132">
        <v>134223794.10999998</v>
      </c>
      <c r="AS490" s="132">
        <v>135964663.34</v>
      </c>
      <c r="AT490" s="133"/>
      <c r="AU490" s="133"/>
      <c r="AV490" s="133"/>
      <c r="AW490" s="133"/>
      <c r="AX490" s="132">
        <v>135964663.34</v>
      </c>
    </row>
    <row r="491" spans="1:50" ht="14.4" x14ac:dyDescent="0.3">
      <c r="A491" s="163" t="s">
        <v>252</v>
      </c>
      <c r="B491" s="164">
        <v>2000</v>
      </c>
      <c r="C491" s="167">
        <v>8452525.6499999985</v>
      </c>
      <c r="D491" s="167">
        <v>14722704.269999996</v>
      </c>
      <c r="E491" s="167">
        <v>55219320.920000002</v>
      </c>
      <c r="F491" s="167">
        <v>22987345.159999996</v>
      </c>
      <c r="G491" s="167">
        <v>35825580.49999997</v>
      </c>
      <c r="H491" s="167">
        <v>27820142.570000023</v>
      </c>
      <c r="I491" s="167">
        <v>28585505.129999995</v>
      </c>
      <c r="J491" s="167">
        <v>30589407.189999998</v>
      </c>
      <c r="K491" s="167">
        <v>28231161.390000015</v>
      </c>
      <c r="L491" s="167">
        <v>28028608.419999987</v>
      </c>
      <c r="M491" s="167">
        <v>38360202.069999993</v>
      </c>
      <c r="N491" s="167">
        <v>38258757.75999999</v>
      </c>
      <c r="O491" s="167">
        <v>38240200.190000027</v>
      </c>
      <c r="P491" s="167">
        <v>38338047.160000026</v>
      </c>
      <c r="Q491" s="167">
        <v>38387547.160000026</v>
      </c>
      <c r="R491" s="167">
        <v>38387547.160000026</v>
      </c>
      <c r="S491" s="168"/>
      <c r="T491" s="168"/>
      <c r="U491" s="168"/>
      <c r="V491" s="168"/>
      <c r="W491" s="168"/>
      <c r="X491" s="167">
        <v>38387547.160000026</v>
      </c>
      <c r="AB491" s="129">
        <v>1997</v>
      </c>
      <c r="AC491" s="132">
        <v>4871781</v>
      </c>
      <c r="AD491" s="132">
        <v>37154882.950000003</v>
      </c>
      <c r="AE491" s="132">
        <v>45794948.710000001</v>
      </c>
      <c r="AF491" s="132">
        <v>52827454.339999996</v>
      </c>
      <c r="AG491" s="132">
        <v>63560683.299999997</v>
      </c>
      <c r="AH491" s="132">
        <v>65458851.759999998</v>
      </c>
      <c r="AI491" s="132">
        <v>84189893.230000004</v>
      </c>
      <c r="AJ491" s="132">
        <v>98260635.900000006</v>
      </c>
      <c r="AK491" s="132">
        <v>116177004.61999999</v>
      </c>
      <c r="AL491" s="132">
        <v>126303761.3</v>
      </c>
      <c r="AM491" s="132">
        <v>132307061.87</v>
      </c>
      <c r="AN491" s="132">
        <v>141512644.65000001</v>
      </c>
      <c r="AO491" s="132">
        <v>137527664.78</v>
      </c>
      <c r="AP491" s="132">
        <v>144406708.65000001</v>
      </c>
      <c r="AQ491" s="132">
        <v>148081759.74000001</v>
      </c>
      <c r="AR491" s="132">
        <v>150058162.71000001</v>
      </c>
      <c r="AS491" s="133"/>
      <c r="AT491" s="133"/>
      <c r="AU491" s="133"/>
      <c r="AV491" s="133"/>
      <c r="AW491" s="133"/>
      <c r="AX491" s="132">
        <v>150058162.71000001</v>
      </c>
    </row>
    <row r="492" spans="1:50" ht="14.4" x14ac:dyDescent="0.3">
      <c r="A492" s="163" t="s">
        <v>252</v>
      </c>
      <c r="B492" s="164">
        <v>2001</v>
      </c>
      <c r="C492" s="167">
        <v>4093418.879999999</v>
      </c>
      <c r="D492" s="167">
        <v>24400157.909999996</v>
      </c>
      <c r="E492" s="167">
        <v>34920633.5</v>
      </c>
      <c r="F492" s="167">
        <v>42455231.400000021</v>
      </c>
      <c r="G492" s="167">
        <v>59691345.229999989</v>
      </c>
      <c r="H492" s="167">
        <v>65094113.610000014</v>
      </c>
      <c r="I492" s="167">
        <v>72007943.349999994</v>
      </c>
      <c r="J492" s="167">
        <v>75927316.190000027</v>
      </c>
      <c r="K492" s="167">
        <v>81023439.019999981</v>
      </c>
      <c r="L492" s="167">
        <v>85778416.519999981</v>
      </c>
      <c r="M492" s="167">
        <v>85810565.659999996</v>
      </c>
      <c r="N492" s="167">
        <v>90961252.059999973</v>
      </c>
      <c r="O492" s="167">
        <v>91269101.069999993</v>
      </c>
      <c r="P492" s="167">
        <v>91503525.370000005</v>
      </c>
      <c r="Q492" s="167">
        <v>91667325.409999996</v>
      </c>
      <c r="R492" s="168"/>
      <c r="S492" s="168"/>
      <c r="T492" s="168"/>
      <c r="U492" s="168"/>
      <c r="V492" s="168"/>
      <c r="W492" s="168"/>
      <c r="X492" s="167">
        <v>91667325.409999996</v>
      </c>
      <c r="AB492" s="129">
        <v>1998</v>
      </c>
      <c r="AC492" s="132">
        <v>13015889</v>
      </c>
      <c r="AD492" s="132">
        <v>23786563.609999999</v>
      </c>
      <c r="AE492" s="132">
        <v>32620789.809999999</v>
      </c>
      <c r="AF492" s="132">
        <v>39131507.809999995</v>
      </c>
      <c r="AG492" s="132">
        <v>58506874.450000003</v>
      </c>
      <c r="AH492" s="132">
        <v>81972839.930000007</v>
      </c>
      <c r="AI492" s="132">
        <v>103228939.94</v>
      </c>
      <c r="AJ492" s="132">
        <v>126184451.5</v>
      </c>
      <c r="AK492" s="132">
        <v>139412631.18000001</v>
      </c>
      <c r="AL492" s="132">
        <v>146650001.83999997</v>
      </c>
      <c r="AM492" s="132">
        <v>168282240.48999998</v>
      </c>
      <c r="AN492" s="132">
        <v>171997498.68000001</v>
      </c>
      <c r="AO492" s="132">
        <v>173679869.15000001</v>
      </c>
      <c r="AP492" s="132">
        <v>184218498.74000001</v>
      </c>
      <c r="AQ492" s="132">
        <v>195860996.55000001</v>
      </c>
      <c r="AR492" s="133"/>
      <c r="AS492" s="133"/>
      <c r="AT492" s="133"/>
      <c r="AU492" s="133"/>
      <c r="AV492" s="133"/>
      <c r="AW492" s="133"/>
      <c r="AX492" s="132">
        <v>195860996.55000001</v>
      </c>
    </row>
    <row r="493" spans="1:50" ht="14.4" x14ac:dyDescent="0.3">
      <c r="A493" s="163" t="s">
        <v>252</v>
      </c>
      <c r="B493" s="164">
        <v>2002</v>
      </c>
      <c r="C493" s="167">
        <v>9912914.4800000004</v>
      </c>
      <c r="D493" s="167">
        <v>36073087.25</v>
      </c>
      <c r="E493" s="167">
        <v>52800597.879999995</v>
      </c>
      <c r="F493" s="167">
        <v>107015478.10000002</v>
      </c>
      <c r="G493" s="167">
        <v>100568196.99000001</v>
      </c>
      <c r="H493" s="167">
        <v>132608192.41999999</v>
      </c>
      <c r="I493" s="167">
        <v>132289868.94</v>
      </c>
      <c r="J493" s="167">
        <v>123384692.23999995</v>
      </c>
      <c r="K493" s="167">
        <v>126636066.42000002</v>
      </c>
      <c r="L493" s="167">
        <v>124861682.57999998</v>
      </c>
      <c r="M493" s="167">
        <v>124864255.56999996</v>
      </c>
      <c r="N493" s="167">
        <v>124523440.59</v>
      </c>
      <c r="O493" s="167">
        <v>124507581.56</v>
      </c>
      <c r="P493" s="167">
        <v>124490597.91999999</v>
      </c>
      <c r="Q493" s="168"/>
      <c r="R493" s="168"/>
      <c r="S493" s="168"/>
      <c r="T493" s="168"/>
      <c r="U493" s="168"/>
      <c r="V493" s="168"/>
      <c r="W493" s="168"/>
      <c r="X493" s="167">
        <v>124490597.91999999</v>
      </c>
      <c r="AB493" s="129">
        <v>1999</v>
      </c>
      <c r="AC493" s="132">
        <v>19256470.619999997</v>
      </c>
      <c r="AD493" s="132">
        <v>29067774.609999999</v>
      </c>
      <c r="AE493" s="132">
        <v>49010029.710000001</v>
      </c>
      <c r="AF493" s="132">
        <v>62293508.149999999</v>
      </c>
      <c r="AG493" s="132">
        <v>86866634.890000001</v>
      </c>
      <c r="AH493" s="132">
        <v>119306378.79000001</v>
      </c>
      <c r="AI493" s="132">
        <v>137826406.46000001</v>
      </c>
      <c r="AJ493" s="132">
        <v>157090189.22999999</v>
      </c>
      <c r="AK493" s="132">
        <v>168675565.08000001</v>
      </c>
      <c r="AL493" s="132">
        <v>202381110.46000001</v>
      </c>
      <c r="AM493" s="132">
        <v>209527746.34999999</v>
      </c>
      <c r="AN493" s="132">
        <v>188655646.5</v>
      </c>
      <c r="AO493" s="132">
        <v>195727027.97</v>
      </c>
      <c r="AP493" s="132">
        <v>202865492.24000001</v>
      </c>
      <c r="AQ493" s="133"/>
      <c r="AR493" s="133"/>
      <c r="AS493" s="133"/>
      <c r="AT493" s="133"/>
      <c r="AU493" s="133"/>
      <c r="AV493" s="133"/>
      <c r="AW493" s="133"/>
      <c r="AX493" s="132">
        <v>202865492.24000001</v>
      </c>
    </row>
    <row r="494" spans="1:50" ht="14.4" x14ac:dyDescent="0.3">
      <c r="A494" s="163" t="s">
        <v>252</v>
      </c>
      <c r="B494" s="164">
        <v>2003</v>
      </c>
      <c r="C494" s="167">
        <v>-649608.00999999978</v>
      </c>
      <c r="D494" s="167">
        <v>20953639.189999998</v>
      </c>
      <c r="E494" s="167">
        <v>31136330.530000009</v>
      </c>
      <c r="F494" s="167">
        <v>14832964.750000007</v>
      </c>
      <c r="G494" s="167">
        <v>10741209.169999994</v>
      </c>
      <c r="H494" s="167">
        <v>19506589.699999988</v>
      </c>
      <c r="I494" s="167">
        <v>28436615.950000018</v>
      </c>
      <c r="J494" s="167">
        <v>30500391.200000003</v>
      </c>
      <c r="K494" s="167">
        <v>40671126.979999989</v>
      </c>
      <c r="L494" s="167">
        <v>39472241.640000015</v>
      </c>
      <c r="M494" s="167">
        <v>38746682.689999998</v>
      </c>
      <c r="N494" s="167">
        <v>38735094.76000002</v>
      </c>
      <c r="O494" s="167">
        <v>38732781.070000023</v>
      </c>
      <c r="P494" s="168"/>
      <c r="Q494" s="168"/>
      <c r="R494" s="168"/>
      <c r="S494" s="168"/>
      <c r="T494" s="168"/>
      <c r="U494" s="168"/>
      <c r="V494" s="168"/>
      <c r="W494" s="168"/>
      <c r="X494" s="167">
        <v>38732781.070000023</v>
      </c>
      <c r="AB494" s="129">
        <v>2000</v>
      </c>
      <c r="AC494" s="132">
        <v>3577966.67</v>
      </c>
      <c r="AD494" s="132">
        <v>21300428.960000001</v>
      </c>
      <c r="AE494" s="132">
        <v>38482469.969999999</v>
      </c>
      <c r="AF494" s="132">
        <v>51983708.409999996</v>
      </c>
      <c r="AG494" s="132">
        <v>88046005.409999996</v>
      </c>
      <c r="AH494" s="132">
        <v>110019919.09999999</v>
      </c>
      <c r="AI494" s="132">
        <v>132402149.47999999</v>
      </c>
      <c r="AJ494" s="132">
        <v>157539411.84999999</v>
      </c>
      <c r="AK494" s="132">
        <v>192443708.78</v>
      </c>
      <c r="AL494" s="132">
        <v>206018187.94</v>
      </c>
      <c r="AM494" s="132">
        <v>228327574.19</v>
      </c>
      <c r="AN494" s="132">
        <v>238823518.07000002</v>
      </c>
      <c r="AO494" s="132">
        <v>249713049.09999999</v>
      </c>
      <c r="AP494" s="133"/>
      <c r="AQ494" s="133"/>
      <c r="AR494" s="133"/>
      <c r="AS494" s="133"/>
      <c r="AT494" s="133"/>
      <c r="AU494" s="133"/>
      <c r="AV494" s="133"/>
      <c r="AW494" s="133"/>
      <c r="AX494" s="132">
        <v>249713049.09999999</v>
      </c>
    </row>
    <row r="495" spans="1:50" ht="14.4" x14ac:dyDescent="0.3">
      <c r="A495" s="163" t="s">
        <v>252</v>
      </c>
      <c r="B495" s="164">
        <v>2004</v>
      </c>
      <c r="C495" s="167">
        <v>267487.08</v>
      </c>
      <c r="D495" s="167">
        <v>32123833.090000004</v>
      </c>
      <c r="E495" s="167">
        <v>59558777.989999995</v>
      </c>
      <c r="F495" s="167">
        <v>42003692.36999999</v>
      </c>
      <c r="G495" s="167">
        <v>49414095.529999994</v>
      </c>
      <c r="H495" s="167">
        <v>49085724.330000006</v>
      </c>
      <c r="I495" s="167">
        <v>53249598.229999997</v>
      </c>
      <c r="J495" s="167">
        <v>52524989.57</v>
      </c>
      <c r="K495" s="167">
        <v>57270821.310000002</v>
      </c>
      <c r="L495" s="167">
        <v>56940485.969999991</v>
      </c>
      <c r="M495" s="167">
        <v>56869628.919999994</v>
      </c>
      <c r="N495" s="167">
        <v>56869627.919999994</v>
      </c>
      <c r="O495" s="168"/>
      <c r="P495" s="168"/>
      <c r="Q495" s="168"/>
      <c r="R495" s="168"/>
      <c r="S495" s="168"/>
      <c r="T495" s="168"/>
      <c r="U495" s="168"/>
      <c r="V495" s="168"/>
      <c r="W495" s="168"/>
      <c r="X495" s="167">
        <v>56869627.919999994</v>
      </c>
      <c r="AB495" s="129">
        <v>2001</v>
      </c>
      <c r="AC495" s="132">
        <v>11229261.77</v>
      </c>
      <c r="AD495" s="132">
        <v>26602460.539999999</v>
      </c>
      <c r="AE495" s="132">
        <v>52177891.849999994</v>
      </c>
      <c r="AF495" s="132">
        <v>67434911.030000001</v>
      </c>
      <c r="AG495" s="132">
        <v>102939539.60000001</v>
      </c>
      <c r="AH495" s="132">
        <v>115686964.95999999</v>
      </c>
      <c r="AI495" s="132">
        <v>137155019.39000002</v>
      </c>
      <c r="AJ495" s="132">
        <v>151073703.59999999</v>
      </c>
      <c r="AK495" s="132">
        <v>167088890.91</v>
      </c>
      <c r="AL495" s="132">
        <v>187609339.16999999</v>
      </c>
      <c r="AM495" s="132">
        <v>198318729.32999998</v>
      </c>
      <c r="AN495" s="132">
        <v>211663440.07000002</v>
      </c>
      <c r="AO495" s="133"/>
      <c r="AP495" s="133"/>
      <c r="AQ495" s="133"/>
      <c r="AR495" s="133"/>
      <c r="AS495" s="133"/>
      <c r="AT495" s="133"/>
      <c r="AU495" s="133"/>
      <c r="AV495" s="133"/>
      <c r="AW495" s="133"/>
      <c r="AX495" s="132">
        <v>211663440.07000002</v>
      </c>
    </row>
    <row r="496" spans="1:50" ht="14.4" x14ac:dyDescent="0.3">
      <c r="A496" s="163" t="s">
        <v>252</v>
      </c>
      <c r="B496" s="164">
        <v>2005</v>
      </c>
      <c r="C496" s="167">
        <v>464217.66</v>
      </c>
      <c r="D496" s="167">
        <v>13740866.169999998</v>
      </c>
      <c r="E496" s="167">
        <v>22984484.240000002</v>
      </c>
      <c r="F496" s="167">
        <v>26835617.539999999</v>
      </c>
      <c r="G496" s="167">
        <v>27300148.779999997</v>
      </c>
      <c r="H496" s="167">
        <v>21424608.689999998</v>
      </c>
      <c r="I496" s="167">
        <v>26938225.329999998</v>
      </c>
      <c r="J496" s="167">
        <v>23713218.710000001</v>
      </c>
      <c r="K496" s="167">
        <v>23700856.840000004</v>
      </c>
      <c r="L496" s="167">
        <v>23700855.840000004</v>
      </c>
      <c r="M496" s="167">
        <v>23690411.879999999</v>
      </c>
      <c r="N496" s="168"/>
      <c r="O496" s="168"/>
      <c r="P496" s="168"/>
      <c r="Q496" s="168"/>
      <c r="R496" s="168"/>
      <c r="S496" s="168"/>
      <c r="T496" s="168"/>
      <c r="U496" s="168"/>
      <c r="V496" s="168"/>
      <c r="W496" s="168"/>
      <c r="X496" s="167">
        <v>23690411.879999999</v>
      </c>
      <c r="AB496" s="129">
        <v>2002</v>
      </c>
      <c r="AC496" s="132">
        <v>8986510.2700000014</v>
      </c>
      <c r="AD496" s="132">
        <v>26902994.709999997</v>
      </c>
      <c r="AE496" s="132">
        <v>37842333.339999996</v>
      </c>
      <c r="AF496" s="132">
        <v>50206730.149999999</v>
      </c>
      <c r="AG496" s="132">
        <v>59851150.349999994</v>
      </c>
      <c r="AH496" s="132">
        <v>71232846.609999999</v>
      </c>
      <c r="AI496" s="132">
        <v>81539096.459999993</v>
      </c>
      <c r="AJ496" s="132">
        <v>90591154.980000004</v>
      </c>
      <c r="AK496" s="132">
        <v>99870976.75</v>
      </c>
      <c r="AL496" s="132">
        <v>120691822.58</v>
      </c>
      <c r="AM496" s="132">
        <v>120166062.24000001</v>
      </c>
      <c r="AN496" s="133"/>
      <c r="AO496" s="133"/>
      <c r="AP496" s="133"/>
      <c r="AQ496" s="133"/>
      <c r="AR496" s="133"/>
      <c r="AS496" s="133"/>
      <c r="AT496" s="133"/>
      <c r="AU496" s="133"/>
      <c r="AV496" s="133"/>
      <c r="AW496" s="133"/>
      <c r="AX496" s="132">
        <v>120166062.24000001</v>
      </c>
    </row>
    <row r="497" spans="1:50" ht="14.4" x14ac:dyDescent="0.3">
      <c r="A497" s="163" t="s">
        <v>252</v>
      </c>
      <c r="B497" s="164">
        <v>2006</v>
      </c>
      <c r="C497" s="167">
        <v>11836104.699999999</v>
      </c>
      <c r="D497" s="167">
        <v>32482386.739999998</v>
      </c>
      <c r="E497" s="167">
        <v>57944294.069999993</v>
      </c>
      <c r="F497" s="167">
        <v>52601651.939999998</v>
      </c>
      <c r="G497" s="167">
        <v>50988837.030000001</v>
      </c>
      <c r="H497" s="167">
        <v>59548058.079999998</v>
      </c>
      <c r="I497" s="167">
        <v>56868264.060000002</v>
      </c>
      <c r="J497" s="167">
        <v>56867530.219999999</v>
      </c>
      <c r="K497" s="167">
        <v>60377568.479999997</v>
      </c>
      <c r="L497" s="167">
        <v>60398650.439999998</v>
      </c>
      <c r="M497" s="168"/>
      <c r="N497" s="168"/>
      <c r="O497" s="168"/>
      <c r="P497" s="168"/>
      <c r="Q497" s="168"/>
      <c r="R497" s="168"/>
      <c r="S497" s="168"/>
      <c r="T497" s="168"/>
      <c r="U497" s="168"/>
      <c r="V497" s="168"/>
      <c r="W497" s="168"/>
      <c r="X497" s="167">
        <v>60398650.439999998</v>
      </c>
      <c r="AB497" s="129">
        <v>2003</v>
      </c>
      <c r="AC497" s="132">
        <v>19117811</v>
      </c>
      <c r="AD497" s="132">
        <v>16744587.460000001</v>
      </c>
      <c r="AE497" s="132">
        <v>26117663.689999998</v>
      </c>
      <c r="AF497" s="132">
        <v>27727920.199999999</v>
      </c>
      <c r="AG497" s="132">
        <v>29161595.040000003</v>
      </c>
      <c r="AH497" s="132">
        <v>36121289.989999995</v>
      </c>
      <c r="AI497" s="132">
        <v>39402127.149999999</v>
      </c>
      <c r="AJ497" s="132">
        <v>42838919.68</v>
      </c>
      <c r="AK497" s="132">
        <v>47770735.830000006</v>
      </c>
      <c r="AL497" s="132">
        <v>50681355.289999999</v>
      </c>
      <c r="AM497" s="133"/>
      <c r="AN497" s="133"/>
      <c r="AO497" s="133"/>
      <c r="AP497" s="133"/>
      <c r="AQ497" s="133"/>
      <c r="AR497" s="133"/>
      <c r="AS497" s="133"/>
      <c r="AT497" s="133"/>
      <c r="AU497" s="133"/>
      <c r="AV497" s="133"/>
      <c r="AW497" s="133"/>
      <c r="AX497" s="132">
        <v>50681355.289999999</v>
      </c>
    </row>
    <row r="498" spans="1:50" ht="14.4" x14ac:dyDescent="0.3">
      <c r="A498" s="163" t="s">
        <v>252</v>
      </c>
      <c r="B498" s="164">
        <v>2007</v>
      </c>
      <c r="C498" s="167">
        <v>4585909.28</v>
      </c>
      <c r="D498" s="167">
        <v>53076015.120000005</v>
      </c>
      <c r="E498" s="167">
        <v>70841650.350000009</v>
      </c>
      <c r="F498" s="167">
        <v>75090896.569999993</v>
      </c>
      <c r="G498" s="167">
        <v>100973982.59</v>
      </c>
      <c r="H498" s="167">
        <v>93911262.810000002</v>
      </c>
      <c r="I498" s="167">
        <v>93774376.090000004</v>
      </c>
      <c r="J498" s="167">
        <v>84516245.340000004</v>
      </c>
      <c r="K498" s="167">
        <v>84293928.159999996</v>
      </c>
      <c r="L498" s="168"/>
      <c r="M498" s="168"/>
      <c r="N498" s="168"/>
      <c r="O498" s="168"/>
      <c r="P498" s="168"/>
      <c r="Q498" s="168"/>
      <c r="R498" s="168"/>
      <c r="S498" s="168"/>
      <c r="T498" s="168"/>
      <c r="U498" s="168"/>
      <c r="V498" s="168"/>
      <c r="W498" s="168"/>
      <c r="X498" s="167">
        <v>84293928.159999996</v>
      </c>
      <c r="AB498" s="129">
        <v>2004</v>
      </c>
      <c r="AC498" s="132">
        <v>2382428.87</v>
      </c>
      <c r="AD498" s="132">
        <v>14811975.91</v>
      </c>
      <c r="AE498" s="132">
        <v>16261757.699999999</v>
      </c>
      <c r="AF498" s="132">
        <v>27038849.48</v>
      </c>
      <c r="AG498" s="132">
        <v>29119550.25</v>
      </c>
      <c r="AH498" s="132">
        <v>32094295.41</v>
      </c>
      <c r="AI498" s="132">
        <v>33675029.060000002</v>
      </c>
      <c r="AJ498" s="132">
        <v>33952333.390000001</v>
      </c>
      <c r="AK498" s="132">
        <v>33508631.870000001</v>
      </c>
      <c r="AL498" s="133"/>
      <c r="AM498" s="133"/>
      <c r="AN498" s="133"/>
      <c r="AO498" s="133"/>
      <c r="AP498" s="133"/>
      <c r="AQ498" s="133"/>
      <c r="AR498" s="133"/>
      <c r="AS498" s="133"/>
      <c r="AT498" s="133"/>
      <c r="AU498" s="133"/>
      <c r="AV498" s="133"/>
      <c r="AW498" s="133"/>
      <c r="AX498" s="132">
        <v>33508631.870000001</v>
      </c>
    </row>
    <row r="499" spans="1:50" ht="14.4" x14ac:dyDescent="0.3">
      <c r="A499" s="163" t="s">
        <v>252</v>
      </c>
      <c r="B499" s="164">
        <v>2008</v>
      </c>
      <c r="C499" s="167">
        <v>15600915.810000001</v>
      </c>
      <c r="D499" s="167">
        <v>73529868.950000003</v>
      </c>
      <c r="E499" s="167">
        <v>130200580.55</v>
      </c>
      <c r="F499" s="167">
        <v>183607371.16999999</v>
      </c>
      <c r="G499" s="167">
        <v>176778417.35999998</v>
      </c>
      <c r="H499" s="167">
        <v>166304639.81999999</v>
      </c>
      <c r="I499" s="167">
        <v>162894311.22</v>
      </c>
      <c r="J499" s="167">
        <v>161690407.09</v>
      </c>
      <c r="K499" s="168"/>
      <c r="L499" s="168"/>
      <c r="M499" s="168"/>
      <c r="N499" s="168"/>
      <c r="O499" s="168"/>
      <c r="P499" s="168"/>
      <c r="Q499" s="168"/>
      <c r="R499" s="168"/>
      <c r="S499" s="168"/>
      <c r="T499" s="168"/>
      <c r="U499" s="168"/>
      <c r="V499" s="168"/>
      <c r="W499" s="168"/>
      <c r="X499" s="167">
        <v>161690407.09</v>
      </c>
      <c r="AB499" s="129">
        <v>2005</v>
      </c>
      <c r="AC499" s="132">
        <v>808224</v>
      </c>
      <c r="AD499" s="132">
        <v>5835878.2300000004</v>
      </c>
      <c r="AE499" s="132">
        <v>7536954.7299999995</v>
      </c>
      <c r="AF499" s="132">
        <v>8260638.9199999999</v>
      </c>
      <c r="AG499" s="132">
        <v>10721692.75</v>
      </c>
      <c r="AH499" s="132">
        <v>13813926.279999999</v>
      </c>
      <c r="AI499" s="132">
        <v>17902997.300000001</v>
      </c>
      <c r="AJ499" s="132">
        <v>19709325.890000001</v>
      </c>
      <c r="AK499" s="133"/>
      <c r="AL499" s="133"/>
      <c r="AM499" s="133"/>
      <c r="AN499" s="133"/>
      <c r="AO499" s="133"/>
      <c r="AP499" s="133"/>
      <c r="AQ499" s="133"/>
      <c r="AR499" s="133"/>
      <c r="AS499" s="133"/>
      <c r="AT499" s="133"/>
      <c r="AU499" s="133"/>
      <c r="AV499" s="133"/>
      <c r="AW499" s="133"/>
      <c r="AX499" s="132">
        <v>19709325.890000001</v>
      </c>
    </row>
    <row r="500" spans="1:50" ht="14.4" x14ac:dyDescent="0.3">
      <c r="A500" s="163" t="s">
        <v>252</v>
      </c>
      <c r="B500" s="164">
        <v>2009</v>
      </c>
      <c r="C500" s="167">
        <v>11000977.459999999</v>
      </c>
      <c r="D500" s="167">
        <v>45514826.710000001</v>
      </c>
      <c r="E500" s="167">
        <v>74087729.939999998</v>
      </c>
      <c r="F500" s="167">
        <v>91097076.560000002</v>
      </c>
      <c r="G500" s="167">
        <v>88473867.950000003</v>
      </c>
      <c r="H500" s="167">
        <v>82541406.030000001</v>
      </c>
      <c r="I500" s="167">
        <v>88591394.530000001</v>
      </c>
      <c r="J500" s="168"/>
      <c r="K500" s="168"/>
      <c r="L500" s="168"/>
      <c r="M500" s="168"/>
      <c r="N500" s="168"/>
      <c r="O500" s="168"/>
      <c r="P500" s="168"/>
      <c r="Q500" s="168"/>
      <c r="R500" s="168"/>
      <c r="S500" s="168"/>
      <c r="T500" s="168"/>
      <c r="U500" s="168"/>
      <c r="V500" s="168"/>
      <c r="W500" s="168"/>
      <c r="X500" s="167">
        <v>88591394.530000001</v>
      </c>
      <c r="AB500" s="129">
        <v>2006</v>
      </c>
      <c r="AC500" s="132">
        <v>2516061</v>
      </c>
      <c r="AD500" s="132">
        <v>5867032</v>
      </c>
      <c r="AE500" s="132">
        <v>7202618.6800000006</v>
      </c>
      <c r="AF500" s="132">
        <v>10788159.460000001</v>
      </c>
      <c r="AG500" s="132">
        <v>11712946.460000001</v>
      </c>
      <c r="AH500" s="132">
        <v>16603193.289999999</v>
      </c>
      <c r="AI500" s="132">
        <v>16436672.790000001</v>
      </c>
      <c r="AJ500" s="133"/>
      <c r="AK500" s="133"/>
      <c r="AL500" s="133"/>
      <c r="AM500" s="133"/>
      <c r="AN500" s="133"/>
      <c r="AO500" s="133"/>
      <c r="AP500" s="133"/>
      <c r="AQ500" s="133"/>
      <c r="AR500" s="133"/>
      <c r="AS500" s="133"/>
      <c r="AT500" s="133"/>
      <c r="AU500" s="133"/>
      <c r="AV500" s="133"/>
      <c r="AW500" s="133"/>
      <c r="AX500" s="132">
        <v>16436672.790000001</v>
      </c>
    </row>
    <row r="501" spans="1:50" ht="14.4" x14ac:dyDescent="0.3">
      <c r="A501" s="163" t="s">
        <v>252</v>
      </c>
      <c r="B501" s="164">
        <v>2010</v>
      </c>
      <c r="C501" s="167">
        <v>541046.08000000007</v>
      </c>
      <c r="D501" s="167">
        <v>48188193.07</v>
      </c>
      <c r="E501" s="167">
        <v>90597283.579999998</v>
      </c>
      <c r="F501" s="167">
        <v>112929691.97</v>
      </c>
      <c r="G501" s="167">
        <v>105124930.09</v>
      </c>
      <c r="H501" s="167">
        <v>117129956.90000001</v>
      </c>
      <c r="I501" s="168"/>
      <c r="J501" s="168"/>
      <c r="K501" s="168"/>
      <c r="L501" s="168"/>
      <c r="M501" s="168"/>
      <c r="N501" s="168"/>
      <c r="O501" s="168"/>
      <c r="P501" s="168"/>
      <c r="Q501" s="168"/>
      <c r="R501" s="168"/>
      <c r="S501" s="168"/>
      <c r="T501" s="168"/>
      <c r="U501" s="168"/>
      <c r="V501" s="168"/>
      <c r="W501" s="168"/>
      <c r="X501" s="167">
        <v>117129956.90000001</v>
      </c>
      <c r="AB501" s="129">
        <v>2007</v>
      </c>
      <c r="AC501" s="132">
        <v>11</v>
      </c>
      <c r="AD501" s="132">
        <v>2256769</v>
      </c>
      <c r="AE501" s="132">
        <v>2658601.8199999998</v>
      </c>
      <c r="AF501" s="132">
        <v>3627769.64</v>
      </c>
      <c r="AG501" s="132">
        <v>5482007.6699999999</v>
      </c>
      <c r="AH501" s="132">
        <v>6170203.71</v>
      </c>
      <c r="AI501" s="133"/>
      <c r="AJ501" s="133"/>
      <c r="AK501" s="133"/>
      <c r="AL501" s="133"/>
      <c r="AM501" s="133"/>
      <c r="AN501" s="133"/>
      <c r="AO501" s="133"/>
      <c r="AP501" s="133"/>
      <c r="AQ501" s="133"/>
      <c r="AR501" s="133"/>
      <c r="AS501" s="133"/>
      <c r="AT501" s="133"/>
      <c r="AU501" s="133"/>
      <c r="AV501" s="133"/>
      <c r="AW501" s="133"/>
      <c r="AX501" s="132">
        <v>6170203.71</v>
      </c>
    </row>
    <row r="502" spans="1:50" ht="14.4" x14ac:dyDescent="0.3">
      <c r="A502" s="163" t="s">
        <v>252</v>
      </c>
      <c r="B502" s="164">
        <v>2011</v>
      </c>
      <c r="C502" s="167">
        <v>22529746.309999999</v>
      </c>
      <c r="D502" s="167">
        <v>93415407.350000009</v>
      </c>
      <c r="E502" s="167">
        <v>125408166.77000001</v>
      </c>
      <c r="F502" s="167">
        <v>132624653.90000001</v>
      </c>
      <c r="G502" s="167">
        <v>128538593.14</v>
      </c>
      <c r="H502" s="168"/>
      <c r="I502" s="168"/>
      <c r="J502" s="168"/>
      <c r="K502" s="168"/>
      <c r="L502" s="168"/>
      <c r="M502" s="168"/>
      <c r="N502" s="168"/>
      <c r="O502" s="168"/>
      <c r="P502" s="168"/>
      <c r="Q502" s="168"/>
      <c r="R502" s="168"/>
      <c r="S502" s="168"/>
      <c r="T502" s="168"/>
      <c r="U502" s="168"/>
      <c r="V502" s="168"/>
      <c r="W502" s="168"/>
      <c r="X502" s="167">
        <v>128538593.14</v>
      </c>
      <c r="AB502" s="129">
        <v>2008</v>
      </c>
      <c r="AC502" s="132">
        <v>1</v>
      </c>
      <c r="AD502" s="132">
        <v>0</v>
      </c>
      <c r="AE502" s="132">
        <v>0</v>
      </c>
      <c r="AF502" s="132">
        <v>0</v>
      </c>
      <c r="AG502" s="132">
        <v>0</v>
      </c>
      <c r="AH502" s="133"/>
      <c r="AI502" s="133"/>
      <c r="AJ502" s="133"/>
      <c r="AK502" s="133"/>
      <c r="AL502" s="133"/>
      <c r="AM502" s="133"/>
      <c r="AN502" s="133"/>
      <c r="AO502" s="133"/>
      <c r="AP502" s="133"/>
      <c r="AQ502" s="133"/>
      <c r="AR502" s="133"/>
      <c r="AS502" s="133"/>
      <c r="AT502" s="133"/>
      <c r="AU502" s="133"/>
      <c r="AV502" s="133"/>
      <c r="AW502" s="133"/>
      <c r="AX502" s="132">
        <v>0</v>
      </c>
    </row>
    <row r="503" spans="1:50" ht="14.4" x14ac:dyDescent="0.3">
      <c r="A503" s="163" t="s">
        <v>252</v>
      </c>
      <c r="B503" s="164">
        <v>2012</v>
      </c>
      <c r="C503" s="167">
        <v>27398335.739999998</v>
      </c>
      <c r="D503" s="167">
        <v>60838287.740000002</v>
      </c>
      <c r="E503" s="167">
        <v>78504418.400000006</v>
      </c>
      <c r="F503" s="167">
        <v>114112333.45</v>
      </c>
      <c r="G503" s="168"/>
      <c r="H503" s="168"/>
      <c r="I503" s="168"/>
      <c r="J503" s="168"/>
      <c r="K503" s="168"/>
      <c r="L503" s="168"/>
      <c r="M503" s="168"/>
      <c r="N503" s="168"/>
      <c r="O503" s="168"/>
      <c r="P503" s="168"/>
      <c r="Q503" s="168"/>
      <c r="R503" s="168"/>
      <c r="S503" s="168"/>
      <c r="T503" s="168"/>
      <c r="U503" s="168"/>
      <c r="V503" s="168"/>
      <c r="W503" s="168"/>
      <c r="X503" s="167">
        <v>114112333.45</v>
      </c>
      <c r="AB503" s="129">
        <v>2009</v>
      </c>
      <c r="AC503" s="132">
        <v>0</v>
      </c>
      <c r="AD503" s="132">
        <v>0</v>
      </c>
      <c r="AE503" s="132">
        <v>0</v>
      </c>
      <c r="AF503" s="132">
        <v>0</v>
      </c>
      <c r="AG503" s="133"/>
      <c r="AH503" s="133"/>
      <c r="AI503" s="133"/>
      <c r="AJ503" s="133"/>
      <c r="AK503" s="133"/>
      <c r="AL503" s="133"/>
      <c r="AM503" s="133"/>
      <c r="AN503" s="133"/>
      <c r="AO503" s="133"/>
      <c r="AP503" s="133"/>
      <c r="AQ503" s="133"/>
      <c r="AR503" s="133"/>
      <c r="AS503" s="133"/>
      <c r="AT503" s="133"/>
      <c r="AU503" s="133"/>
      <c r="AV503" s="133"/>
      <c r="AW503" s="133"/>
      <c r="AX503" s="132">
        <v>0</v>
      </c>
    </row>
    <row r="504" spans="1:50" ht="14.4" x14ac:dyDescent="0.3">
      <c r="A504" s="163" t="s">
        <v>252</v>
      </c>
      <c r="B504" s="164">
        <v>2013</v>
      </c>
      <c r="C504" s="167">
        <v>38564722.689999998</v>
      </c>
      <c r="D504" s="167">
        <v>113634678.08</v>
      </c>
      <c r="E504" s="167">
        <v>179860002.19</v>
      </c>
      <c r="F504" s="168"/>
      <c r="G504" s="168"/>
      <c r="H504" s="168"/>
      <c r="I504" s="168"/>
      <c r="J504" s="168"/>
      <c r="K504" s="168"/>
      <c r="L504" s="168"/>
      <c r="M504" s="168"/>
      <c r="N504" s="168"/>
      <c r="O504" s="168"/>
      <c r="P504" s="168"/>
      <c r="Q504" s="168"/>
      <c r="R504" s="168"/>
      <c r="S504" s="168"/>
      <c r="T504" s="168"/>
      <c r="U504" s="168"/>
      <c r="V504" s="168"/>
      <c r="W504" s="168"/>
      <c r="X504" s="167">
        <v>179860002.19</v>
      </c>
      <c r="AB504" s="129">
        <v>2010</v>
      </c>
      <c r="AC504" s="132">
        <v>0</v>
      </c>
      <c r="AD504" s="132">
        <v>0</v>
      </c>
      <c r="AE504" s="132">
        <v>0</v>
      </c>
      <c r="AF504" s="133"/>
      <c r="AG504" s="133"/>
      <c r="AH504" s="133"/>
      <c r="AI504" s="133"/>
      <c r="AJ504" s="133"/>
      <c r="AK504" s="133"/>
      <c r="AL504" s="133"/>
      <c r="AM504" s="133"/>
      <c r="AN504" s="133"/>
      <c r="AO504" s="133"/>
      <c r="AP504" s="133"/>
      <c r="AQ504" s="133"/>
      <c r="AR504" s="133"/>
      <c r="AS504" s="133"/>
      <c r="AT504" s="133"/>
      <c r="AU504" s="133"/>
      <c r="AV504" s="133"/>
      <c r="AW504" s="133"/>
      <c r="AX504" s="132">
        <v>0</v>
      </c>
    </row>
    <row r="505" spans="1:50" ht="14.4" x14ac:dyDescent="0.3">
      <c r="A505" s="163" t="s">
        <v>252</v>
      </c>
      <c r="B505" s="164">
        <v>2014</v>
      </c>
      <c r="C505" s="167">
        <v>11371299.550000001</v>
      </c>
      <c r="D505" s="167">
        <v>60404679.220000006</v>
      </c>
      <c r="E505" s="168"/>
      <c r="F505" s="168"/>
      <c r="G505" s="168"/>
      <c r="H505" s="168"/>
      <c r="I505" s="168"/>
      <c r="J505" s="168"/>
      <c r="K505" s="168"/>
      <c r="L505" s="168"/>
      <c r="M505" s="168"/>
      <c r="N505" s="168"/>
      <c r="O505" s="168"/>
      <c r="P505" s="168"/>
      <c r="Q505" s="168"/>
      <c r="R505" s="168"/>
      <c r="S505" s="168"/>
      <c r="T505" s="168"/>
      <c r="U505" s="168"/>
      <c r="V505" s="168"/>
      <c r="W505" s="168"/>
      <c r="X505" s="167">
        <v>60404679.220000006</v>
      </c>
      <c r="AB505" s="129">
        <v>2011</v>
      </c>
      <c r="AC505" s="132">
        <v>0</v>
      </c>
      <c r="AD505" s="132">
        <v>0</v>
      </c>
      <c r="AE505" s="133"/>
      <c r="AF505" s="133"/>
      <c r="AG505" s="133"/>
      <c r="AH505" s="133"/>
      <c r="AI505" s="133"/>
      <c r="AJ505" s="133"/>
      <c r="AK505" s="133"/>
      <c r="AL505" s="133"/>
      <c r="AM505" s="133"/>
      <c r="AN505" s="133"/>
      <c r="AO505" s="133"/>
      <c r="AP505" s="133"/>
      <c r="AQ505" s="133"/>
      <c r="AR505" s="133"/>
      <c r="AS505" s="133"/>
      <c r="AT505" s="133"/>
      <c r="AU505" s="133"/>
      <c r="AV505" s="133"/>
      <c r="AW505" s="133"/>
      <c r="AX505" s="132">
        <v>0</v>
      </c>
    </row>
    <row r="506" spans="1:50" ht="14.4" x14ac:dyDescent="0.3">
      <c r="A506" s="163" t="s">
        <v>252</v>
      </c>
      <c r="B506" s="164">
        <v>2015</v>
      </c>
      <c r="C506" s="167">
        <v>9260838.5999999996</v>
      </c>
      <c r="D506" s="168"/>
      <c r="E506" s="168"/>
      <c r="F506" s="168"/>
      <c r="G506" s="168"/>
      <c r="H506" s="168"/>
      <c r="I506" s="168"/>
      <c r="J506" s="168"/>
      <c r="K506" s="168"/>
      <c r="L506" s="168"/>
      <c r="M506" s="168"/>
      <c r="N506" s="168"/>
      <c r="O506" s="168"/>
      <c r="P506" s="168"/>
      <c r="Q506" s="168"/>
      <c r="R506" s="168"/>
      <c r="S506" s="168"/>
      <c r="T506" s="168"/>
      <c r="U506" s="168"/>
      <c r="V506" s="168"/>
      <c r="W506" s="168"/>
      <c r="X506" s="167">
        <v>9260838.5999999996</v>
      </c>
      <c r="AB506" s="129">
        <v>2012</v>
      </c>
      <c r="AC506" s="132">
        <v>0</v>
      </c>
      <c r="AD506" s="133"/>
      <c r="AE506" s="133"/>
      <c r="AF506" s="133"/>
      <c r="AG506" s="133"/>
      <c r="AH506" s="133"/>
      <c r="AI506" s="133"/>
      <c r="AJ506" s="133"/>
      <c r="AK506" s="133"/>
      <c r="AL506" s="133"/>
      <c r="AM506" s="133"/>
      <c r="AN506" s="133"/>
      <c r="AO506" s="133"/>
      <c r="AP506" s="133"/>
      <c r="AQ506" s="133"/>
      <c r="AR506" s="133"/>
      <c r="AS506" s="133"/>
      <c r="AT506" s="133"/>
      <c r="AU506" s="133"/>
      <c r="AV506" s="133"/>
      <c r="AW506" s="133"/>
      <c r="AX506" s="132">
        <v>0</v>
      </c>
    </row>
    <row r="507" spans="1:50" ht="14.4" x14ac:dyDescent="0.3">
      <c r="A507" s="163" t="s">
        <v>44</v>
      </c>
      <c r="B507" s="164">
        <v>1995</v>
      </c>
      <c r="C507" s="167">
        <v>1531843.5499999998</v>
      </c>
      <c r="D507" s="167">
        <v>6955667.1500000004</v>
      </c>
      <c r="E507" s="167">
        <v>9537028.9799999986</v>
      </c>
      <c r="F507" s="167">
        <v>7467695.0900000008</v>
      </c>
      <c r="G507" s="167">
        <v>8428438.6099999994</v>
      </c>
      <c r="H507" s="167">
        <v>8141345.3100000005</v>
      </c>
      <c r="I507" s="167">
        <v>7906096.8000000007</v>
      </c>
      <c r="J507" s="167">
        <v>7874815.6400000006</v>
      </c>
      <c r="K507" s="167">
        <v>7874149.0199999996</v>
      </c>
      <c r="L507" s="167">
        <v>7839390.0199999996</v>
      </c>
      <c r="M507" s="167">
        <v>7839630.9000000004</v>
      </c>
      <c r="N507" s="167">
        <v>7945510.2299999995</v>
      </c>
      <c r="O507" s="167">
        <v>7945510.2299999995</v>
      </c>
      <c r="P507" s="167">
        <v>7945613.3300000001</v>
      </c>
      <c r="Q507" s="167">
        <v>7945445.7599999998</v>
      </c>
      <c r="R507" s="167">
        <v>7945445.7599999998</v>
      </c>
      <c r="S507" s="167">
        <v>7945445.7599999998</v>
      </c>
      <c r="T507" s="167">
        <v>7945445.7599999998</v>
      </c>
      <c r="U507" s="167">
        <v>7945445.7599999998</v>
      </c>
      <c r="V507" s="167">
        <v>7945445.7599999998</v>
      </c>
      <c r="W507" s="167">
        <v>7945445.7599999998</v>
      </c>
      <c r="X507" s="167">
        <v>7945445.7599999998</v>
      </c>
      <c r="AC507" s="43"/>
      <c r="AD507" s="43"/>
      <c r="AE507" s="43"/>
      <c r="AF507" s="43"/>
      <c r="AG507" s="43"/>
      <c r="AH507" s="43"/>
      <c r="AI507" s="43"/>
      <c r="AJ507" s="43"/>
      <c r="AK507" s="43"/>
      <c r="AL507" s="43"/>
      <c r="AM507" s="43"/>
      <c r="AN507" s="43"/>
      <c r="AO507" s="43"/>
      <c r="AP507" s="43"/>
      <c r="AQ507" s="43"/>
      <c r="AR507" s="43"/>
      <c r="AS507" s="43"/>
      <c r="AT507" s="43"/>
      <c r="AU507" s="43"/>
      <c r="AV507" s="43"/>
      <c r="AW507" s="43"/>
      <c r="AX507" s="43"/>
    </row>
    <row r="508" spans="1:50" ht="14.4" x14ac:dyDescent="0.3">
      <c r="A508" s="163" t="s">
        <v>44</v>
      </c>
      <c r="B508" s="164">
        <v>1996</v>
      </c>
      <c r="C508" s="167">
        <v>1163730.95</v>
      </c>
      <c r="D508" s="167">
        <v>5354312.6400000006</v>
      </c>
      <c r="E508" s="167">
        <v>8008651.4900000002</v>
      </c>
      <c r="F508" s="167">
        <v>8852129.8200000003</v>
      </c>
      <c r="G508" s="167">
        <v>8604828.0599999987</v>
      </c>
      <c r="H508" s="167">
        <v>8540073.8100000005</v>
      </c>
      <c r="I508" s="167">
        <v>8510465.3099999987</v>
      </c>
      <c r="J508" s="167">
        <v>8384870.040000001</v>
      </c>
      <c r="K508" s="167">
        <v>8419479.9600000009</v>
      </c>
      <c r="L508" s="167">
        <v>8381082.6200000001</v>
      </c>
      <c r="M508" s="167">
        <v>8389062.4299999997</v>
      </c>
      <c r="N508" s="167">
        <v>8389623.3900000006</v>
      </c>
      <c r="O508" s="167">
        <v>8421157.6899999995</v>
      </c>
      <c r="P508" s="167">
        <v>8420150.6900000013</v>
      </c>
      <c r="Q508" s="167">
        <v>8419917.6899999995</v>
      </c>
      <c r="R508" s="167">
        <v>8419720.9199999999</v>
      </c>
      <c r="S508" s="167">
        <v>8419522.4299999997</v>
      </c>
      <c r="T508" s="167">
        <v>8419237.6600000001</v>
      </c>
      <c r="U508" s="167">
        <v>8419091.9400000013</v>
      </c>
      <c r="V508" s="167">
        <v>8418978.7599999998</v>
      </c>
      <c r="W508" s="168"/>
      <c r="X508" s="167">
        <v>8418978.7599999998</v>
      </c>
      <c r="AC508" s="43"/>
      <c r="AD508" s="43"/>
      <c r="AE508" s="43"/>
      <c r="AF508" s="43"/>
      <c r="AG508" s="43"/>
      <c r="AH508" s="43"/>
      <c r="AI508" s="43"/>
      <c r="AJ508" s="43"/>
      <c r="AK508" s="43"/>
      <c r="AL508" s="43"/>
      <c r="AM508" s="43"/>
      <c r="AN508" s="43"/>
      <c r="AO508" s="43"/>
      <c r="AP508" s="43"/>
      <c r="AQ508" s="43"/>
      <c r="AR508" s="43"/>
      <c r="AS508" s="43"/>
      <c r="AT508" s="43"/>
      <c r="AU508" s="43"/>
      <c r="AV508" s="43"/>
      <c r="AW508" s="43"/>
      <c r="AX508" s="43"/>
    </row>
    <row r="509" spans="1:50" ht="14.4" x14ac:dyDescent="0.3">
      <c r="A509" s="163" t="s">
        <v>44</v>
      </c>
      <c r="B509" s="164">
        <v>1997</v>
      </c>
      <c r="C509" s="167">
        <v>3810675.55</v>
      </c>
      <c r="D509" s="167">
        <v>7459503.3600000003</v>
      </c>
      <c r="E509" s="167">
        <v>9922216.4600000009</v>
      </c>
      <c r="F509" s="167">
        <v>11890991.41</v>
      </c>
      <c r="G509" s="167">
        <v>10891388.4</v>
      </c>
      <c r="H509" s="167">
        <v>11074018.510000002</v>
      </c>
      <c r="I509" s="167">
        <v>10968330.66</v>
      </c>
      <c r="J509" s="167">
        <v>10850610.549999999</v>
      </c>
      <c r="K509" s="167">
        <v>10791590.109999999</v>
      </c>
      <c r="L509" s="167">
        <v>10717354.07</v>
      </c>
      <c r="M509" s="167">
        <v>10701442.859999999</v>
      </c>
      <c r="N509" s="167">
        <v>10698702.260000002</v>
      </c>
      <c r="O509" s="167">
        <v>10698702.260000002</v>
      </c>
      <c r="P509" s="167">
        <v>10698702.260000002</v>
      </c>
      <c r="Q509" s="167">
        <v>10698702.260000002</v>
      </c>
      <c r="R509" s="167">
        <v>10698702.260000002</v>
      </c>
      <c r="S509" s="167">
        <v>10698702.24</v>
      </c>
      <c r="T509" s="167">
        <v>10698702.24</v>
      </c>
      <c r="U509" s="167">
        <v>10698702.24</v>
      </c>
      <c r="V509" s="168"/>
      <c r="W509" s="168"/>
      <c r="X509" s="167">
        <v>10698702.24</v>
      </c>
      <c r="AC509" s="43"/>
      <c r="AD509" s="43"/>
      <c r="AE509" s="43"/>
      <c r="AF509" s="43"/>
      <c r="AG509" s="43"/>
      <c r="AH509" s="43"/>
      <c r="AI509" s="43"/>
      <c r="AJ509" s="43"/>
      <c r="AK509" s="43"/>
      <c r="AL509" s="43"/>
      <c r="AM509" s="43"/>
      <c r="AN509" s="43"/>
      <c r="AO509" s="43"/>
      <c r="AP509" s="43"/>
      <c r="AQ509" s="43"/>
      <c r="AR509" s="43"/>
      <c r="AS509" s="43"/>
      <c r="AT509" s="43"/>
      <c r="AU509" s="43"/>
      <c r="AV509" s="43"/>
      <c r="AW509" s="43"/>
      <c r="AX509" s="43"/>
    </row>
    <row r="510" spans="1:50" ht="14.4" x14ac:dyDescent="0.3">
      <c r="A510" s="163" t="s">
        <v>44</v>
      </c>
      <c r="B510" s="164">
        <v>1998</v>
      </c>
      <c r="C510" s="167">
        <v>4395105.24</v>
      </c>
      <c r="D510" s="167">
        <v>16225593.91</v>
      </c>
      <c r="E510" s="167">
        <v>17582745.640000001</v>
      </c>
      <c r="F510" s="167">
        <v>18788927.940000005</v>
      </c>
      <c r="G510" s="167">
        <v>18118564.779999997</v>
      </c>
      <c r="H510" s="167">
        <v>17856260.060000002</v>
      </c>
      <c r="I510" s="167">
        <v>18360157.029999997</v>
      </c>
      <c r="J510" s="167">
        <v>18043092.549999997</v>
      </c>
      <c r="K510" s="167">
        <v>18041428.240000002</v>
      </c>
      <c r="L510" s="167">
        <v>18008144.119999997</v>
      </c>
      <c r="M510" s="167">
        <v>18184187.710000001</v>
      </c>
      <c r="N510" s="167">
        <v>18177429.909999996</v>
      </c>
      <c r="O510" s="167">
        <v>18172452.729999997</v>
      </c>
      <c r="P510" s="167">
        <v>18162934.09</v>
      </c>
      <c r="Q510" s="167">
        <v>18154326.09</v>
      </c>
      <c r="R510" s="167">
        <v>18146896.07</v>
      </c>
      <c r="S510" s="167">
        <v>18138643.670000002</v>
      </c>
      <c r="T510" s="167">
        <v>18130630.670000002</v>
      </c>
      <c r="U510" s="168"/>
      <c r="V510" s="168"/>
      <c r="W510" s="168"/>
      <c r="X510" s="167">
        <v>18130630.670000002</v>
      </c>
      <c r="AC510" s="43"/>
      <c r="AD510" s="43"/>
      <c r="AE510" s="43"/>
      <c r="AF510" s="43"/>
      <c r="AG510" s="43"/>
      <c r="AH510" s="43"/>
      <c r="AI510" s="43"/>
      <c r="AJ510" s="43"/>
      <c r="AK510" s="43"/>
      <c r="AL510" s="43"/>
      <c r="AM510" s="43"/>
      <c r="AN510" s="43"/>
      <c r="AO510" s="43"/>
      <c r="AP510" s="43"/>
      <c r="AQ510" s="43"/>
      <c r="AR510" s="43"/>
      <c r="AS510" s="43"/>
      <c r="AT510" s="43"/>
      <c r="AU510" s="43"/>
      <c r="AV510" s="43"/>
      <c r="AW510" s="43"/>
      <c r="AX510" s="43"/>
    </row>
    <row r="511" spans="1:50" ht="14.4" x14ac:dyDescent="0.3">
      <c r="A511" s="163" t="s">
        <v>44</v>
      </c>
      <c r="B511" s="164">
        <v>1999</v>
      </c>
      <c r="C511" s="167">
        <v>3244460.69</v>
      </c>
      <c r="D511" s="167">
        <v>11225658.469999999</v>
      </c>
      <c r="E511" s="167">
        <v>12429327.75</v>
      </c>
      <c r="F511" s="167">
        <v>10883239.120000001</v>
      </c>
      <c r="G511" s="167">
        <v>10550754.200000003</v>
      </c>
      <c r="H511" s="167">
        <v>10329015.219999999</v>
      </c>
      <c r="I511" s="167">
        <v>10395255.859999998</v>
      </c>
      <c r="J511" s="167">
        <v>10837676.42</v>
      </c>
      <c r="K511" s="167">
        <v>10834795.960000001</v>
      </c>
      <c r="L511" s="167">
        <v>10839635.66</v>
      </c>
      <c r="M511" s="167">
        <v>10991347.550000001</v>
      </c>
      <c r="N511" s="167">
        <v>10980197.940000001</v>
      </c>
      <c r="O511" s="167">
        <v>10969076.74</v>
      </c>
      <c r="P511" s="167">
        <v>10967713.800000003</v>
      </c>
      <c r="Q511" s="167">
        <v>10966532.450000001</v>
      </c>
      <c r="R511" s="167">
        <v>10965143.780000003</v>
      </c>
      <c r="S511" s="167">
        <v>10963962.410000002</v>
      </c>
      <c r="T511" s="168"/>
      <c r="U511" s="168"/>
      <c r="V511" s="168"/>
      <c r="W511" s="168"/>
      <c r="X511" s="167">
        <v>10963962.410000002</v>
      </c>
      <c r="AC511" s="43"/>
      <c r="AD511" s="43"/>
      <c r="AE511" s="43"/>
      <c r="AF511" s="43"/>
      <c r="AG511" s="43"/>
      <c r="AH511" s="43"/>
      <c r="AI511" s="43"/>
      <c r="AJ511" s="43"/>
      <c r="AK511" s="43"/>
      <c r="AL511" s="43"/>
      <c r="AM511" s="43"/>
      <c r="AN511" s="43"/>
      <c r="AO511" s="43"/>
      <c r="AP511" s="43"/>
      <c r="AQ511" s="43"/>
      <c r="AR511" s="43"/>
      <c r="AS511" s="43"/>
      <c r="AT511" s="43"/>
      <c r="AU511" s="43"/>
      <c r="AV511" s="43"/>
      <c r="AW511" s="43"/>
      <c r="AX511" s="43"/>
    </row>
    <row r="512" spans="1:50" ht="14.4" x14ac:dyDescent="0.3">
      <c r="A512" s="163" t="s">
        <v>44</v>
      </c>
      <c r="B512" s="164">
        <v>2000</v>
      </c>
      <c r="C512" s="167">
        <v>5139539.1800000006</v>
      </c>
      <c r="D512" s="167">
        <v>10613133.470000001</v>
      </c>
      <c r="E512" s="167">
        <v>10570155.300000001</v>
      </c>
      <c r="F512" s="167">
        <v>11098530.33</v>
      </c>
      <c r="G512" s="167">
        <v>11244870.93</v>
      </c>
      <c r="H512" s="167">
        <v>11076364.280000001</v>
      </c>
      <c r="I512" s="167">
        <v>11076686.890000001</v>
      </c>
      <c r="J512" s="167">
        <v>11064746.609999999</v>
      </c>
      <c r="K512" s="167">
        <v>11053146.420000002</v>
      </c>
      <c r="L512" s="167">
        <v>11041230.620000001</v>
      </c>
      <c r="M512" s="167">
        <v>11030969.52</v>
      </c>
      <c r="N512" s="167">
        <v>11021472.960000001</v>
      </c>
      <c r="O512" s="167">
        <v>11015779.559999999</v>
      </c>
      <c r="P512" s="167">
        <v>11010523.35</v>
      </c>
      <c r="Q512" s="167">
        <v>11005285.25</v>
      </c>
      <c r="R512" s="167">
        <v>10979957.85</v>
      </c>
      <c r="S512" s="168"/>
      <c r="T512" s="168"/>
      <c r="U512" s="168"/>
      <c r="V512" s="168"/>
      <c r="W512" s="168"/>
      <c r="X512" s="167">
        <v>10979957.85</v>
      </c>
      <c r="AC512" s="43"/>
      <c r="AD512" s="43"/>
      <c r="AE512" s="43"/>
      <c r="AF512" s="43"/>
      <c r="AG512" s="43"/>
      <c r="AH512" s="43"/>
      <c r="AI512" s="43"/>
      <c r="AJ512" s="43"/>
      <c r="AK512" s="43"/>
      <c r="AL512" s="43"/>
      <c r="AM512" s="43"/>
      <c r="AN512" s="43"/>
      <c r="AO512" s="43"/>
      <c r="AP512" s="43"/>
      <c r="AQ512" s="43"/>
      <c r="AR512" s="43"/>
      <c r="AS512" s="43"/>
      <c r="AT512" s="43"/>
      <c r="AU512" s="43"/>
      <c r="AV512" s="43"/>
      <c r="AW512" s="43"/>
      <c r="AX512" s="43"/>
    </row>
    <row r="513" spans="1:50" ht="14.4" x14ac:dyDescent="0.3">
      <c r="A513" s="163" t="s">
        <v>44</v>
      </c>
      <c r="B513" s="164">
        <v>2001</v>
      </c>
      <c r="C513" s="167">
        <v>3964219.14</v>
      </c>
      <c r="D513" s="167">
        <v>11895376.669999998</v>
      </c>
      <c r="E513" s="167">
        <v>20110260.380000003</v>
      </c>
      <c r="F513" s="167">
        <v>19414980.850000001</v>
      </c>
      <c r="G513" s="167">
        <v>19146993.550000001</v>
      </c>
      <c r="H513" s="167">
        <v>19303743.950000003</v>
      </c>
      <c r="I513" s="167">
        <v>19003289.969999999</v>
      </c>
      <c r="J513" s="167">
        <v>18893334.550000001</v>
      </c>
      <c r="K513" s="167">
        <v>18585081.98</v>
      </c>
      <c r="L513" s="167">
        <v>18575757.73</v>
      </c>
      <c r="M513" s="167">
        <v>18569934.939999998</v>
      </c>
      <c r="N513" s="167">
        <v>18562042.359999999</v>
      </c>
      <c r="O513" s="167">
        <v>18544744.509999998</v>
      </c>
      <c r="P513" s="167">
        <v>18537523.199999999</v>
      </c>
      <c r="Q513" s="167">
        <v>18528343.689999998</v>
      </c>
      <c r="R513" s="168"/>
      <c r="S513" s="168"/>
      <c r="T513" s="168"/>
      <c r="U513" s="168"/>
      <c r="V513" s="168"/>
      <c r="W513" s="168"/>
      <c r="X513" s="167">
        <v>18528343.689999998</v>
      </c>
      <c r="AC513" s="43"/>
      <c r="AD513" s="43"/>
      <c r="AE513" s="43"/>
      <c r="AF513" s="43"/>
      <c r="AG513" s="43"/>
      <c r="AH513" s="43"/>
      <c r="AI513" s="43"/>
      <c r="AJ513" s="43"/>
      <c r="AK513" s="43"/>
      <c r="AL513" s="43"/>
      <c r="AM513" s="43"/>
      <c r="AN513" s="43"/>
      <c r="AO513" s="43"/>
      <c r="AP513" s="43"/>
      <c r="AQ513" s="43"/>
      <c r="AR513" s="43"/>
      <c r="AS513" s="43"/>
      <c r="AT513" s="43"/>
      <c r="AU513" s="43"/>
      <c r="AV513" s="43"/>
      <c r="AW513" s="43"/>
      <c r="AX513" s="43"/>
    </row>
    <row r="514" spans="1:50" ht="14.4" x14ac:dyDescent="0.3">
      <c r="A514" s="163" t="s">
        <v>44</v>
      </c>
      <c r="B514" s="164">
        <v>2002</v>
      </c>
      <c r="C514" s="167">
        <v>4743201.59</v>
      </c>
      <c r="D514" s="167">
        <v>13486155.100000001</v>
      </c>
      <c r="E514" s="167">
        <v>18281875.52</v>
      </c>
      <c r="F514" s="167">
        <v>21303230.259999998</v>
      </c>
      <c r="G514" s="167">
        <v>21823860.199999999</v>
      </c>
      <c r="H514" s="167">
        <v>22588963.52</v>
      </c>
      <c r="I514" s="167">
        <v>22684058.77</v>
      </c>
      <c r="J514" s="167">
        <v>22803435.109999999</v>
      </c>
      <c r="K514" s="167">
        <v>23052699.77</v>
      </c>
      <c r="L514" s="167">
        <v>23205776.670000002</v>
      </c>
      <c r="M514" s="167">
        <v>23200213.050000001</v>
      </c>
      <c r="N514" s="167">
        <v>23206845.539999999</v>
      </c>
      <c r="O514" s="167">
        <v>23148992.82</v>
      </c>
      <c r="P514" s="167">
        <v>23151044.219999999</v>
      </c>
      <c r="Q514" s="168"/>
      <c r="R514" s="168"/>
      <c r="S514" s="168"/>
      <c r="T514" s="168"/>
      <c r="U514" s="168"/>
      <c r="V514" s="168"/>
      <c r="W514" s="168"/>
      <c r="X514" s="167">
        <v>23151044.219999999</v>
      </c>
      <c r="AC514" s="43"/>
      <c r="AD514" s="43"/>
      <c r="AE514" s="43"/>
      <c r="AF514" s="43"/>
      <c r="AG514" s="43"/>
      <c r="AH514" s="43"/>
      <c r="AI514" s="43"/>
      <c r="AJ514" s="43"/>
      <c r="AK514" s="43"/>
      <c r="AL514" s="43"/>
      <c r="AM514" s="43"/>
      <c r="AN514" s="43"/>
      <c r="AO514" s="43"/>
      <c r="AP514" s="43"/>
      <c r="AQ514" s="43"/>
      <c r="AR514" s="43"/>
      <c r="AS514" s="43"/>
      <c r="AT514" s="43"/>
      <c r="AU514" s="43"/>
      <c r="AV514" s="43"/>
      <c r="AW514" s="43"/>
      <c r="AX514" s="43"/>
    </row>
    <row r="515" spans="1:50" ht="14.4" x14ac:dyDescent="0.3">
      <c r="A515" s="163" t="s">
        <v>44</v>
      </c>
      <c r="B515" s="164">
        <v>2003</v>
      </c>
      <c r="C515" s="167">
        <v>5379950.6699999999</v>
      </c>
      <c r="D515" s="167">
        <v>20590281.240000002</v>
      </c>
      <c r="E515" s="167">
        <v>27395628.010000002</v>
      </c>
      <c r="F515" s="167">
        <v>29170447.829999998</v>
      </c>
      <c r="G515" s="167">
        <v>28850754.380000003</v>
      </c>
      <c r="H515" s="167">
        <v>29972598.490000002</v>
      </c>
      <c r="I515" s="167">
        <v>30247344.789999999</v>
      </c>
      <c r="J515" s="167">
        <v>30260708.210000001</v>
      </c>
      <c r="K515" s="167">
        <v>30240266.399999999</v>
      </c>
      <c r="L515" s="167">
        <v>30450723.640000001</v>
      </c>
      <c r="M515" s="167">
        <v>30675370.75</v>
      </c>
      <c r="N515" s="167">
        <v>30833668.07</v>
      </c>
      <c r="O515" s="167">
        <v>30818948.830000002</v>
      </c>
      <c r="P515" s="168"/>
      <c r="Q515" s="168"/>
      <c r="R515" s="168"/>
      <c r="S515" s="168"/>
      <c r="T515" s="168"/>
      <c r="U515" s="168"/>
      <c r="V515" s="168"/>
      <c r="W515" s="168"/>
      <c r="X515" s="167">
        <v>30818948.830000002</v>
      </c>
      <c r="AC515" s="43"/>
      <c r="AD515" s="43"/>
      <c r="AE515" s="43"/>
      <c r="AF515" s="43"/>
      <c r="AG515" s="43"/>
      <c r="AH515" s="43"/>
      <c r="AI515" s="43"/>
      <c r="AJ515" s="43"/>
      <c r="AK515" s="43"/>
      <c r="AL515" s="43"/>
      <c r="AM515" s="43"/>
      <c r="AN515" s="43"/>
      <c r="AO515" s="43"/>
      <c r="AP515" s="43"/>
      <c r="AQ515" s="43"/>
      <c r="AR515" s="43"/>
      <c r="AS515" s="43"/>
      <c r="AT515" s="43"/>
      <c r="AU515" s="43"/>
      <c r="AV515" s="43"/>
      <c r="AW515" s="43"/>
      <c r="AX515" s="43"/>
    </row>
    <row r="516" spans="1:50" ht="14.4" x14ac:dyDescent="0.3">
      <c r="A516" s="163" t="s">
        <v>44</v>
      </c>
      <c r="B516" s="164">
        <v>2004</v>
      </c>
      <c r="C516" s="167">
        <v>3991081.18</v>
      </c>
      <c r="D516" s="167">
        <v>18287963.879999999</v>
      </c>
      <c r="E516" s="167">
        <v>24666757.34</v>
      </c>
      <c r="F516" s="167">
        <v>30251135.939999998</v>
      </c>
      <c r="G516" s="167">
        <v>33356552.659999996</v>
      </c>
      <c r="H516" s="167">
        <v>37069365</v>
      </c>
      <c r="I516" s="167">
        <v>38748769.620000005</v>
      </c>
      <c r="J516" s="167">
        <v>39368877.170000002</v>
      </c>
      <c r="K516" s="167">
        <v>40435064.879999995</v>
      </c>
      <c r="L516" s="167">
        <v>39913912.060000002</v>
      </c>
      <c r="M516" s="167">
        <v>39979438.32</v>
      </c>
      <c r="N516" s="167">
        <v>40179902.489999995</v>
      </c>
      <c r="O516" s="168"/>
      <c r="P516" s="168"/>
      <c r="Q516" s="168"/>
      <c r="R516" s="168"/>
      <c r="S516" s="168"/>
      <c r="T516" s="168"/>
      <c r="U516" s="168"/>
      <c r="V516" s="168"/>
      <c r="W516" s="168"/>
      <c r="X516" s="167">
        <v>40179902.489999995</v>
      </c>
      <c r="AC516" s="43"/>
      <c r="AD516" s="43"/>
      <c r="AE516" s="43"/>
      <c r="AF516" s="43"/>
      <c r="AG516" s="43"/>
      <c r="AH516" s="43"/>
      <c r="AI516" s="43"/>
      <c r="AJ516" s="43"/>
      <c r="AK516" s="43"/>
      <c r="AL516" s="43"/>
      <c r="AM516" s="43"/>
      <c r="AN516" s="43"/>
      <c r="AO516" s="43"/>
      <c r="AP516" s="43"/>
      <c r="AQ516" s="43"/>
      <c r="AR516" s="43"/>
      <c r="AS516" s="43"/>
      <c r="AT516" s="43"/>
      <c r="AU516" s="43"/>
      <c r="AV516" s="43"/>
      <c r="AW516" s="43"/>
      <c r="AX516" s="43"/>
    </row>
    <row r="517" spans="1:50" ht="14.4" x14ac:dyDescent="0.3">
      <c r="A517" s="163" t="s">
        <v>44</v>
      </c>
      <c r="B517" s="164">
        <v>2005</v>
      </c>
      <c r="C517" s="167">
        <v>6438961.4099999992</v>
      </c>
      <c r="D517" s="167">
        <v>19958114.77</v>
      </c>
      <c r="E517" s="167">
        <v>26447885.940000001</v>
      </c>
      <c r="F517" s="167">
        <v>30605139.460000001</v>
      </c>
      <c r="G517" s="167">
        <v>33421275.350000001</v>
      </c>
      <c r="H517" s="167">
        <v>34046188.560000002</v>
      </c>
      <c r="I517" s="167">
        <v>34177893.409999996</v>
      </c>
      <c r="J517" s="167">
        <v>34118265.950000003</v>
      </c>
      <c r="K517" s="167">
        <v>34017907.370000005</v>
      </c>
      <c r="L517" s="167">
        <v>34075684.210000001</v>
      </c>
      <c r="M517" s="167">
        <v>34139264.210000001</v>
      </c>
      <c r="N517" s="168"/>
      <c r="O517" s="168"/>
      <c r="P517" s="168"/>
      <c r="Q517" s="168"/>
      <c r="R517" s="168"/>
      <c r="S517" s="168"/>
      <c r="T517" s="168"/>
      <c r="U517" s="168"/>
      <c r="V517" s="168"/>
      <c r="W517" s="168"/>
      <c r="X517" s="167">
        <v>34139264.210000001</v>
      </c>
      <c r="AC517" s="43"/>
      <c r="AD517" s="43"/>
      <c r="AE517" s="43"/>
      <c r="AF517" s="43"/>
      <c r="AG517" s="43"/>
      <c r="AH517" s="43"/>
      <c r="AI517" s="43"/>
      <c r="AJ517" s="43"/>
      <c r="AK517" s="43"/>
      <c r="AL517" s="43"/>
      <c r="AM517" s="43"/>
      <c r="AN517" s="43"/>
      <c r="AO517" s="43"/>
      <c r="AP517" s="43"/>
      <c r="AQ517" s="43"/>
      <c r="AR517" s="43"/>
      <c r="AS517" s="43"/>
      <c r="AT517" s="43"/>
      <c r="AU517" s="43"/>
      <c r="AV517" s="43"/>
      <c r="AW517" s="43"/>
      <c r="AX517" s="43"/>
    </row>
    <row r="518" spans="1:50" ht="14.4" x14ac:dyDescent="0.3">
      <c r="A518" s="163" t="s">
        <v>44</v>
      </c>
      <c r="B518" s="164">
        <v>2006</v>
      </c>
      <c r="C518" s="167">
        <v>8758893.0500000007</v>
      </c>
      <c r="D518" s="167">
        <v>31290792.099999998</v>
      </c>
      <c r="E518" s="167">
        <v>45647283.43</v>
      </c>
      <c r="F518" s="167">
        <v>56413677.030000001</v>
      </c>
      <c r="G518" s="167">
        <v>59559825.030000001</v>
      </c>
      <c r="H518" s="167">
        <v>60838664.420000002</v>
      </c>
      <c r="I518" s="167">
        <v>60631730.219999999</v>
      </c>
      <c r="J518" s="167">
        <v>59745146.390000001</v>
      </c>
      <c r="K518" s="167">
        <v>59826104.409999996</v>
      </c>
      <c r="L518" s="167">
        <v>59875229.859999999</v>
      </c>
      <c r="M518" s="168"/>
      <c r="N518" s="168"/>
      <c r="O518" s="168"/>
      <c r="P518" s="168"/>
      <c r="Q518" s="168"/>
      <c r="R518" s="168"/>
      <c r="S518" s="168"/>
      <c r="T518" s="168"/>
      <c r="U518" s="168"/>
      <c r="V518" s="168"/>
      <c r="W518" s="168"/>
      <c r="X518" s="167">
        <v>59875229.859999999</v>
      </c>
      <c r="AC518" s="43"/>
      <c r="AD518" s="43"/>
      <c r="AE518" s="43"/>
      <c r="AF518" s="43"/>
      <c r="AG518" s="43"/>
      <c r="AH518" s="43"/>
      <c r="AI518" s="43"/>
      <c r="AJ518" s="43"/>
      <c r="AK518" s="43"/>
      <c r="AL518" s="43"/>
      <c r="AM518" s="43"/>
      <c r="AN518" s="43"/>
      <c r="AO518" s="43"/>
      <c r="AP518" s="43"/>
      <c r="AQ518" s="43"/>
      <c r="AR518" s="43"/>
      <c r="AS518" s="43"/>
      <c r="AT518" s="43"/>
      <c r="AU518" s="43"/>
      <c r="AV518" s="43"/>
      <c r="AW518" s="43"/>
      <c r="AX518" s="43"/>
    </row>
    <row r="519" spans="1:50" ht="14.4" x14ac:dyDescent="0.3">
      <c r="A519" s="163" t="s">
        <v>44</v>
      </c>
      <c r="B519" s="164">
        <v>2007</v>
      </c>
      <c r="C519" s="167">
        <v>8894631.6999999993</v>
      </c>
      <c r="D519" s="167">
        <v>29606739.829999998</v>
      </c>
      <c r="E519" s="167">
        <v>49338415.230000004</v>
      </c>
      <c r="F519" s="167">
        <v>59215449.75</v>
      </c>
      <c r="G519" s="167">
        <v>62012351.509999998</v>
      </c>
      <c r="H519" s="167">
        <v>63937179.700000003</v>
      </c>
      <c r="I519" s="167">
        <v>64799113.25</v>
      </c>
      <c r="J519" s="167">
        <v>64832968.219999999</v>
      </c>
      <c r="K519" s="167">
        <v>64883585.290000007</v>
      </c>
      <c r="L519" s="168"/>
      <c r="M519" s="168"/>
      <c r="N519" s="168"/>
      <c r="O519" s="168"/>
      <c r="P519" s="168"/>
      <c r="Q519" s="168"/>
      <c r="R519" s="168"/>
      <c r="S519" s="168"/>
      <c r="T519" s="168"/>
      <c r="U519" s="168"/>
      <c r="V519" s="168"/>
      <c r="W519" s="168"/>
      <c r="X519" s="167">
        <v>64883585.290000007</v>
      </c>
      <c r="AC519" s="43"/>
      <c r="AD519" s="43"/>
      <c r="AE519" s="43"/>
      <c r="AF519" s="43"/>
      <c r="AG519" s="43"/>
      <c r="AH519" s="43"/>
      <c r="AI519" s="43"/>
      <c r="AJ519" s="43"/>
      <c r="AK519" s="43"/>
      <c r="AL519" s="43"/>
      <c r="AM519" s="43"/>
      <c r="AN519" s="43"/>
      <c r="AO519" s="43"/>
      <c r="AP519" s="43"/>
      <c r="AQ519" s="43"/>
      <c r="AR519" s="43"/>
      <c r="AS519" s="43"/>
      <c r="AT519" s="43"/>
      <c r="AU519" s="43"/>
      <c r="AV519" s="43"/>
      <c r="AW519" s="43"/>
      <c r="AX519" s="43"/>
    </row>
    <row r="520" spans="1:50" ht="14.4" x14ac:dyDescent="0.3">
      <c r="A520" s="163" t="s">
        <v>44</v>
      </c>
      <c r="B520" s="164">
        <v>2008</v>
      </c>
      <c r="C520" s="167">
        <v>11509712.260000002</v>
      </c>
      <c r="D520" s="167">
        <v>55818614.769999996</v>
      </c>
      <c r="E520" s="167">
        <v>70850228.899999991</v>
      </c>
      <c r="F520" s="167">
        <v>79735718.969999999</v>
      </c>
      <c r="G520" s="167">
        <v>85188645.789999992</v>
      </c>
      <c r="H520" s="167">
        <v>90282938.950000003</v>
      </c>
      <c r="I520" s="167">
        <v>91329598.230000004</v>
      </c>
      <c r="J520" s="167">
        <v>92653854.780000001</v>
      </c>
      <c r="K520" s="168"/>
      <c r="L520" s="168"/>
      <c r="M520" s="168"/>
      <c r="N520" s="168"/>
      <c r="O520" s="168"/>
      <c r="P520" s="168"/>
      <c r="Q520" s="168"/>
      <c r="R520" s="168"/>
      <c r="S520" s="168"/>
      <c r="T520" s="168"/>
      <c r="U520" s="168"/>
      <c r="V520" s="168"/>
      <c r="W520" s="168"/>
      <c r="X520" s="167">
        <v>92653854.780000001</v>
      </c>
      <c r="AC520" s="43"/>
      <c r="AD520" s="43"/>
      <c r="AE520" s="43"/>
      <c r="AF520" s="43"/>
      <c r="AG520" s="43"/>
      <c r="AH520" s="43"/>
      <c r="AI520" s="43"/>
      <c r="AJ520" s="43"/>
      <c r="AK520" s="43"/>
      <c r="AL520" s="43"/>
      <c r="AM520" s="43"/>
      <c r="AN520" s="43"/>
      <c r="AO520" s="43"/>
      <c r="AP520" s="43"/>
      <c r="AQ520" s="43"/>
      <c r="AR520" s="43"/>
      <c r="AS520" s="43"/>
      <c r="AT520" s="43"/>
      <c r="AU520" s="43"/>
      <c r="AV520" s="43"/>
      <c r="AW520" s="43"/>
      <c r="AX520" s="43"/>
    </row>
    <row r="521" spans="1:50" ht="14.4" x14ac:dyDescent="0.3">
      <c r="A521" s="163" t="s">
        <v>44</v>
      </c>
      <c r="B521" s="164">
        <v>2009</v>
      </c>
      <c r="C521" s="167">
        <v>17363274.960000001</v>
      </c>
      <c r="D521" s="167">
        <v>68341621.170000002</v>
      </c>
      <c r="E521" s="167">
        <v>101536068.41</v>
      </c>
      <c r="F521" s="167">
        <v>111058061.94</v>
      </c>
      <c r="G521" s="167">
        <v>116676217.72</v>
      </c>
      <c r="H521" s="167">
        <v>117308666.34</v>
      </c>
      <c r="I521" s="167">
        <v>118101970.75999999</v>
      </c>
      <c r="J521" s="168"/>
      <c r="K521" s="168"/>
      <c r="L521" s="168"/>
      <c r="M521" s="168"/>
      <c r="N521" s="168"/>
      <c r="O521" s="168"/>
      <c r="P521" s="168"/>
      <c r="Q521" s="168"/>
      <c r="R521" s="168"/>
      <c r="S521" s="168"/>
      <c r="T521" s="168"/>
      <c r="U521" s="168"/>
      <c r="V521" s="168"/>
      <c r="W521" s="168"/>
      <c r="X521" s="167">
        <v>118101970.75999999</v>
      </c>
      <c r="AC521" s="43"/>
      <c r="AD521" s="43"/>
      <c r="AE521" s="43"/>
      <c r="AF521" s="43"/>
      <c r="AG521" s="43"/>
      <c r="AH521" s="43"/>
      <c r="AI521" s="43"/>
      <c r="AJ521" s="43"/>
      <c r="AK521" s="43"/>
      <c r="AL521" s="43"/>
      <c r="AM521" s="43"/>
      <c r="AN521" s="43"/>
      <c r="AO521" s="43"/>
      <c r="AP521" s="43"/>
      <c r="AQ521" s="43"/>
      <c r="AR521" s="43"/>
      <c r="AS521" s="43"/>
      <c r="AT521" s="43"/>
      <c r="AU521" s="43"/>
      <c r="AV521" s="43"/>
      <c r="AW521" s="43"/>
      <c r="AX521" s="43"/>
    </row>
    <row r="522" spans="1:50" ht="14.4" x14ac:dyDescent="0.3">
      <c r="A522" s="163" t="s">
        <v>44</v>
      </c>
      <c r="B522" s="164">
        <v>2010</v>
      </c>
      <c r="C522" s="167">
        <v>20064213.390000004</v>
      </c>
      <c r="D522" s="167">
        <v>73120764.980000004</v>
      </c>
      <c r="E522" s="167">
        <v>97004153.739999995</v>
      </c>
      <c r="F522" s="167">
        <v>117516217.45</v>
      </c>
      <c r="G522" s="167">
        <v>123863049.99999999</v>
      </c>
      <c r="H522" s="167">
        <v>129121218.46999998</v>
      </c>
      <c r="I522" s="168"/>
      <c r="J522" s="168"/>
      <c r="K522" s="168"/>
      <c r="L522" s="168"/>
      <c r="M522" s="168"/>
      <c r="N522" s="168"/>
      <c r="O522" s="168"/>
      <c r="P522" s="168"/>
      <c r="Q522" s="168"/>
      <c r="R522" s="168"/>
      <c r="S522" s="168"/>
      <c r="T522" s="168"/>
      <c r="U522" s="168"/>
      <c r="V522" s="168"/>
      <c r="W522" s="168"/>
      <c r="X522" s="167">
        <v>129121218.46999998</v>
      </c>
      <c r="AC522" s="43"/>
      <c r="AD522" s="43"/>
      <c r="AE522" s="43"/>
      <c r="AF522" s="43"/>
      <c r="AG522" s="43"/>
      <c r="AH522" s="43"/>
      <c r="AI522" s="43"/>
      <c r="AJ522" s="43"/>
      <c r="AK522" s="43"/>
      <c r="AL522" s="43"/>
      <c r="AM522" s="43"/>
      <c r="AN522" s="43"/>
      <c r="AO522" s="43"/>
      <c r="AP522" s="43"/>
      <c r="AQ522" s="43"/>
      <c r="AR522" s="43"/>
      <c r="AS522" s="43"/>
      <c r="AT522" s="43"/>
      <c r="AU522" s="43"/>
      <c r="AV522" s="43"/>
      <c r="AW522" s="43"/>
      <c r="AX522" s="43"/>
    </row>
    <row r="523" spans="1:50" ht="14.4" x14ac:dyDescent="0.3">
      <c r="A523" s="163" t="s">
        <v>44</v>
      </c>
      <c r="B523" s="164">
        <v>2011</v>
      </c>
      <c r="C523" s="167">
        <v>25123182.329999994</v>
      </c>
      <c r="D523" s="167">
        <v>78199975.870000005</v>
      </c>
      <c r="E523" s="167">
        <v>103472831.28999999</v>
      </c>
      <c r="F523" s="167">
        <v>116400451.03</v>
      </c>
      <c r="G523" s="167">
        <v>124751488.27</v>
      </c>
      <c r="H523" s="168"/>
      <c r="I523" s="168"/>
      <c r="J523" s="168"/>
      <c r="K523" s="168"/>
      <c r="L523" s="168"/>
      <c r="M523" s="168"/>
      <c r="N523" s="168"/>
      <c r="O523" s="168"/>
      <c r="P523" s="168"/>
      <c r="Q523" s="168"/>
      <c r="R523" s="168"/>
      <c r="S523" s="168"/>
      <c r="T523" s="168"/>
      <c r="U523" s="168"/>
      <c r="V523" s="168"/>
      <c r="W523" s="168"/>
      <c r="X523" s="167">
        <v>124751488.27</v>
      </c>
      <c r="AC523" s="43"/>
      <c r="AD523" s="43"/>
      <c r="AE523" s="43"/>
      <c r="AF523" s="43"/>
      <c r="AG523" s="43"/>
      <c r="AH523" s="43"/>
      <c r="AI523" s="43"/>
      <c r="AJ523" s="43"/>
      <c r="AK523" s="43"/>
      <c r="AL523" s="43"/>
      <c r="AM523" s="43"/>
      <c r="AN523" s="43"/>
      <c r="AO523" s="43"/>
      <c r="AP523" s="43"/>
      <c r="AQ523" s="43"/>
      <c r="AR523" s="43"/>
      <c r="AS523" s="43"/>
      <c r="AT523" s="43"/>
      <c r="AU523" s="43"/>
      <c r="AV523" s="43"/>
      <c r="AW523" s="43"/>
      <c r="AX523" s="43"/>
    </row>
    <row r="524" spans="1:50" ht="14.4" x14ac:dyDescent="0.3">
      <c r="A524" s="163" t="s">
        <v>44</v>
      </c>
      <c r="B524" s="164">
        <v>2012</v>
      </c>
      <c r="C524" s="167">
        <v>26444889.529999997</v>
      </c>
      <c r="D524" s="167">
        <v>68560250.339999989</v>
      </c>
      <c r="E524" s="167">
        <v>95933600.5</v>
      </c>
      <c r="F524" s="167">
        <v>111173812.87</v>
      </c>
      <c r="G524" s="168"/>
      <c r="H524" s="168"/>
      <c r="I524" s="168"/>
      <c r="J524" s="168"/>
      <c r="K524" s="168"/>
      <c r="L524" s="168"/>
      <c r="M524" s="168"/>
      <c r="N524" s="168"/>
      <c r="O524" s="168"/>
      <c r="P524" s="168"/>
      <c r="Q524" s="168"/>
      <c r="R524" s="168"/>
      <c r="S524" s="168"/>
      <c r="T524" s="168"/>
      <c r="U524" s="168"/>
      <c r="V524" s="168"/>
      <c r="W524" s="168"/>
      <c r="X524" s="167">
        <v>111173812.87</v>
      </c>
      <c r="AC524" s="43"/>
      <c r="AD524" s="43"/>
      <c r="AE524" s="43"/>
      <c r="AF524" s="43"/>
      <c r="AG524" s="43"/>
      <c r="AH524" s="43"/>
      <c r="AI524" s="43"/>
      <c r="AJ524" s="43"/>
      <c r="AK524" s="43"/>
      <c r="AL524" s="43"/>
      <c r="AM524" s="43"/>
      <c r="AN524" s="43"/>
      <c r="AO524" s="43"/>
      <c r="AP524" s="43"/>
      <c r="AQ524" s="43"/>
      <c r="AR524" s="43"/>
      <c r="AS524" s="43"/>
      <c r="AT524" s="43"/>
      <c r="AU524" s="43"/>
      <c r="AV524" s="43"/>
      <c r="AW524" s="43"/>
      <c r="AX524" s="43"/>
    </row>
    <row r="525" spans="1:50" ht="14.4" x14ac:dyDescent="0.3">
      <c r="A525" s="163" t="s">
        <v>44</v>
      </c>
      <c r="B525" s="164">
        <v>2013</v>
      </c>
      <c r="C525" s="167">
        <v>23084169.329999998</v>
      </c>
      <c r="D525" s="167">
        <v>67055181.749999993</v>
      </c>
      <c r="E525" s="167">
        <v>85981959.690000013</v>
      </c>
      <c r="F525" s="168"/>
      <c r="G525" s="168"/>
      <c r="H525" s="168"/>
      <c r="I525" s="168"/>
      <c r="J525" s="168"/>
      <c r="K525" s="168"/>
      <c r="L525" s="168"/>
      <c r="M525" s="168"/>
      <c r="N525" s="168"/>
      <c r="O525" s="168"/>
      <c r="P525" s="168"/>
      <c r="Q525" s="168"/>
      <c r="R525" s="168"/>
      <c r="S525" s="168"/>
      <c r="T525" s="168"/>
      <c r="U525" s="168"/>
      <c r="V525" s="168"/>
      <c r="W525" s="168"/>
      <c r="X525" s="167">
        <v>85981959.690000013</v>
      </c>
      <c r="AC525" s="43"/>
      <c r="AD525" s="43"/>
      <c r="AE525" s="43"/>
      <c r="AF525" s="43"/>
      <c r="AG525" s="43"/>
      <c r="AH525" s="43"/>
      <c r="AI525" s="43"/>
      <c r="AJ525" s="43"/>
      <c r="AK525" s="43"/>
      <c r="AL525" s="43"/>
      <c r="AM525" s="43"/>
      <c r="AN525" s="43"/>
      <c r="AO525" s="43"/>
      <c r="AP525" s="43"/>
      <c r="AQ525" s="43"/>
      <c r="AR525" s="43"/>
      <c r="AS525" s="43"/>
      <c r="AT525" s="43"/>
      <c r="AU525" s="43"/>
      <c r="AV525" s="43"/>
      <c r="AW525" s="43"/>
      <c r="AX525" s="43"/>
    </row>
    <row r="526" spans="1:50" ht="14.4" x14ac:dyDescent="0.3">
      <c r="A526" s="163" t="s">
        <v>44</v>
      </c>
      <c r="B526" s="164">
        <v>2014</v>
      </c>
      <c r="C526" s="167">
        <v>22209863.800000001</v>
      </c>
      <c r="D526" s="167">
        <v>65616375.009999998</v>
      </c>
      <c r="E526" s="168"/>
      <c r="F526" s="168"/>
      <c r="G526" s="168"/>
      <c r="H526" s="168"/>
      <c r="I526" s="168"/>
      <c r="J526" s="168"/>
      <c r="K526" s="168"/>
      <c r="L526" s="168"/>
      <c r="M526" s="168"/>
      <c r="N526" s="168"/>
      <c r="O526" s="168"/>
      <c r="P526" s="168"/>
      <c r="Q526" s="168"/>
      <c r="R526" s="168"/>
      <c r="S526" s="168"/>
      <c r="T526" s="168"/>
      <c r="U526" s="168"/>
      <c r="V526" s="168"/>
      <c r="W526" s="168"/>
      <c r="X526" s="167">
        <v>65616375.009999998</v>
      </c>
      <c r="AC526" s="43"/>
      <c r="AD526" s="43"/>
      <c r="AE526" s="43"/>
      <c r="AF526" s="43"/>
      <c r="AG526" s="43"/>
      <c r="AH526" s="43"/>
      <c r="AI526" s="43"/>
      <c r="AJ526" s="43"/>
      <c r="AK526" s="43"/>
      <c r="AL526" s="43"/>
      <c r="AM526" s="43"/>
      <c r="AN526" s="43"/>
      <c r="AO526" s="43"/>
      <c r="AP526" s="43"/>
      <c r="AQ526" s="43"/>
      <c r="AR526" s="43"/>
      <c r="AS526" s="43"/>
      <c r="AT526" s="43"/>
      <c r="AU526" s="43"/>
      <c r="AV526" s="43"/>
      <c r="AW526" s="43"/>
      <c r="AX526" s="43"/>
    </row>
    <row r="527" spans="1:50" ht="14.4" x14ac:dyDescent="0.3">
      <c r="A527" s="163" t="s">
        <v>44</v>
      </c>
      <c r="B527" s="164">
        <v>2015</v>
      </c>
      <c r="C527" s="167">
        <v>15640289.77</v>
      </c>
      <c r="D527" s="168"/>
      <c r="E527" s="168"/>
      <c r="F527" s="168"/>
      <c r="G527" s="168"/>
      <c r="H527" s="168"/>
      <c r="I527" s="168"/>
      <c r="J527" s="168"/>
      <c r="K527" s="168"/>
      <c r="L527" s="168"/>
      <c r="M527" s="168"/>
      <c r="N527" s="168"/>
      <c r="O527" s="168"/>
      <c r="P527" s="168"/>
      <c r="Q527" s="168"/>
      <c r="R527" s="168"/>
      <c r="S527" s="168"/>
      <c r="T527" s="168"/>
      <c r="U527" s="168"/>
      <c r="V527" s="168"/>
      <c r="W527" s="168"/>
      <c r="X527" s="167">
        <v>15640289.77</v>
      </c>
      <c r="AC527" s="43"/>
      <c r="AD527" s="43"/>
      <c r="AE527" s="43"/>
      <c r="AF527" s="43"/>
      <c r="AG527" s="43"/>
      <c r="AH527" s="43"/>
      <c r="AI527" s="43"/>
      <c r="AJ527" s="43"/>
      <c r="AK527" s="43"/>
      <c r="AL527" s="43"/>
      <c r="AM527" s="43"/>
      <c r="AN527" s="43"/>
      <c r="AO527" s="43"/>
      <c r="AP527" s="43"/>
      <c r="AQ527" s="43"/>
      <c r="AR527" s="43"/>
      <c r="AS527" s="43"/>
      <c r="AT527" s="43"/>
      <c r="AU527" s="43"/>
      <c r="AV527" s="43"/>
      <c r="AW527" s="43"/>
      <c r="AX527" s="43"/>
    </row>
    <row r="528" spans="1:50" ht="14.4" x14ac:dyDescent="0.3">
      <c r="A528" s="163" t="s">
        <v>45</v>
      </c>
      <c r="B528" s="164">
        <v>1995</v>
      </c>
      <c r="C528" s="167">
        <v>4780138.32</v>
      </c>
      <c r="D528" s="167">
        <v>16505954.339999998</v>
      </c>
      <c r="E528" s="167">
        <v>12717792.120000005</v>
      </c>
      <c r="F528" s="167">
        <v>14416811.559999999</v>
      </c>
      <c r="G528" s="167">
        <v>13727755.899999999</v>
      </c>
      <c r="H528" s="167">
        <v>13919891.649999999</v>
      </c>
      <c r="I528" s="167">
        <v>14046940.309999999</v>
      </c>
      <c r="J528" s="167">
        <v>13891529.259999998</v>
      </c>
      <c r="K528" s="167">
        <v>13865872.010000002</v>
      </c>
      <c r="L528" s="167">
        <v>14694043.409999996</v>
      </c>
      <c r="M528" s="167">
        <v>16554900.879999999</v>
      </c>
      <c r="N528" s="167">
        <v>16557345.110000003</v>
      </c>
      <c r="O528" s="167">
        <v>16261093.020000003</v>
      </c>
      <c r="P528" s="167">
        <v>16254228.449999996</v>
      </c>
      <c r="Q528" s="167">
        <v>16243800.319999997</v>
      </c>
      <c r="R528" s="167">
        <v>16239391.360000003</v>
      </c>
      <c r="S528" s="167">
        <v>16240087.179999996</v>
      </c>
      <c r="T528" s="167">
        <v>16241129.419999998</v>
      </c>
      <c r="U528" s="167">
        <v>16238786.490000002</v>
      </c>
      <c r="V528" s="167">
        <v>16217907.710000001</v>
      </c>
      <c r="W528" s="167">
        <v>16201989.799999997</v>
      </c>
      <c r="X528" s="167">
        <v>16201989.799999997</v>
      </c>
      <c r="AC528" s="43"/>
      <c r="AD528" s="43"/>
      <c r="AE528" s="43"/>
      <c r="AF528" s="43"/>
      <c r="AG528" s="43"/>
      <c r="AH528" s="43"/>
      <c r="AI528" s="43"/>
      <c r="AJ528" s="43"/>
      <c r="AK528" s="43"/>
      <c r="AL528" s="43"/>
      <c r="AM528" s="43"/>
      <c r="AN528" s="43"/>
      <c r="AO528" s="43"/>
      <c r="AP528" s="43"/>
      <c r="AQ528" s="43"/>
      <c r="AR528" s="43"/>
      <c r="AS528" s="43"/>
      <c r="AT528" s="43"/>
      <c r="AU528" s="43"/>
      <c r="AV528" s="43"/>
      <c r="AW528" s="43"/>
      <c r="AX528" s="43"/>
    </row>
    <row r="529" spans="1:50" ht="14.4" x14ac:dyDescent="0.3">
      <c r="A529" s="163" t="s">
        <v>45</v>
      </c>
      <c r="B529" s="164">
        <v>1996</v>
      </c>
      <c r="C529" s="167">
        <v>2837645.540000001</v>
      </c>
      <c r="D529" s="167">
        <v>3570152.3400000017</v>
      </c>
      <c r="E529" s="167">
        <v>4083532.7100000028</v>
      </c>
      <c r="F529" s="167">
        <v>8245350.6800000016</v>
      </c>
      <c r="G529" s="167">
        <v>9018330.5999999996</v>
      </c>
      <c r="H529" s="167">
        <v>6628362.5599999987</v>
      </c>
      <c r="I529" s="167">
        <v>7394661.1400000006</v>
      </c>
      <c r="J529" s="167">
        <v>6295033.5900000017</v>
      </c>
      <c r="K529" s="167">
        <v>5571167.2100000009</v>
      </c>
      <c r="L529" s="167">
        <v>5460100.5700000003</v>
      </c>
      <c r="M529" s="167">
        <v>5708030.6400000006</v>
      </c>
      <c r="N529" s="167">
        <v>5683817.5</v>
      </c>
      <c r="O529" s="167">
        <v>5674636.6900000013</v>
      </c>
      <c r="P529" s="167">
        <v>5662717.1399999987</v>
      </c>
      <c r="Q529" s="167">
        <v>5652336.1699999981</v>
      </c>
      <c r="R529" s="167">
        <v>5639974.4299999997</v>
      </c>
      <c r="S529" s="167">
        <v>5632245.0799999982</v>
      </c>
      <c r="T529" s="167">
        <v>5622300.3899999987</v>
      </c>
      <c r="U529" s="167">
        <v>5614891.8399999999</v>
      </c>
      <c r="V529" s="167">
        <v>5607910.1599999983</v>
      </c>
      <c r="W529" s="168"/>
      <c r="X529" s="167">
        <v>5607910.1599999983</v>
      </c>
      <c r="AC529" s="43"/>
      <c r="AD529" s="43"/>
      <c r="AE529" s="43"/>
      <c r="AF529" s="43"/>
      <c r="AG529" s="43"/>
      <c r="AH529" s="43"/>
      <c r="AI529" s="43"/>
      <c r="AJ529" s="43"/>
      <c r="AK529" s="43"/>
      <c r="AL529" s="43"/>
      <c r="AM529" s="43"/>
      <c r="AN529" s="43"/>
      <c r="AO529" s="43"/>
      <c r="AP529" s="43"/>
      <c r="AQ529" s="43"/>
      <c r="AR529" s="43"/>
      <c r="AS529" s="43"/>
      <c r="AT529" s="43"/>
      <c r="AU529" s="43"/>
      <c r="AV529" s="43"/>
      <c r="AW529" s="43"/>
      <c r="AX529" s="43"/>
    </row>
    <row r="530" spans="1:50" ht="14.4" x14ac:dyDescent="0.3">
      <c r="A530" s="163" t="s">
        <v>45</v>
      </c>
      <c r="B530" s="164">
        <v>1997</v>
      </c>
      <c r="C530" s="167">
        <v>519756.37999999966</v>
      </c>
      <c r="D530" s="167">
        <v>807183.69999999972</v>
      </c>
      <c r="E530" s="167">
        <v>2207918.5599999996</v>
      </c>
      <c r="F530" s="167">
        <v>5806019.75</v>
      </c>
      <c r="G530" s="167">
        <v>7678415.7900000028</v>
      </c>
      <c r="H530" s="167">
        <v>7364255.4700000007</v>
      </c>
      <c r="I530" s="167">
        <v>7354387.4500000011</v>
      </c>
      <c r="J530" s="167">
        <v>6710385.3300000019</v>
      </c>
      <c r="K530" s="167">
        <v>5964774.7599999998</v>
      </c>
      <c r="L530" s="167">
        <v>5954904.1400000025</v>
      </c>
      <c r="M530" s="167">
        <v>5942764.4500000011</v>
      </c>
      <c r="N530" s="167">
        <v>5933457.8100000024</v>
      </c>
      <c r="O530" s="167">
        <v>5932828.1099999994</v>
      </c>
      <c r="P530" s="167">
        <v>6802466.8600000013</v>
      </c>
      <c r="Q530" s="167">
        <v>6798434.620000001</v>
      </c>
      <c r="R530" s="167">
        <v>6795043.3500000015</v>
      </c>
      <c r="S530" s="167">
        <v>5589068.5899999999</v>
      </c>
      <c r="T530" s="167">
        <v>5583305.0099999998</v>
      </c>
      <c r="U530" s="167">
        <v>5581455.4499999993</v>
      </c>
      <c r="V530" s="168"/>
      <c r="W530" s="168"/>
      <c r="X530" s="167">
        <v>5581455.4499999993</v>
      </c>
      <c r="AC530" s="43"/>
      <c r="AD530" s="43"/>
      <c r="AE530" s="43"/>
      <c r="AF530" s="43"/>
      <c r="AG530" s="43"/>
      <c r="AH530" s="43"/>
      <c r="AI530" s="43"/>
      <c r="AJ530" s="43"/>
      <c r="AK530" s="43"/>
      <c r="AL530" s="43"/>
      <c r="AM530" s="43"/>
      <c r="AN530" s="43"/>
      <c r="AO530" s="43"/>
      <c r="AP530" s="43"/>
      <c r="AQ530" s="43"/>
      <c r="AR530" s="43"/>
      <c r="AS530" s="43"/>
      <c r="AT530" s="43"/>
      <c r="AU530" s="43"/>
      <c r="AV530" s="43"/>
      <c r="AW530" s="43"/>
      <c r="AX530" s="43"/>
    </row>
    <row r="531" spans="1:50" ht="14.4" x14ac:dyDescent="0.3">
      <c r="A531" s="163" t="s">
        <v>45</v>
      </c>
      <c r="B531" s="164">
        <v>1998</v>
      </c>
      <c r="C531" s="167">
        <v>570551.29</v>
      </c>
      <c r="D531" s="167">
        <v>6787361.0200000005</v>
      </c>
      <c r="E531" s="167">
        <v>7653731.6100000003</v>
      </c>
      <c r="F531" s="167">
        <v>8677509.6900000013</v>
      </c>
      <c r="G531" s="167">
        <v>8652231.4399999995</v>
      </c>
      <c r="H531" s="167">
        <v>8403009.870000001</v>
      </c>
      <c r="I531" s="167">
        <v>7858872.5899999989</v>
      </c>
      <c r="J531" s="167">
        <v>7213984.3600000003</v>
      </c>
      <c r="K531" s="167">
        <v>7144059.9000000004</v>
      </c>
      <c r="L531" s="167">
        <v>8652096.3500000015</v>
      </c>
      <c r="M531" s="167">
        <v>8552714.7800000012</v>
      </c>
      <c r="N531" s="167">
        <v>8447493.2999999989</v>
      </c>
      <c r="O531" s="167">
        <v>8382591.0899999999</v>
      </c>
      <c r="P531" s="167">
        <v>8206086.1700000009</v>
      </c>
      <c r="Q531" s="167">
        <v>8179162.8600000003</v>
      </c>
      <c r="R531" s="167">
        <v>8177510.080000001</v>
      </c>
      <c r="S531" s="167">
        <v>8165727.6800000016</v>
      </c>
      <c r="T531" s="167">
        <v>8164517.4200000009</v>
      </c>
      <c r="U531" s="168"/>
      <c r="V531" s="168"/>
      <c r="W531" s="168"/>
      <c r="X531" s="167">
        <v>8164517.4200000009</v>
      </c>
      <c r="AC531" s="43"/>
      <c r="AD531" s="43"/>
      <c r="AE531" s="43"/>
      <c r="AF531" s="43"/>
      <c r="AG531" s="43"/>
      <c r="AH531" s="43"/>
      <c r="AI531" s="43"/>
      <c r="AJ531" s="43"/>
      <c r="AK531" s="43"/>
      <c r="AL531" s="43"/>
      <c r="AM531" s="43"/>
      <c r="AN531" s="43"/>
      <c r="AO531" s="43"/>
      <c r="AP531" s="43"/>
      <c r="AQ531" s="43"/>
      <c r="AR531" s="43"/>
      <c r="AS531" s="43"/>
      <c r="AT531" s="43"/>
      <c r="AU531" s="43"/>
      <c r="AV531" s="43"/>
      <c r="AW531" s="43"/>
      <c r="AX531" s="43"/>
    </row>
    <row r="532" spans="1:50" ht="14.4" x14ac:dyDescent="0.3">
      <c r="A532" s="163" t="s">
        <v>45</v>
      </c>
      <c r="B532" s="164">
        <v>1999</v>
      </c>
      <c r="C532" s="167">
        <v>2873936.73</v>
      </c>
      <c r="D532" s="167">
        <v>6746415.6500000022</v>
      </c>
      <c r="E532" s="167">
        <v>11094304.290000001</v>
      </c>
      <c r="F532" s="167">
        <v>5548139.8599999994</v>
      </c>
      <c r="G532" s="167">
        <v>4316616.7700000014</v>
      </c>
      <c r="H532" s="167">
        <v>7540597.6500000004</v>
      </c>
      <c r="I532" s="167">
        <v>9697721.2300000004</v>
      </c>
      <c r="J532" s="167">
        <v>9748996.1500000004</v>
      </c>
      <c r="K532" s="167">
        <v>10140461.470000001</v>
      </c>
      <c r="L532" s="167">
        <v>10116261.619999997</v>
      </c>
      <c r="M532" s="167">
        <v>10109252.82</v>
      </c>
      <c r="N532" s="167">
        <v>10125407.779999999</v>
      </c>
      <c r="O532" s="167">
        <v>10004224.819999998</v>
      </c>
      <c r="P532" s="167">
        <v>10003905.309999999</v>
      </c>
      <c r="Q532" s="167">
        <v>10169261.52</v>
      </c>
      <c r="R532" s="167">
        <v>10168245.52</v>
      </c>
      <c r="S532" s="167">
        <v>10168474.52</v>
      </c>
      <c r="T532" s="168"/>
      <c r="U532" s="168"/>
      <c r="V532" s="168"/>
      <c r="W532" s="168"/>
      <c r="X532" s="167">
        <v>10168474.52</v>
      </c>
      <c r="AC532" s="43"/>
      <c r="AD532" s="43"/>
      <c r="AE532" s="43"/>
      <c r="AF532" s="43"/>
      <c r="AG532" s="43"/>
      <c r="AH532" s="43"/>
      <c r="AI532" s="43"/>
      <c r="AJ532" s="43"/>
      <c r="AK532" s="43"/>
      <c r="AL532" s="43"/>
      <c r="AM532" s="43"/>
      <c r="AN532" s="43"/>
      <c r="AO532" s="43"/>
      <c r="AP532" s="43"/>
      <c r="AQ532" s="43"/>
      <c r="AR532" s="43"/>
      <c r="AS532" s="43"/>
      <c r="AT532" s="43"/>
      <c r="AU532" s="43"/>
      <c r="AV532" s="43"/>
      <c r="AW532" s="43"/>
      <c r="AX532" s="43"/>
    </row>
    <row r="533" spans="1:50" ht="14.4" x14ac:dyDescent="0.3">
      <c r="A533" s="170" t="s">
        <v>45</v>
      </c>
      <c r="B533" s="171">
        <v>2000</v>
      </c>
      <c r="C533" s="169">
        <v>7312271.6999999993</v>
      </c>
      <c r="D533" s="169">
        <v>6270246.209999999</v>
      </c>
      <c r="E533" s="169">
        <v>6750179.2200000007</v>
      </c>
      <c r="F533" s="169">
        <v>7387998.879999999</v>
      </c>
      <c r="G533" s="169">
        <v>7554032.6400000006</v>
      </c>
      <c r="H533" s="169">
        <v>6924038.3300000001</v>
      </c>
      <c r="I533" s="169">
        <v>6927429.3599999994</v>
      </c>
      <c r="J533" s="169">
        <v>18215989.57</v>
      </c>
      <c r="K533" s="169">
        <v>18203343.490000002</v>
      </c>
      <c r="L533" s="169">
        <v>18200778.350000001</v>
      </c>
      <c r="M533" s="169">
        <v>18194021.190000001</v>
      </c>
      <c r="N533" s="169">
        <v>18176986.629999999</v>
      </c>
      <c r="O533" s="169">
        <v>18177664.219999999</v>
      </c>
      <c r="P533" s="169">
        <v>18182344.900000002</v>
      </c>
      <c r="Q533" s="169">
        <v>18181058.969999999</v>
      </c>
      <c r="R533" s="169">
        <v>18179764.5</v>
      </c>
      <c r="S533" s="168"/>
      <c r="T533" s="168"/>
      <c r="U533" s="168"/>
      <c r="V533" s="168"/>
      <c r="W533" s="168"/>
      <c r="X533" s="167">
        <v>18179764.5</v>
      </c>
    </row>
    <row r="534" spans="1:50" ht="14.4" x14ac:dyDescent="0.3">
      <c r="A534" s="163" t="s">
        <v>45</v>
      </c>
      <c r="B534" s="164">
        <v>2001</v>
      </c>
      <c r="C534" s="167">
        <v>3649816.12</v>
      </c>
      <c r="D534" s="167">
        <v>7370015.5399999991</v>
      </c>
      <c r="E534" s="167">
        <v>9597539.129999999</v>
      </c>
      <c r="F534" s="167">
        <v>8858152.9400000013</v>
      </c>
      <c r="G534" s="167">
        <v>11238871.35</v>
      </c>
      <c r="H534" s="167">
        <v>10715826.290000001</v>
      </c>
      <c r="I534" s="167">
        <v>24982400.020000003</v>
      </c>
      <c r="J534" s="167">
        <v>24138824.340000004</v>
      </c>
      <c r="K534" s="167">
        <v>24131773.52</v>
      </c>
      <c r="L534" s="167">
        <v>23913971.090000004</v>
      </c>
      <c r="M534" s="167">
        <v>23881814.140000001</v>
      </c>
      <c r="N534" s="167">
        <v>23858615.759999998</v>
      </c>
      <c r="O534" s="167">
        <v>23842598.140000001</v>
      </c>
      <c r="P534" s="167">
        <v>23758409.170000002</v>
      </c>
      <c r="Q534" s="167">
        <v>23733850.539999999</v>
      </c>
      <c r="R534" s="168"/>
      <c r="S534" s="168"/>
      <c r="T534" s="168"/>
      <c r="U534" s="168"/>
      <c r="V534" s="168"/>
      <c r="W534" s="168"/>
      <c r="X534" s="167">
        <v>23733850.539999999</v>
      </c>
    </row>
    <row r="535" spans="1:50" ht="14.4" x14ac:dyDescent="0.3">
      <c r="A535" s="163" t="s">
        <v>45</v>
      </c>
      <c r="B535" s="164">
        <v>2002</v>
      </c>
      <c r="C535" s="167">
        <v>1642219.4899999998</v>
      </c>
      <c r="D535" s="167">
        <v>11719150.450000003</v>
      </c>
      <c r="E535" s="167">
        <v>11143528.849999998</v>
      </c>
      <c r="F535" s="167">
        <v>15710103.42</v>
      </c>
      <c r="G535" s="167">
        <v>23352098.520000003</v>
      </c>
      <c r="H535" s="167">
        <v>38707974.549999997</v>
      </c>
      <c r="I535" s="167">
        <v>39097056.150000006</v>
      </c>
      <c r="J535" s="167">
        <v>39085455.299999997</v>
      </c>
      <c r="K535" s="167">
        <v>38870186.820000008</v>
      </c>
      <c r="L535" s="167">
        <v>38862543.370000005</v>
      </c>
      <c r="M535" s="167">
        <v>38806985.120000005</v>
      </c>
      <c r="N535" s="167">
        <v>38761696.050000004</v>
      </c>
      <c r="O535" s="167">
        <v>38728035.979999997</v>
      </c>
      <c r="P535" s="167">
        <v>38710015.800000004</v>
      </c>
      <c r="Q535" s="168"/>
      <c r="R535" s="168"/>
      <c r="S535" s="168"/>
      <c r="T535" s="168"/>
      <c r="U535" s="168"/>
      <c r="V535" s="168"/>
      <c r="W535" s="168"/>
      <c r="X535" s="167">
        <v>38710015.800000004</v>
      </c>
    </row>
    <row r="536" spans="1:50" ht="14.4" x14ac:dyDescent="0.3">
      <c r="A536" s="163" t="s">
        <v>45</v>
      </c>
      <c r="B536" s="164">
        <v>2003</v>
      </c>
      <c r="C536" s="167">
        <v>4906975.5999999996</v>
      </c>
      <c r="D536" s="167">
        <v>9845128.0099999998</v>
      </c>
      <c r="E536" s="167">
        <v>9157314.6799999997</v>
      </c>
      <c r="F536" s="167">
        <v>9378372.5300000012</v>
      </c>
      <c r="G536" s="167">
        <v>9047852.1400000006</v>
      </c>
      <c r="H536" s="167">
        <v>8845580.3900000006</v>
      </c>
      <c r="I536" s="167">
        <v>8834354.7599999998</v>
      </c>
      <c r="J536" s="167">
        <v>8816660.1500000004</v>
      </c>
      <c r="K536" s="167">
        <v>8791250.6500000004</v>
      </c>
      <c r="L536" s="167">
        <v>8783402.0300000012</v>
      </c>
      <c r="M536" s="167">
        <v>8779509.790000001</v>
      </c>
      <c r="N536" s="167">
        <v>8772578.540000001</v>
      </c>
      <c r="O536" s="167">
        <v>8770304.540000001</v>
      </c>
      <c r="P536" s="168"/>
      <c r="Q536" s="168"/>
      <c r="R536" s="168"/>
      <c r="S536" s="168"/>
      <c r="T536" s="168"/>
      <c r="U536" s="168"/>
      <c r="V536" s="168"/>
      <c r="W536" s="168"/>
      <c r="X536" s="167">
        <v>8770304.540000001</v>
      </c>
      <c r="AC536" s="43"/>
      <c r="AD536" s="43"/>
      <c r="AE536" s="43"/>
      <c r="AF536" s="43"/>
      <c r="AG536" s="43"/>
      <c r="AH536" s="43"/>
      <c r="AI536" s="43"/>
      <c r="AJ536" s="43"/>
      <c r="AK536" s="43"/>
      <c r="AL536" s="43"/>
      <c r="AM536" s="43"/>
      <c r="AN536" s="43"/>
      <c r="AO536" s="43"/>
      <c r="AP536" s="43"/>
      <c r="AQ536" s="43"/>
      <c r="AR536" s="43"/>
      <c r="AS536" s="43"/>
      <c r="AT536" s="43"/>
      <c r="AU536" s="43"/>
      <c r="AV536" s="43"/>
      <c r="AW536" s="43"/>
      <c r="AX536" s="43"/>
    </row>
    <row r="537" spans="1:50" ht="14.4" x14ac:dyDescent="0.3">
      <c r="A537" s="163" t="s">
        <v>45</v>
      </c>
      <c r="B537" s="164">
        <v>2004</v>
      </c>
      <c r="C537" s="167">
        <v>11339209.259999998</v>
      </c>
      <c r="D537" s="167">
        <v>14077359.15</v>
      </c>
      <c r="E537" s="167">
        <v>11473365.620000001</v>
      </c>
      <c r="F537" s="167">
        <v>10019542.540000001</v>
      </c>
      <c r="G537" s="167">
        <v>10549756.560000001</v>
      </c>
      <c r="H537" s="167">
        <v>10396353.82</v>
      </c>
      <c r="I537" s="167">
        <v>10246121.83</v>
      </c>
      <c r="J537" s="167">
        <v>11016220.77</v>
      </c>
      <c r="K537" s="167">
        <v>11013412.15</v>
      </c>
      <c r="L537" s="167">
        <v>11013003.390000001</v>
      </c>
      <c r="M537" s="167">
        <v>11012054.939999999</v>
      </c>
      <c r="N537" s="167">
        <v>11012209.119999999</v>
      </c>
      <c r="O537" s="168"/>
      <c r="P537" s="168"/>
      <c r="Q537" s="168"/>
      <c r="R537" s="168"/>
      <c r="S537" s="168"/>
      <c r="T537" s="168"/>
      <c r="U537" s="168"/>
      <c r="V537" s="168"/>
      <c r="W537" s="168"/>
      <c r="X537" s="167">
        <v>11012209.119999999</v>
      </c>
      <c r="AC537" s="43"/>
      <c r="AD537" s="43"/>
      <c r="AE537" s="43"/>
      <c r="AF537" s="43"/>
      <c r="AG537" s="43"/>
      <c r="AH537" s="43"/>
      <c r="AI537" s="43"/>
      <c r="AJ537" s="43"/>
      <c r="AK537" s="43"/>
      <c r="AL537" s="43"/>
      <c r="AM537" s="43"/>
      <c r="AN537" s="43"/>
      <c r="AO537" s="43"/>
      <c r="AP537" s="43"/>
      <c r="AQ537" s="43"/>
      <c r="AR537" s="43"/>
      <c r="AS537" s="43"/>
      <c r="AT537" s="43"/>
      <c r="AU537" s="43"/>
      <c r="AV537" s="43"/>
      <c r="AW537" s="43"/>
      <c r="AX537" s="43"/>
    </row>
    <row r="538" spans="1:50" ht="14.4" x14ac:dyDescent="0.3">
      <c r="A538" s="163" t="s">
        <v>45</v>
      </c>
      <c r="B538" s="164">
        <v>2005</v>
      </c>
      <c r="C538" s="167">
        <v>396176.64000000001</v>
      </c>
      <c r="D538" s="167">
        <v>2309537.87</v>
      </c>
      <c r="E538" s="167">
        <v>3774858.83</v>
      </c>
      <c r="F538" s="167">
        <v>3844441.34</v>
      </c>
      <c r="G538" s="167">
        <v>3850154.96</v>
      </c>
      <c r="H538" s="167">
        <v>3819989.64</v>
      </c>
      <c r="I538" s="167">
        <v>4837020.6100000003</v>
      </c>
      <c r="J538" s="167">
        <v>4624544.87</v>
      </c>
      <c r="K538" s="167">
        <v>4622854.0200000005</v>
      </c>
      <c r="L538" s="167">
        <v>4622451.32</v>
      </c>
      <c r="M538" s="167">
        <v>4621446.2300000004</v>
      </c>
      <c r="N538" s="168"/>
      <c r="O538" s="168"/>
      <c r="P538" s="168"/>
      <c r="Q538" s="168"/>
      <c r="R538" s="168"/>
      <c r="S538" s="168"/>
      <c r="T538" s="168"/>
      <c r="U538" s="168"/>
      <c r="V538" s="168"/>
      <c r="W538" s="168"/>
      <c r="X538" s="167">
        <v>4621446.2300000004</v>
      </c>
      <c r="AC538" s="43"/>
      <c r="AD538" s="43"/>
      <c r="AE538" s="43"/>
      <c r="AF538" s="43"/>
      <c r="AG538" s="43"/>
      <c r="AH538" s="43"/>
      <c r="AI538" s="43"/>
      <c r="AJ538" s="43"/>
      <c r="AK538" s="43"/>
      <c r="AL538" s="43"/>
      <c r="AM538" s="43"/>
      <c r="AN538" s="43"/>
      <c r="AO538" s="43"/>
      <c r="AP538" s="43"/>
      <c r="AQ538" s="43"/>
      <c r="AR538" s="43"/>
      <c r="AS538" s="43"/>
      <c r="AT538" s="43"/>
      <c r="AU538" s="43"/>
      <c r="AV538" s="43"/>
      <c r="AW538" s="43"/>
      <c r="AX538" s="43"/>
    </row>
    <row r="539" spans="1:50" ht="14.4" x14ac:dyDescent="0.3">
      <c r="A539" s="163" t="s">
        <v>45</v>
      </c>
      <c r="B539" s="164">
        <v>2006</v>
      </c>
      <c r="C539" s="167">
        <v>563660</v>
      </c>
      <c r="D539" s="167">
        <v>2244282.7699999996</v>
      </c>
      <c r="E539" s="167">
        <v>2244276.7699999996</v>
      </c>
      <c r="F539" s="167">
        <v>2244333.17</v>
      </c>
      <c r="G539" s="167">
        <v>2244333.17</v>
      </c>
      <c r="H539" s="167">
        <v>2244333.17</v>
      </c>
      <c r="I539" s="167">
        <v>2244333.17</v>
      </c>
      <c r="J539" s="167">
        <v>2244333.17</v>
      </c>
      <c r="K539" s="167">
        <v>2244333.17</v>
      </c>
      <c r="L539" s="167">
        <v>2244333.17</v>
      </c>
      <c r="M539" s="168"/>
      <c r="N539" s="168"/>
      <c r="O539" s="168"/>
      <c r="P539" s="168"/>
      <c r="Q539" s="168"/>
      <c r="R539" s="168"/>
      <c r="S539" s="168"/>
      <c r="T539" s="168"/>
      <c r="U539" s="168"/>
      <c r="V539" s="168"/>
      <c r="W539" s="168"/>
      <c r="X539" s="167">
        <v>2244333.17</v>
      </c>
      <c r="AC539" s="43"/>
      <c r="AD539" s="43"/>
      <c r="AE539" s="43"/>
      <c r="AF539" s="43"/>
      <c r="AG539" s="43"/>
      <c r="AH539" s="43"/>
      <c r="AI539" s="43"/>
      <c r="AJ539" s="43"/>
      <c r="AK539" s="43"/>
      <c r="AL539" s="43"/>
      <c r="AM539" s="43"/>
      <c r="AN539" s="43"/>
      <c r="AO539" s="43"/>
      <c r="AP539" s="43"/>
      <c r="AQ539" s="43"/>
      <c r="AR539" s="43"/>
      <c r="AS539" s="43"/>
      <c r="AT539" s="43"/>
      <c r="AU539" s="43"/>
      <c r="AV539" s="43"/>
      <c r="AW539" s="43"/>
      <c r="AX539" s="43"/>
    </row>
    <row r="540" spans="1:50" ht="14.4" x14ac:dyDescent="0.3">
      <c r="A540" s="163" t="s">
        <v>45</v>
      </c>
      <c r="B540" s="164">
        <v>2007</v>
      </c>
      <c r="C540" s="167">
        <v>24471.15</v>
      </c>
      <c r="D540" s="167">
        <v>254875.67000000004</v>
      </c>
      <c r="E540" s="167">
        <v>2134261.7200000002</v>
      </c>
      <c r="F540" s="167">
        <v>2466579.6900000004</v>
      </c>
      <c r="G540" s="167">
        <v>831642.45</v>
      </c>
      <c r="H540" s="167">
        <v>808418.83999999985</v>
      </c>
      <c r="I540" s="167">
        <v>824501.74999999988</v>
      </c>
      <c r="J540" s="167">
        <v>870121.74</v>
      </c>
      <c r="K540" s="167">
        <v>884790.2</v>
      </c>
      <c r="L540" s="168"/>
      <c r="M540" s="168"/>
      <c r="N540" s="168"/>
      <c r="O540" s="168"/>
      <c r="P540" s="168"/>
      <c r="Q540" s="168"/>
      <c r="R540" s="168"/>
      <c r="S540" s="168"/>
      <c r="T540" s="168"/>
      <c r="U540" s="168"/>
      <c r="V540" s="168"/>
      <c r="W540" s="168"/>
      <c r="X540" s="167">
        <v>884790.2</v>
      </c>
      <c r="AC540" s="43"/>
      <c r="AD540" s="43"/>
      <c r="AE540" s="43"/>
      <c r="AF540" s="43"/>
      <c r="AG540" s="43"/>
      <c r="AH540" s="43"/>
      <c r="AI540" s="43"/>
      <c r="AJ540" s="43"/>
      <c r="AK540" s="43"/>
      <c r="AL540" s="43"/>
      <c r="AM540" s="43"/>
      <c r="AN540" s="43"/>
      <c r="AO540" s="43"/>
      <c r="AP540" s="43"/>
      <c r="AQ540" s="43"/>
      <c r="AR540" s="43"/>
      <c r="AS540" s="43"/>
      <c r="AT540" s="43"/>
      <c r="AU540" s="43"/>
      <c r="AV540" s="43"/>
      <c r="AW540" s="43"/>
      <c r="AX540" s="43"/>
    </row>
    <row r="541" spans="1:50" ht="14.4" x14ac:dyDescent="0.3">
      <c r="A541" s="163" t="s">
        <v>45</v>
      </c>
      <c r="B541" s="164">
        <v>2008</v>
      </c>
      <c r="C541" s="167">
        <v>13631599.18</v>
      </c>
      <c r="D541" s="167">
        <v>24736991.639999997</v>
      </c>
      <c r="E541" s="167">
        <v>26318524.32</v>
      </c>
      <c r="F541" s="167">
        <v>27575026.040000003</v>
      </c>
      <c r="G541" s="167">
        <v>31285556.07</v>
      </c>
      <c r="H541" s="167">
        <v>21276821.630000003</v>
      </c>
      <c r="I541" s="167">
        <v>18812853.77</v>
      </c>
      <c r="J541" s="167">
        <v>22543015.260000002</v>
      </c>
      <c r="K541" s="168"/>
      <c r="L541" s="168"/>
      <c r="M541" s="168"/>
      <c r="N541" s="168"/>
      <c r="O541" s="168"/>
      <c r="P541" s="168"/>
      <c r="Q541" s="168"/>
      <c r="R541" s="168"/>
      <c r="S541" s="168"/>
      <c r="T541" s="168"/>
      <c r="U541" s="168"/>
      <c r="V541" s="168"/>
      <c r="W541" s="168"/>
      <c r="X541" s="167">
        <v>22543015.260000002</v>
      </c>
      <c r="AC541" s="43"/>
      <c r="AD541" s="43"/>
      <c r="AE541" s="43"/>
      <c r="AF541" s="43"/>
      <c r="AG541" s="43"/>
      <c r="AH541" s="43"/>
      <c r="AI541" s="43"/>
      <c r="AJ541" s="43"/>
      <c r="AK541" s="43"/>
      <c r="AL541" s="43"/>
      <c r="AM541" s="43"/>
      <c r="AN541" s="43"/>
      <c r="AO541" s="43"/>
      <c r="AP541" s="43"/>
      <c r="AQ541" s="43"/>
      <c r="AR541" s="43"/>
      <c r="AS541" s="43"/>
      <c r="AT541" s="43"/>
      <c r="AU541" s="43"/>
      <c r="AV541" s="43"/>
      <c r="AW541" s="43"/>
      <c r="AX541" s="43"/>
    </row>
    <row r="542" spans="1:50" ht="14.4" x14ac:dyDescent="0.3">
      <c r="A542" s="163" t="s">
        <v>45</v>
      </c>
      <c r="B542" s="164">
        <v>2009</v>
      </c>
      <c r="C542" s="167">
        <v>513203.29000000004</v>
      </c>
      <c r="D542" s="167">
        <v>3270236.4000000004</v>
      </c>
      <c r="E542" s="167">
        <v>11600224.309999999</v>
      </c>
      <c r="F542" s="167">
        <v>11556766.25</v>
      </c>
      <c r="G542" s="167">
        <v>17094977</v>
      </c>
      <c r="H542" s="167">
        <v>17115394.170000002</v>
      </c>
      <c r="I542" s="167">
        <v>17489416.640000001</v>
      </c>
      <c r="J542" s="168"/>
      <c r="K542" s="168"/>
      <c r="L542" s="168"/>
      <c r="M542" s="168"/>
      <c r="N542" s="168"/>
      <c r="O542" s="168"/>
      <c r="P542" s="168"/>
      <c r="Q542" s="168"/>
      <c r="R542" s="168"/>
      <c r="S542" s="168"/>
      <c r="T542" s="168"/>
      <c r="U542" s="168"/>
      <c r="V542" s="168"/>
      <c r="W542" s="168"/>
      <c r="X542" s="167">
        <v>17489416.640000001</v>
      </c>
      <c r="AC542" s="43"/>
      <c r="AD542" s="43"/>
      <c r="AE542" s="43"/>
      <c r="AF542" s="43"/>
      <c r="AG542" s="43"/>
      <c r="AH542" s="43"/>
      <c r="AI542" s="43"/>
      <c r="AJ542" s="43"/>
      <c r="AK542" s="43"/>
      <c r="AL542" s="43"/>
      <c r="AM542" s="43"/>
      <c r="AN542" s="43"/>
      <c r="AO542" s="43"/>
      <c r="AP542" s="43"/>
      <c r="AQ542" s="43"/>
      <c r="AR542" s="43"/>
      <c r="AS542" s="43"/>
      <c r="AT542" s="43"/>
      <c r="AU542" s="43"/>
      <c r="AV542" s="43"/>
      <c r="AW542" s="43"/>
      <c r="AX542" s="43"/>
    </row>
    <row r="543" spans="1:50" ht="14.4" x14ac:dyDescent="0.3">
      <c r="A543" s="163" t="s">
        <v>45</v>
      </c>
      <c r="B543" s="164">
        <v>2010</v>
      </c>
      <c r="C543" s="167">
        <v>69</v>
      </c>
      <c r="D543" s="167">
        <v>2650002.16</v>
      </c>
      <c r="E543" s="167">
        <v>5259347.96</v>
      </c>
      <c r="F543" s="167">
        <v>6060353.1699999999</v>
      </c>
      <c r="G543" s="167">
        <v>6059522.2899999991</v>
      </c>
      <c r="H543" s="167">
        <v>5747195.7699999996</v>
      </c>
      <c r="I543" s="168"/>
      <c r="J543" s="168"/>
      <c r="K543" s="168"/>
      <c r="L543" s="168"/>
      <c r="M543" s="168"/>
      <c r="N543" s="168"/>
      <c r="O543" s="168"/>
      <c r="P543" s="168"/>
      <c r="Q543" s="168"/>
      <c r="R543" s="168"/>
      <c r="S543" s="168"/>
      <c r="T543" s="168"/>
      <c r="U543" s="168"/>
      <c r="V543" s="168"/>
      <c r="W543" s="168"/>
      <c r="X543" s="167">
        <v>5747195.7699999996</v>
      </c>
      <c r="AC543" s="43"/>
      <c r="AD543" s="43"/>
      <c r="AE543" s="43"/>
      <c r="AF543" s="43"/>
      <c r="AG543" s="43"/>
      <c r="AH543" s="43"/>
      <c r="AI543" s="43"/>
      <c r="AJ543" s="43"/>
      <c r="AK543" s="43"/>
      <c r="AL543" s="43"/>
      <c r="AM543" s="43"/>
      <c r="AN543" s="43"/>
      <c r="AO543" s="43"/>
      <c r="AP543" s="43"/>
      <c r="AQ543" s="43"/>
      <c r="AR543" s="43"/>
      <c r="AS543" s="43"/>
      <c r="AT543" s="43"/>
      <c r="AU543" s="43"/>
      <c r="AV543" s="43"/>
      <c r="AW543" s="43"/>
      <c r="AX543" s="43"/>
    </row>
    <row r="544" spans="1:50" ht="14.4" x14ac:dyDescent="0.3">
      <c r="A544" s="163" t="s">
        <v>45</v>
      </c>
      <c r="B544" s="164">
        <v>2011</v>
      </c>
      <c r="C544" s="167">
        <v>180812</v>
      </c>
      <c r="D544" s="167">
        <v>5267414.7699999996</v>
      </c>
      <c r="E544" s="167">
        <v>5322890.21</v>
      </c>
      <c r="F544" s="167">
        <v>5322889.21</v>
      </c>
      <c r="G544" s="167">
        <v>5326134.6099999994</v>
      </c>
      <c r="H544" s="168"/>
      <c r="I544" s="168"/>
      <c r="J544" s="168"/>
      <c r="K544" s="168"/>
      <c r="L544" s="168"/>
      <c r="M544" s="168"/>
      <c r="N544" s="168"/>
      <c r="O544" s="168"/>
      <c r="P544" s="168"/>
      <c r="Q544" s="168"/>
      <c r="R544" s="168"/>
      <c r="S544" s="168"/>
      <c r="T544" s="168"/>
      <c r="U544" s="168"/>
      <c r="V544" s="168"/>
      <c r="W544" s="168"/>
      <c r="X544" s="167">
        <v>5326134.6099999994</v>
      </c>
      <c r="AC544" s="43"/>
      <c r="AD544" s="43"/>
      <c r="AE544" s="43"/>
      <c r="AF544" s="43"/>
      <c r="AG544" s="43"/>
      <c r="AH544" s="43"/>
      <c r="AI544" s="43"/>
      <c r="AJ544" s="43"/>
      <c r="AK544" s="43"/>
      <c r="AL544" s="43"/>
      <c r="AM544" s="43"/>
      <c r="AN544" s="43"/>
      <c r="AO544" s="43"/>
      <c r="AP544" s="43"/>
      <c r="AQ544" s="43"/>
      <c r="AR544" s="43"/>
      <c r="AS544" s="43"/>
      <c r="AT544" s="43"/>
      <c r="AU544" s="43"/>
      <c r="AV544" s="43"/>
      <c r="AW544" s="43"/>
      <c r="AX544" s="43"/>
    </row>
    <row r="545" spans="1:50" ht="14.4" x14ac:dyDescent="0.3">
      <c r="A545" s="163" t="s">
        <v>45</v>
      </c>
      <c r="B545" s="164">
        <v>2012</v>
      </c>
      <c r="C545" s="167">
        <v>28605</v>
      </c>
      <c r="D545" s="167">
        <v>257513.92</v>
      </c>
      <c r="E545" s="167">
        <v>307997.51</v>
      </c>
      <c r="F545" s="167">
        <v>469996.71</v>
      </c>
      <c r="G545" s="168"/>
      <c r="H545" s="168"/>
      <c r="I545" s="168"/>
      <c r="J545" s="168"/>
      <c r="K545" s="168"/>
      <c r="L545" s="168"/>
      <c r="M545" s="168"/>
      <c r="N545" s="168"/>
      <c r="O545" s="168"/>
      <c r="P545" s="168"/>
      <c r="Q545" s="168"/>
      <c r="R545" s="168"/>
      <c r="S545" s="168"/>
      <c r="T545" s="168"/>
      <c r="U545" s="168"/>
      <c r="V545" s="168"/>
      <c r="W545" s="168"/>
      <c r="X545" s="167">
        <v>469996.71</v>
      </c>
      <c r="AC545" s="43"/>
      <c r="AD545" s="43"/>
      <c r="AE545" s="43"/>
      <c r="AF545" s="43"/>
      <c r="AG545" s="43"/>
      <c r="AH545" s="43"/>
      <c r="AI545" s="43"/>
      <c r="AJ545" s="43"/>
      <c r="AK545" s="43"/>
      <c r="AL545" s="43"/>
      <c r="AM545" s="43"/>
      <c r="AN545" s="43"/>
      <c r="AO545" s="43"/>
      <c r="AP545" s="43"/>
      <c r="AQ545" s="43"/>
      <c r="AR545" s="43"/>
      <c r="AS545" s="43"/>
      <c r="AT545" s="43"/>
      <c r="AU545" s="43"/>
      <c r="AV545" s="43"/>
      <c r="AW545" s="43"/>
      <c r="AX545" s="43"/>
    </row>
    <row r="546" spans="1:50" ht="14.4" x14ac:dyDescent="0.3">
      <c r="A546" s="163" t="s">
        <v>45</v>
      </c>
      <c r="B546" s="164">
        <v>2013</v>
      </c>
      <c r="C546" s="167">
        <v>81802</v>
      </c>
      <c r="D546" s="167">
        <v>1495062.47</v>
      </c>
      <c r="E546" s="167">
        <v>888439.23</v>
      </c>
      <c r="F546" s="168"/>
      <c r="G546" s="168"/>
      <c r="H546" s="168"/>
      <c r="I546" s="168"/>
      <c r="J546" s="168"/>
      <c r="K546" s="168"/>
      <c r="L546" s="168"/>
      <c r="M546" s="168"/>
      <c r="N546" s="168"/>
      <c r="O546" s="168"/>
      <c r="P546" s="168"/>
      <c r="Q546" s="168"/>
      <c r="R546" s="168"/>
      <c r="S546" s="168"/>
      <c r="T546" s="168"/>
      <c r="U546" s="168"/>
      <c r="V546" s="168"/>
      <c r="W546" s="168"/>
      <c r="X546" s="167">
        <v>888439.23</v>
      </c>
      <c r="AC546" s="43"/>
      <c r="AD546" s="43"/>
      <c r="AE546" s="43"/>
      <c r="AF546" s="43"/>
      <c r="AG546" s="43"/>
      <c r="AH546" s="43"/>
      <c r="AI546" s="43"/>
      <c r="AJ546" s="43"/>
      <c r="AK546" s="43"/>
      <c r="AL546" s="43"/>
      <c r="AM546" s="43"/>
      <c r="AN546" s="43"/>
      <c r="AO546" s="43"/>
      <c r="AP546" s="43"/>
      <c r="AQ546" s="43"/>
      <c r="AR546" s="43"/>
      <c r="AS546" s="43"/>
      <c r="AT546" s="43"/>
      <c r="AU546" s="43"/>
      <c r="AV546" s="43"/>
      <c r="AW546" s="43"/>
      <c r="AX546" s="43"/>
    </row>
    <row r="547" spans="1:50" ht="14.4" x14ac:dyDescent="0.3">
      <c r="A547" s="163" t="s">
        <v>45</v>
      </c>
      <c r="B547" s="164">
        <v>2014</v>
      </c>
      <c r="C547" s="167">
        <v>168182.16</v>
      </c>
      <c r="D547" s="167">
        <v>1457449.36</v>
      </c>
      <c r="E547" s="168"/>
      <c r="F547" s="168"/>
      <c r="G547" s="168"/>
      <c r="H547" s="168"/>
      <c r="I547" s="168"/>
      <c r="J547" s="168"/>
      <c r="K547" s="168"/>
      <c r="L547" s="168"/>
      <c r="M547" s="168"/>
      <c r="N547" s="168"/>
      <c r="O547" s="168"/>
      <c r="P547" s="168"/>
      <c r="Q547" s="168"/>
      <c r="R547" s="168"/>
      <c r="S547" s="168"/>
      <c r="T547" s="168"/>
      <c r="U547" s="168"/>
      <c r="V547" s="168"/>
      <c r="W547" s="168"/>
      <c r="X547" s="167">
        <v>1457449.36</v>
      </c>
      <c r="AC547" s="43"/>
      <c r="AD547" s="43"/>
      <c r="AE547" s="43"/>
      <c r="AF547" s="43"/>
      <c r="AG547" s="43"/>
      <c r="AH547" s="43"/>
      <c r="AI547" s="43"/>
      <c r="AJ547" s="43"/>
      <c r="AK547" s="43"/>
      <c r="AL547" s="43"/>
      <c r="AM547" s="43"/>
      <c r="AN547" s="43"/>
      <c r="AO547" s="43"/>
      <c r="AP547" s="43"/>
      <c r="AQ547" s="43"/>
      <c r="AR547" s="43"/>
      <c r="AS547" s="43"/>
      <c r="AT547" s="43"/>
      <c r="AU547" s="43"/>
      <c r="AV547" s="43"/>
      <c r="AW547" s="43"/>
      <c r="AX547" s="43"/>
    </row>
    <row r="548" spans="1:50" ht="14.4" x14ac:dyDescent="0.3">
      <c r="A548" s="163" t="s">
        <v>45</v>
      </c>
      <c r="B548" s="164">
        <v>2015</v>
      </c>
      <c r="C548" s="167">
        <v>619172.19999999995</v>
      </c>
      <c r="D548" s="168"/>
      <c r="E548" s="168"/>
      <c r="F548" s="168"/>
      <c r="G548" s="168"/>
      <c r="H548" s="168"/>
      <c r="I548" s="168"/>
      <c r="J548" s="168"/>
      <c r="K548" s="168"/>
      <c r="L548" s="168"/>
      <c r="M548" s="168"/>
      <c r="N548" s="168"/>
      <c r="O548" s="168"/>
      <c r="P548" s="168"/>
      <c r="Q548" s="168"/>
      <c r="R548" s="168"/>
      <c r="S548" s="168"/>
      <c r="T548" s="168"/>
      <c r="U548" s="168"/>
      <c r="V548" s="168"/>
      <c r="W548" s="168"/>
      <c r="X548" s="167">
        <v>619172.19999999995</v>
      </c>
      <c r="AC548" s="43"/>
      <c r="AD548" s="43"/>
      <c r="AE548" s="43"/>
      <c r="AF548" s="43"/>
      <c r="AG548" s="43"/>
      <c r="AH548" s="43"/>
      <c r="AI548" s="43"/>
      <c r="AJ548" s="43"/>
      <c r="AK548" s="43"/>
      <c r="AL548" s="43"/>
      <c r="AM548" s="43"/>
      <c r="AN548" s="43"/>
      <c r="AO548" s="43"/>
      <c r="AP548" s="43"/>
      <c r="AQ548" s="43"/>
      <c r="AR548" s="43"/>
      <c r="AS548" s="43"/>
      <c r="AT548" s="43"/>
      <c r="AU548" s="43"/>
      <c r="AV548" s="43"/>
      <c r="AW548" s="43"/>
      <c r="AX548" s="43"/>
    </row>
    <row r="549" spans="1:50" ht="14.4" x14ac:dyDescent="0.3">
      <c r="A549" s="163" t="s">
        <v>2</v>
      </c>
      <c r="B549" s="164">
        <v>1995</v>
      </c>
      <c r="C549" s="167">
        <v>753785.24</v>
      </c>
      <c r="D549" s="167">
        <v>886546.7300000001</v>
      </c>
      <c r="E549" s="167">
        <v>2567924.81</v>
      </c>
      <c r="F549" s="167">
        <v>2955020.36</v>
      </c>
      <c r="G549" s="167">
        <v>2981674.9299999997</v>
      </c>
      <c r="H549" s="167">
        <v>2588182.75</v>
      </c>
      <c r="I549" s="167">
        <v>2795676.29</v>
      </c>
      <c r="J549" s="167">
        <v>2792666.1799999997</v>
      </c>
      <c r="K549" s="167">
        <v>2820364.6999999997</v>
      </c>
      <c r="L549" s="167">
        <v>2828912.83</v>
      </c>
      <c r="M549" s="167">
        <v>2830017.27</v>
      </c>
      <c r="N549" s="167">
        <v>2834117.89</v>
      </c>
      <c r="O549" s="167">
        <v>2838791.04</v>
      </c>
      <c r="P549" s="167">
        <v>2846716.21</v>
      </c>
      <c r="Q549" s="167">
        <v>2846820.48</v>
      </c>
      <c r="R549" s="167">
        <v>2849211.63</v>
      </c>
      <c r="S549" s="167">
        <v>2848968.4499999997</v>
      </c>
      <c r="T549" s="167">
        <v>2846834.11</v>
      </c>
      <c r="U549" s="167">
        <v>2849501.4699999997</v>
      </c>
      <c r="V549" s="167">
        <v>2843473.1799999997</v>
      </c>
      <c r="W549" s="167">
        <v>2843473.1799999997</v>
      </c>
      <c r="X549" s="167">
        <v>2843473.1799999997</v>
      </c>
    </row>
    <row r="550" spans="1:50" ht="14.4" x14ac:dyDescent="0.3">
      <c r="A550" s="163" t="s">
        <v>2</v>
      </c>
      <c r="B550" s="164">
        <v>1996</v>
      </c>
      <c r="C550" s="167">
        <v>161090.72</v>
      </c>
      <c r="D550" s="167">
        <v>689649.24</v>
      </c>
      <c r="E550" s="167">
        <v>923273.84</v>
      </c>
      <c r="F550" s="167">
        <v>983041.16</v>
      </c>
      <c r="G550" s="167">
        <v>1146540.29</v>
      </c>
      <c r="H550" s="167">
        <v>1849504.68</v>
      </c>
      <c r="I550" s="167">
        <v>1849234.68</v>
      </c>
      <c r="J550" s="167">
        <v>1849234.68</v>
      </c>
      <c r="K550" s="167">
        <v>1849234.68</v>
      </c>
      <c r="L550" s="167">
        <v>1849234.68</v>
      </c>
      <c r="M550" s="167">
        <v>1849234.68</v>
      </c>
      <c r="N550" s="167">
        <v>1849234.68</v>
      </c>
      <c r="O550" s="167">
        <v>1849234.68</v>
      </c>
      <c r="P550" s="167">
        <v>1849234.68</v>
      </c>
      <c r="Q550" s="167">
        <v>1849234.68</v>
      </c>
      <c r="R550" s="167">
        <v>1849234.68</v>
      </c>
      <c r="S550" s="167">
        <v>1849234.68</v>
      </c>
      <c r="T550" s="167">
        <v>1849234.68</v>
      </c>
      <c r="U550" s="167">
        <v>1849234.68</v>
      </c>
      <c r="V550" s="167">
        <v>1849234.68</v>
      </c>
      <c r="W550" s="168"/>
      <c r="X550" s="167">
        <v>1849234.68</v>
      </c>
    </row>
    <row r="551" spans="1:50" ht="14.4" x14ac:dyDescent="0.3">
      <c r="A551" s="163" t="s">
        <v>2</v>
      </c>
      <c r="B551" s="164">
        <v>1997</v>
      </c>
      <c r="C551" s="167">
        <v>368384.7</v>
      </c>
      <c r="D551" s="167">
        <v>2658407</v>
      </c>
      <c r="E551" s="167">
        <v>3032671.3800000004</v>
      </c>
      <c r="F551" s="167">
        <v>3343325.42</v>
      </c>
      <c r="G551" s="167">
        <v>3272638.6100000003</v>
      </c>
      <c r="H551" s="167">
        <v>3273919.96</v>
      </c>
      <c r="I551" s="167">
        <v>3273918.46</v>
      </c>
      <c r="J551" s="167">
        <v>3317228.7700000005</v>
      </c>
      <c r="K551" s="167">
        <v>3319374.31</v>
      </c>
      <c r="L551" s="167">
        <v>3319375.73</v>
      </c>
      <c r="M551" s="167">
        <v>3310935.17</v>
      </c>
      <c r="N551" s="167">
        <v>3316739.0700000003</v>
      </c>
      <c r="O551" s="167">
        <v>3327347.1399999997</v>
      </c>
      <c r="P551" s="167">
        <v>3325818.44</v>
      </c>
      <c r="Q551" s="167">
        <v>3326104.6100000003</v>
      </c>
      <c r="R551" s="167">
        <v>3339778.67</v>
      </c>
      <c r="S551" s="167">
        <v>3341167.62</v>
      </c>
      <c r="T551" s="167">
        <v>3335097.13</v>
      </c>
      <c r="U551" s="167">
        <v>3335378.19</v>
      </c>
      <c r="V551" s="168"/>
      <c r="W551" s="168"/>
      <c r="X551" s="167">
        <v>3335378.19</v>
      </c>
    </row>
    <row r="552" spans="1:50" ht="14.4" x14ac:dyDescent="0.3">
      <c r="A552" s="163" t="s">
        <v>2</v>
      </c>
      <c r="B552" s="164">
        <v>1998</v>
      </c>
      <c r="C552" s="167">
        <v>687549.47000000009</v>
      </c>
      <c r="D552" s="167">
        <v>28939282.740000002</v>
      </c>
      <c r="E552" s="167">
        <v>21785554.399999999</v>
      </c>
      <c r="F552" s="167">
        <v>22006558.91</v>
      </c>
      <c r="G552" s="167">
        <v>22009100.010000002</v>
      </c>
      <c r="H552" s="167">
        <v>22023614.049999997</v>
      </c>
      <c r="I552" s="167">
        <v>21977548.689999998</v>
      </c>
      <c r="J552" s="167">
        <v>21977548.689999998</v>
      </c>
      <c r="K552" s="167">
        <v>21977548.689999998</v>
      </c>
      <c r="L552" s="167">
        <v>21977548.689999998</v>
      </c>
      <c r="M552" s="167">
        <v>21977548.689999998</v>
      </c>
      <c r="N552" s="167">
        <v>21977548.689999998</v>
      </c>
      <c r="O552" s="167">
        <v>21977548.689999998</v>
      </c>
      <c r="P552" s="167">
        <v>21977548.689999998</v>
      </c>
      <c r="Q552" s="167">
        <v>21976548.689999998</v>
      </c>
      <c r="R552" s="167">
        <v>21976548.689999998</v>
      </c>
      <c r="S552" s="167">
        <v>21976548.689999998</v>
      </c>
      <c r="T552" s="167">
        <v>21976548.689999998</v>
      </c>
      <c r="U552" s="168"/>
      <c r="V552" s="168"/>
      <c r="W552" s="168"/>
      <c r="X552" s="167">
        <v>21976548.689999998</v>
      </c>
    </row>
    <row r="553" spans="1:50" ht="14.4" x14ac:dyDescent="0.3">
      <c r="A553" s="163" t="s">
        <v>2</v>
      </c>
      <c r="B553" s="164">
        <v>1999</v>
      </c>
      <c r="C553" s="167">
        <v>34637625.82</v>
      </c>
      <c r="D553" s="167">
        <v>23514897.129999999</v>
      </c>
      <c r="E553" s="167">
        <v>25001739.760000002</v>
      </c>
      <c r="F553" s="167">
        <v>25255191.560000002</v>
      </c>
      <c r="G553" s="167">
        <v>25395907.440000001</v>
      </c>
      <c r="H553" s="167">
        <v>25418646.23</v>
      </c>
      <c r="I553" s="167">
        <v>25400330.91</v>
      </c>
      <c r="J553" s="167">
        <v>25403866.900000002</v>
      </c>
      <c r="K553" s="167">
        <v>25422235.219999999</v>
      </c>
      <c r="L553" s="167">
        <v>25432460.100000001</v>
      </c>
      <c r="M553" s="167">
        <v>25431354.640000001</v>
      </c>
      <c r="N553" s="167">
        <v>25454007.349999998</v>
      </c>
      <c r="O553" s="167">
        <v>25499043.059999999</v>
      </c>
      <c r="P553" s="167">
        <v>25501020.73</v>
      </c>
      <c r="Q553" s="167">
        <v>25505830.210000001</v>
      </c>
      <c r="R553" s="167">
        <v>25754815.859999999</v>
      </c>
      <c r="S553" s="167">
        <v>25753311.079999998</v>
      </c>
      <c r="T553" s="168"/>
      <c r="U553" s="168"/>
      <c r="V553" s="168"/>
      <c r="W553" s="168"/>
      <c r="X553" s="167">
        <v>25753311.079999998</v>
      </c>
    </row>
    <row r="554" spans="1:50" ht="14.4" x14ac:dyDescent="0.3">
      <c r="A554" s="163" t="s">
        <v>2</v>
      </c>
      <c r="B554" s="164">
        <v>2000</v>
      </c>
      <c r="C554" s="167">
        <v>1072946.1599999999</v>
      </c>
      <c r="D554" s="167">
        <v>1723019.63</v>
      </c>
      <c r="E554" s="167">
        <v>2279188.46</v>
      </c>
      <c r="F554" s="167">
        <v>2313568.4900000002</v>
      </c>
      <c r="G554" s="167">
        <v>2433538.2799999998</v>
      </c>
      <c r="H554" s="167">
        <v>2560059.91</v>
      </c>
      <c r="I554" s="167">
        <v>2564607.15</v>
      </c>
      <c r="J554" s="167">
        <v>2535421.02</v>
      </c>
      <c r="K554" s="167">
        <v>2535017.46</v>
      </c>
      <c r="L554" s="167">
        <v>2535017.46</v>
      </c>
      <c r="M554" s="167">
        <v>2535017.46</v>
      </c>
      <c r="N554" s="167">
        <v>2535068.46</v>
      </c>
      <c r="O554" s="167">
        <v>2535068.46</v>
      </c>
      <c r="P554" s="167">
        <v>2537172.33</v>
      </c>
      <c r="Q554" s="167">
        <v>2537172.33</v>
      </c>
      <c r="R554" s="167">
        <v>2537172.33</v>
      </c>
      <c r="S554" s="168"/>
      <c r="T554" s="168"/>
      <c r="U554" s="168"/>
      <c r="V554" s="168"/>
      <c r="W554" s="168"/>
      <c r="X554" s="167">
        <v>2537172.33</v>
      </c>
    </row>
    <row r="555" spans="1:50" ht="14.4" x14ac:dyDescent="0.3">
      <c r="A555" s="163" t="s">
        <v>2</v>
      </c>
      <c r="B555" s="164">
        <v>2001</v>
      </c>
      <c r="C555" s="167">
        <v>908321.24</v>
      </c>
      <c r="D555" s="167">
        <v>1632786.2</v>
      </c>
      <c r="E555" s="167">
        <v>2808224.5500000003</v>
      </c>
      <c r="F555" s="167">
        <v>3249844.35</v>
      </c>
      <c r="G555" s="167">
        <v>3248503.93</v>
      </c>
      <c r="H555" s="167">
        <v>3226957.65</v>
      </c>
      <c r="I555" s="167">
        <v>3226192.35</v>
      </c>
      <c r="J555" s="167">
        <v>3229669.3899999997</v>
      </c>
      <c r="K555" s="167">
        <v>3234615.04</v>
      </c>
      <c r="L555" s="167">
        <v>3236051.69</v>
      </c>
      <c r="M555" s="167">
        <v>3231510.65</v>
      </c>
      <c r="N555" s="167">
        <v>3231510.65</v>
      </c>
      <c r="O555" s="167">
        <v>3231510.65</v>
      </c>
      <c r="P555" s="167">
        <v>3231510.65</v>
      </c>
      <c r="Q555" s="167">
        <v>3231510.65</v>
      </c>
      <c r="R555" s="168"/>
      <c r="S555" s="168"/>
      <c r="T555" s="168"/>
      <c r="U555" s="168"/>
      <c r="V555" s="168"/>
      <c r="W555" s="168"/>
      <c r="X555" s="167">
        <v>3231510.65</v>
      </c>
    </row>
    <row r="556" spans="1:50" ht="14.4" x14ac:dyDescent="0.3">
      <c r="A556" s="163" t="s">
        <v>2</v>
      </c>
      <c r="B556" s="164">
        <v>2002</v>
      </c>
      <c r="C556" s="167">
        <v>876938.99</v>
      </c>
      <c r="D556" s="167">
        <v>1344784</v>
      </c>
      <c r="E556" s="167">
        <v>1522099.0999999999</v>
      </c>
      <c r="F556" s="167">
        <v>1571319.29</v>
      </c>
      <c r="G556" s="167">
        <v>1647459.42</v>
      </c>
      <c r="H556" s="167">
        <v>1641039.87</v>
      </c>
      <c r="I556" s="167">
        <v>1655186.25</v>
      </c>
      <c r="J556" s="167">
        <v>1655491.09</v>
      </c>
      <c r="K556" s="167">
        <v>1655491.09</v>
      </c>
      <c r="L556" s="167">
        <v>1656491.09</v>
      </c>
      <c r="M556" s="167">
        <v>1690270.35</v>
      </c>
      <c r="N556" s="167">
        <v>1692464.03</v>
      </c>
      <c r="O556" s="167">
        <v>1692464.03</v>
      </c>
      <c r="P556" s="167">
        <v>1692464.03</v>
      </c>
      <c r="Q556" s="168"/>
      <c r="R556" s="168"/>
      <c r="S556" s="168"/>
      <c r="T556" s="168"/>
      <c r="U556" s="168"/>
      <c r="V556" s="168"/>
      <c r="W556" s="168"/>
      <c r="X556" s="167">
        <v>1692464.03</v>
      </c>
    </row>
    <row r="557" spans="1:50" ht="14.4" x14ac:dyDescent="0.3">
      <c r="A557" s="163" t="s">
        <v>2</v>
      </c>
      <c r="B557" s="164">
        <v>2003</v>
      </c>
      <c r="C557" s="167">
        <v>659310.5</v>
      </c>
      <c r="D557" s="167">
        <v>1385757.7</v>
      </c>
      <c r="E557" s="167">
        <v>1550250.0499999998</v>
      </c>
      <c r="F557" s="167">
        <v>1307149.83</v>
      </c>
      <c r="G557" s="167">
        <v>1309382.6800000002</v>
      </c>
      <c r="H557" s="167">
        <v>1312188.6300000001</v>
      </c>
      <c r="I557" s="167">
        <v>1314186.81</v>
      </c>
      <c r="J557" s="167">
        <v>1314186.81</v>
      </c>
      <c r="K557" s="167">
        <v>1314186.81</v>
      </c>
      <c r="L557" s="167">
        <v>1314186.81</v>
      </c>
      <c r="M557" s="167">
        <v>1314186.81</v>
      </c>
      <c r="N557" s="167">
        <v>1314186.81</v>
      </c>
      <c r="O557" s="167">
        <v>1314186.81</v>
      </c>
      <c r="P557" s="168"/>
      <c r="Q557" s="168"/>
      <c r="R557" s="168"/>
      <c r="S557" s="168"/>
      <c r="T557" s="168"/>
      <c r="U557" s="168"/>
      <c r="V557" s="168"/>
      <c r="W557" s="168"/>
      <c r="X557" s="167">
        <v>1314186.81</v>
      </c>
    </row>
    <row r="558" spans="1:50" ht="14.4" x14ac:dyDescent="0.3">
      <c r="A558" s="163" t="s">
        <v>2</v>
      </c>
      <c r="B558" s="164">
        <v>2004</v>
      </c>
      <c r="C558" s="167">
        <v>277199.56999999995</v>
      </c>
      <c r="D558" s="167">
        <v>390798.93000000005</v>
      </c>
      <c r="E558" s="167">
        <v>448044.85000000003</v>
      </c>
      <c r="F558" s="167">
        <v>366493.55000000005</v>
      </c>
      <c r="G558" s="167">
        <v>405704.68</v>
      </c>
      <c r="H558" s="167">
        <v>407522.41000000003</v>
      </c>
      <c r="I558" s="167">
        <v>407522.41000000003</v>
      </c>
      <c r="J558" s="167">
        <v>407522.41000000003</v>
      </c>
      <c r="K558" s="167">
        <v>407522.41000000003</v>
      </c>
      <c r="L558" s="167">
        <v>407522.41000000003</v>
      </c>
      <c r="M558" s="167">
        <v>407522.41000000003</v>
      </c>
      <c r="N558" s="167">
        <v>407522.41000000003</v>
      </c>
      <c r="O558" s="168"/>
      <c r="P558" s="168"/>
      <c r="Q558" s="168"/>
      <c r="R558" s="168"/>
      <c r="S558" s="168"/>
      <c r="T558" s="168"/>
      <c r="U558" s="168"/>
      <c r="V558" s="168"/>
      <c r="W558" s="168"/>
      <c r="X558" s="167">
        <v>407522.41000000003</v>
      </c>
    </row>
    <row r="559" spans="1:50" ht="14.4" x14ac:dyDescent="0.3">
      <c r="A559" s="163" t="s">
        <v>2</v>
      </c>
      <c r="B559" s="164">
        <v>2005</v>
      </c>
      <c r="C559" s="167">
        <v>213230.45</v>
      </c>
      <c r="D559" s="167">
        <v>734150.15</v>
      </c>
      <c r="E559" s="167">
        <v>787389.17</v>
      </c>
      <c r="F559" s="167">
        <v>808671.45</v>
      </c>
      <c r="G559" s="167">
        <v>817010.85</v>
      </c>
      <c r="H559" s="167">
        <v>804823.29</v>
      </c>
      <c r="I559" s="167">
        <v>815588.35</v>
      </c>
      <c r="J559" s="167">
        <v>805588.35</v>
      </c>
      <c r="K559" s="167">
        <v>805684.35</v>
      </c>
      <c r="L559" s="167">
        <v>805684.35</v>
      </c>
      <c r="M559" s="167">
        <v>805684.35</v>
      </c>
      <c r="N559" s="168"/>
      <c r="O559" s="168"/>
      <c r="P559" s="168"/>
      <c r="Q559" s="168"/>
      <c r="R559" s="168"/>
      <c r="S559" s="168"/>
      <c r="T559" s="168"/>
      <c r="U559" s="168"/>
      <c r="V559" s="168"/>
      <c r="W559" s="168"/>
      <c r="X559" s="167">
        <v>805684.35</v>
      </c>
    </row>
    <row r="560" spans="1:50" ht="14.4" x14ac:dyDescent="0.3">
      <c r="A560" s="163" t="s">
        <v>2</v>
      </c>
      <c r="B560" s="164">
        <v>2006</v>
      </c>
      <c r="C560" s="167">
        <v>249118.16</v>
      </c>
      <c r="D560" s="167">
        <v>1245610.6500000001</v>
      </c>
      <c r="E560" s="167">
        <v>1206631.3099999998</v>
      </c>
      <c r="F560" s="167">
        <v>1213322.72</v>
      </c>
      <c r="G560" s="167">
        <v>1890049.09</v>
      </c>
      <c r="H560" s="167">
        <v>1704042</v>
      </c>
      <c r="I560" s="167">
        <v>1714620</v>
      </c>
      <c r="J560" s="167">
        <v>1735779.37</v>
      </c>
      <c r="K560" s="167">
        <v>1728815.37</v>
      </c>
      <c r="L560" s="167">
        <v>1728815.37</v>
      </c>
      <c r="M560" s="168"/>
      <c r="N560" s="168"/>
      <c r="O560" s="168"/>
      <c r="P560" s="168"/>
      <c r="Q560" s="168"/>
      <c r="R560" s="168"/>
      <c r="S560" s="168"/>
      <c r="T560" s="168"/>
      <c r="U560" s="168"/>
      <c r="V560" s="168"/>
      <c r="W560" s="168"/>
      <c r="X560" s="167">
        <v>1728815.37</v>
      </c>
    </row>
    <row r="561" spans="1:24" ht="14.4" x14ac:dyDescent="0.3">
      <c r="A561" s="163" t="s">
        <v>2</v>
      </c>
      <c r="B561" s="164">
        <v>2007</v>
      </c>
      <c r="C561" s="167">
        <v>433921.44999999995</v>
      </c>
      <c r="D561" s="167">
        <v>4021986.1700000004</v>
      </c>
      <c r="E561" s="167">
        <v>3605638.62</v>
      </c>
      <c r="F561" s="167">
        <v>3605610.67</v>
      </c>
      <c r="G561" s="167">
        <v>734309.76</v>
      </c>
      <c r="H561" s="167">
        <v>725135.51</v>
      </c>
      <c r="I561" s="167">
        <v>720891.01</v>
      </c>
      <c r="J561" s="167">
        <v>714504.01</v>
      </c>
      <c r="K561" s="167">
        <v>714504.01</v>
      </c>
      <c r="L561" s="168"/>
      <c r="M561" s="168"/>
      <c r="N561" s="168"/>
      <c r="O561" s="168"/>
      <c r="P561" s="168"/>
      <c r="Q561" s="168"/>
      <c r="R561" s="168"/>
      <c r="S561" s="168"/>
      <c r="T561" s="168"/>
      <c r="U561" s="168"/>
      <c r="V561" s="168"/>
      <c r="W561" s="168"/>
      <c r="X561" s="167">
        <v>714504.01</v>
      </c>
    </row>
    <row r="562" spans="1:24" ht="14.4" x14ac:dyDescent="0.3">
      <c r="A562" s="163" t="s">
        <v>2</v>
      </c>
      <c r="B562" s="164">
        <v>2008</v>
      </c>
      <c r="C562" s="167">
        <v>2058077.3699999999</v>
      </c>
      <c r="D562" s="167">
        <v>2717257.8699999996</v>
      </c>
      <c r="E562" s="167">
        <v>2628818.1100000003</v>
      </c>
      <c r="F562" s="167">
        <v>2663830.48</v>
      </c>
      <c r="G562" s="167">
        <v>2774790.93</v>
      </c>
      <c r="H562" s="167">
        <v>2866807.87</v>
      </c>
      <c r="I562" s="167">
        <v>2925765.56</v>
      </c>
      <c r="J562" s="167">
        <v>2951871.64</v>
      </c>
      <c r="K562" s="168"/>
      <c r="L562" s="168"/>
      <c r="M562" s="168"/>
      <c r="N562" s="168"/>
      <c r="O562" s="168"/>
      <c r="P562" s="168"/>
      <c r="Q562" s="168"/>
      <c r="R562" s="168"/>
      <c r="S562" s="168"/>
      <c r="T562" s="168"/>
      <c r="U562" s="168"/>
      <c r="V562" s="168"/>
      <c r="W562" s="168"/>
      <c r="X562" s="167">
        <v>2951871.64</v>
      </c>
    </row>
    <row r="563" spans="1:24" ht="14.4" x14ac:dyDescent="0.3">
      <c r="A563" s="163" t="s">
        <v>2</v>
      </c>
      <c r="B563" s="164">
        <v>2009</v>
      </c>
      <c r="C563" s="167">
        <v>545222.62</v>
      </c>
      <c r="D563" s="167">
        <v>704714.78999999992</v>
      </c>
      <c r="E563" s="167">
        <v>839767.9</v>
      </c>
      <c r="F563" s="167">
        <v>887298.04</v>
      </c>
      <c r="G563" s="167">
        <v>840901.83</v>
      </c>
      <c r="H563" s="167">
        <v>851676.42</v>
      </c>
      <c r="I563" s="167">
        <v>855593.92</v>
      </c>
      <c r="J563" s="168"/>
      <c r="K563" s="168"/>
      <c r="L563" s="168"/>
      <c r="M563" s="168"/>
      <c r="N563" s="168"/>
      <c r="O563" s="168"/>
      <c r="P563" s="168"/>
      <c r="Q563" s="168"/>
      <c r="R563" s="168"/>
      <c r="S563" s="168"/>
      <c r="T563" s="168"/>
      <c r="U563" s="168"/>
      <c r="V563" s="168"/>
      <c r="W563" s="168"/>
      <c r="X563" s="167">
        <v>855593.92</v>
      </c>
    </row>
    <row r="564" spans="1:24" ht="14.4" x14ac:dyDescent="0.3">
      <c r="A564" s="163" t="s">
        <v>2</v>
      </c>
      <c r="B564" s="164">
        <v>2010</v>
      </c>
      <c r="C564" s="167">
        <v>1511628.41</v>
      </c>
      <c r="D564" s="167">
        <v>3349032.12</v>
      </c>
      <c r="E564" s="167">
        <v>3460739.17</v>
      </c>
      <c r="F564" s="167">
        <v>3594978.52</v>
      </c>
      <c r="G564" s="167">
        <v>3606550.32</v>
      </c>
      <c r="H564" s="167">
        <v>3610386.57</v>
      </c>
      <c r="I564" s="168"/>
      <c r="J564" s="168"/>
      <c r="K564" s="168"/>
      <c r="L564" s="168"/>
      <c r="M564" s="168"/>
      <c r="N564" s="168"/>
      <c r="O564" s="168"/>
      <c r="P564" s="168"/>
      <c r="Q564" s="168"/>
      <c r="R564" s="168"/>
      <c r="S564" s="168"/>
      <c r="T564" s="168"/>
      <c r="U564" s="168"/>
      <c r="V564" s="168"/>
      <c r="W564" s="168"/>
      <c r="X564" s="167">
        <v>3610386.57</v>
      </c>
    </row>
    <row r="565" spans="1:24" ht="14.4" x14ac:dyDescent="0.3">
      <c r="A565" s="163" t="s">
        <v>2</v>
      </c>
      <c r="B565" s="164">
        <v>2011</v>
      </c>
      <c r="C565" s="167">
        <v>1382408.15</v>
      </c>
      <c r="D565" s="167">
        <v>2149878.87</v>
      </c>
      <c r="E565" s="167">
        <v>2315061.98</v>
      </c>
      <c r="F565" s="167">
        <v>3514611.3</v>
      </c>
      <c r="G565" s="167">
        <v>3634766.4899999998</v>
      </c>
      <c r="H565" s="168"/>
      <c r="I565" s="168"/>
      <c r="J565" s="168"/>
      <c r="K565" s="168"/>
      <c r="L565" s="168"/>
      <c r="M565" s="168"/>
      <c r="N565" s="168"/>
      <c r="O565" s="168"/>
      <c r="P565" s="168"/>
      <c r="Q565" s="168"/>
      <c r="R565" s="168"/>
      <c r="S565" s="168"/>
      <c r="T565" s="168"/>
      <c r="U565" s="168"/>
      <c r="V565" s="168"/>
      <c r="W565" s="168"/>
      <c r="X565" s="167">
        <v>3634766.4899999998</v>
      </c>
    </row>
    <row r="566" spans="1:24" ht="14.4" x14ac:dyDescent="0.3">
      <c r="A566" s="163" t="s">
        <v>2</v>
      </c>
      <c r="B566" s="164">
        <v>2012</v>
      </c>
      <c r="C566" s="167">
        <v>1941073.28</v>
      </c>
      <c r="D566" s="167">
        <v>7224426.46</v>
      </c>
      <c r="E566" s="167">
        <v>7360675.29</v>
      </c>
      <c r="F566" s="167">
        <v>4473695.3999999994</v>
      </c>
      <c r="G566" s="168"/>
      <c r="H566" s="168"/>
      <c r="I566" s="168"/>
      <c r="J566" s="168"/>
      <c r="K566" s="168"/>
      <c r="L566" s="168"/>
      <c r="M566" s="168"/>
      <c r="N566" s="168"/>
      <c r="O566" s="168"/>
      <c r="P566" s="168"/>
      <c r="Q566" s="168"/>
      <c r="R566" s="168"/>
      <c r="S566" s="168"/>
      <c r="T566" s="168"/>
      <c r="U566" s="168"/>
      <c r="V566" s="168"/>
      <c r="W566" s="168"/>
      <c r="X566" s="167">
        <v>4473695.3999999994</v>
      </c>
    </row>
    <row r="567" spans="1:24" ht="14.4" x14ac:dyDescent="0.3">
      <c r="A567" s="163" t="s">
        <v>2</v>
      </c>
      <c r="B567" s="164">
        <v>2013</v>
      </c>
      <c r="C567" s="167">
        <v>1124577.01</v>
      </c>
      <c r="D567" s="167">
        <v>1603076.3</v>
      </c>
      <c r="E567" s="167">
        <v>1787155.9100000001</v>
      </c>
      <c r="F567" s="168"/>
      <c r="G567" s="168"/>
      <c r="H567" s="168"/>
      <c r="I567" s="168"/>
      <c r="J567" s="168"/>
      <c r="K567" s="168"/>
      <c r="L567" s="168"/>
      <c r="M567" s="168"/>
      <c r="N567" s="168"/>
      <c r="O567" s="168"/>
      <c r="P567" s="168"/>
      <c r="Q567" s="168"/>
      <c r="R567" s="168"/>
      <c r="S567" s="168"/>
      <c r="T567" s="168"/>
      <c r="U567" s="168"/>
      <c r="V567" s="168"/>
      <c r="W567" s="168"/>
      <c r="X567" s="167">
        <v>1787155.9100000001</v>
      </c>
    </row>
    <row r="568" spans="1:24" ht="14.4" x14ac:dyDescent="0.3">
      <c r="A568" s="163" t="s">
        <v>2</v>
      </c>
      <c r="B568" s="164">
        <v>2014</v>
      </c>
      <c r="C568" s="167">
        <v>1400258.38</v>
      </c>
      <c r="D568" s="167">
        <v>2495395.69</v>
      </c>
      <c r="E568" s="168"/>
      <c r="F568" s="168"/>
      <c r="G568" s="168"/>
      <c r="H568" s="168"/>
      <c r="I568" s="168"/>
      <c r="J568" s="168"/>
      <c r="K568" s="168"/>
      <c r="L568" s="168"/>
      <c r="M568" s="168"/>
      <c r="N568" s="168"/>
      <c r="O568" s="168"/>
      <c r="P568" s="168"/>
      <c r="Q568" s="168"/>
      <c r="R568" s="168"/>
      <c r="S568" s="168"/>
      <c r="T568" s="168"/>
      <c r="U568" s="168"/>
      <c r="V568" s="168"/>
      <c r="W568" s="168"/>
      <c r="X568" s="167">
        <v>2495395.69</v>
      </c>
    </row>
    <row r="569" spans="1:24" ht="14.4" x14ac:dyDescent="0.3">
      <c r="A569" s="163" t="s">
        <v>2</v>
      </c>
      <c r="B569" s="164">
        <v>2015</v>
      </c>
      <c r="C569" s="167">
        <v>1452593.77</v>
      </c>
      <c r="D569" s="168"/>
      <c r="E569" s="168"/>
      <c r="F569" s="168"/>
      <c r="G569" s="168"/>
      <c r="H569" s="168"/>
      <c r="I569" s="168"/>
      <c r="J569" s="168"/>
      <c r="K569" s="168"/>
      <c r="L569" s="168"/>
      <c r="M569" s="168"/>
      <c r="N569" s="168"/>
      <c r="O569" s="168"/>
      <c r="P569" s="168"/>
      <c r="Q569" s="168"/>
      <c r="R569" s="168"/>
      <c r="S569" s="168"/>
      <c r="T569" s="168"/>
      <c r="U569" s="168"/>
      <c r="V569" s="168"/>
      <c r="W569" s="168"/>
      <c r="X569" s="167">
        <v>1452593.77</v>
      </c>
    </row>
    <row r="570" spans="1:24" ht="14.4" x14ac:dyDescent="0.3">
      <c r="A570" s="163" t="s">
        <v>3</v>
      </c>
      <c r="B570" s="164">
        <v>1995</v>
      </c>
      <c r="C570" s="167">
        <v>0</v>
      </c>
      <c r="D570" s="167">
        <v>0</v>
      </c>
      <c r="E570" s="167">
        <v>0</v>
      </c>
      <c r="F570" s="167">
        <v>0</v>
      </c>
      <c r="G570" s="167">
        <v>0</v>
      </c>
      <c r="H570" s="167">
        <v>0</v>
      </c>
      <c r="I570" s="167">
        <v>0</v>
      </c>
      <c r="J570" s="167">
        <v>0</v>
      </c>
      <c r="K570" s="167">
        <v>0</v>
      </c>
      <c r="L570" s="167">
        <v>0</v>
      </c>
      <c r="M570" s="167">
        <v>0</v>
      </c>
      <c r="N570" s="167">
        <v>0</v>
      </c>
      <c r="O570" s="167">
        <v>0</v>
      </c>
      <c r="P570" s="167">
        <v>0</v>
      </c>
      <c r="Q570" s="167">
        <v>0</v>
      </c>
      <c r="R570" s="167">
        <v>0</v>
      </c>
      <c r="S570" s="167">
        <v>0</v>
      </c>
      <c r="T570" s="167">
        <v>0</v>
      </c>
      <c r="U570" s="167">
        <v>0</v>
      </c>
      <c r="V570" s="167">
        <v>0</v>
      </c>
      <c r="W570" s="167">
        <v>0</v>
      </c>
      <c r="X570" s="167">
        <v>0</v>
      </c>
    </row>
    <row r="571" spans="1:24" ht="14.4" x14ac:dyDescent="0.3">
      <c r="A571" s="163" t="s">
        <v>3</v>
      </c>
      <c r="B571" s="164">
        <v>1996</v>
      </c>
      <c r="C571" s="167">
        <v>0</v>
      </c>
      <c r="D571" s="167">
        <v>0</v>
      </c>
      <c r="E571" s="167">
        <v>0</v>
      </c>
      <c r="F571" s="167">
        <v>0</v>
      </c>
      <c r="G571" s="167">
        <v>0</v>
      </c>
      <c r="H571" s="167">
        <v>0</v>
      </c>
      <c r="I571" s="167">
        <v>0</v>
      </c>
      <c r="J571" s="167">
        <v>0</v>
      </c>
      <c r="K571" s="167">
        <v>0</v>
      </c>
      <c r="L571" s="167">
        <v>0</v>
      </c>
      <c r="M571" s="167">
        <v>0</v>
      </c>
      <c r="N571" s="167">
        <v>0</v>
      </c>
      <c r="O571" s="167">
        <v>0</v>
      </c>
      <c r="P571" s="167">
        <v>0</v>
      </c>
      <c r="Q571" s="167">
        <v>0</v>
      </c>
      <c r="R571" s="167">
        <v>0</v>
      </c>
      <c r="S571" s="167">
        <v>0</v>
      </c>
      <c r="T571" s="167">
        <v>0</v>
      </c>
      <c r="U571" s="167">
        <v>0</v>
      </c>
      <c r="V571" s="167">
        <v>0</v>
      </c>
      <c r="W571" s="168"/>
      <c r="X571" s="167">
        <v>0</v>
      </c>
    </row>
    <row r="572" spans="1:24" ht="14.4" x14ac:dyDescent="0.3">
      <c r="A572" s="163" t="s">
        <v>3</v>
      </c>
      <c r="B572" s="164">
        <v>1997</v>
      </c>
      <c r="C572" s="167">
        <v>0</v>
      </c>
      <c r="D572" s="167">
        <v>0</v>
      </c>
      <c r="E572" s="167">
        <v>0</v>
      </c>
      <c r="F572" s="167">
        <v>0</v>
      </c>
      <c r="G572" s="167">
        <v>0</v>
      </c>
      <c r="H572" s="167">
        <v>0</v>
      </c>
      <c r="I572" s="167">
        <v>0</v>
      </c>
      <c r="J572" s="167">
        <v>0</v>
      </c>
      <c r="K572" s="167">
        <v>0</v>
      </c>
      <c r="L572" s="167">
        <v>0</v>
      </c>
      <c r="M572" s="167">
        <v>0</v>
      </c>
      <c r="N572" s="167">
        <v>0</v>
      </c>
      <c r="O572" s="167">
        <v>0</v>
      </c>
      <c r="P572" s="167">
        <v>0</v>
      </c>
      <c r="Q572" s="167">
        <v>0</v>
      </c>
      <c r="R572" s="167">
        <v>0</v>
      </c>
      <c r="S572" s="167">
        <v>0</v>
      </c>
      <c r="T572" s="167">
        <v>0</v>
      </c>
      <c r="U572" s="167">
        <v>0</v>
      </c>
      <c r="V572" s="168"/>
      <c r="W572" s="168"/>
      <c r="X572" s="167">
        <v>0</v>
      </c>
    </row>
    <row r="573" spans="1:24" ht="14.4" x14ac:dyDescent="0.3">
      <c r="A573" s="163" t="s">
        <v>3</v>
      </c>
      <c r="B573" s="164">
        <v>1998</v>
      </c>
      <c r="C573" s="167">
        <v>0</v>
      </c>
      <c r="D573" s="167">
        <v>0</v>
      </c>
      <c r="E573" s="167">
        <v>0</v>
      </c>
      <c r="F573" s="167">
        <v>0</v>
      </c>
      <c r="G573" s="167">
        <v>0</v>
      </c>
      <c r="H573" s="167">
        <v>0</v>
      </c>
      <c r="I573" s="167">
        <v>0</v>
      </c>
      <c r="J573" s="167">
        <v>0</v>
      </c>
      <c r="K573" s="167">
        <v>0</v>
      </c>
      <c r="L573" s="167">
        <v>0</v>
      </c>
      <c r="M573" s="167">
        <v>0</v>
      </c>
      <c r="N573" s="167">
        <v>0</v>
      </c>
      <c r="O573" s="167">
        <v>0</v>
      </c>
      <c r="P573" s="167">
        <v>0</v>
      </c>
      <c r="Q573" s="167">
        <v>0</v>
      </c>
      <c r="R573" s="167">
        <v>0</v>
      </c>
      <c r="S573" s="167">
        <v>0</v>
      </c>
      <c r="T573" s="167">
        <v>0</v>
      </c>
      <c r="U573" s="168"/>
      <c r="V573" s="168"/>
      <c r="W573" s="168"/>
      <c r="X573" s="167">
        <v>0</v>
      </c>
    </row>
    <row r="574" spans="1:24" ht="14.4" x14ac:dyDescent="0.3">
      <c r="A574" s="163" t="s">
        <v>3</v>
      </c>
      <c r="B574" s="164">
        <v>1999</v>
      </c>
      <c r="C574" s="167">
        <v>181344</v>
      </c>
      <c r="D574" s="167">
        <v>990</v>
      </c>
      <c r="E574" s="167">
        <v>990</v>
      </c>
      <c r="F574" s="167">
        <v>990</v>
      </c>
      <c r="G574" s="167">
        <v>990</v>
      </c>
      <c r="H574" s="167">
        <v>990</v>
      </c>
      <c r="I574" s="167">
        <v>990</v>
      </c>
      <c r="J574" s="167">
        <v>990</v>
      </c>
      <c r="K574" s="167">
        <v>990</v>
      </c>
      <c r="L574" s="167">
        <v>990</v>
      </c>
      <c r="M574" s="167">
        <v>990</v>
      </c>
      <c r="N574" s="167">
        <v>990</v>
      </c>
      <c r="O574" s="167">
        <v>990</v>
      </c>
      <c r="P574" s="167">
        <v>990</v>
      </c>
      <c r="Q574" s="167">
        <v>990</v>
      </c>
      <c r="R574" s="167">
        <v>990</v>
      </c>
      <c r="S574" s="167">
        <v>990</v>
      </c>
      <c r="T574" s="168"/>
      <c r="U574" s="168"/>
      <c r="V574" s="168"/>
      <c r="W574" s="168"/>
      <c r="X574" s="167">
        <v>990</v>
      </c>
    </row>
    <row r="575" spans="1:24" ht="14.4" x14ac:dyDescent="0.3">
      <c r="A575" s="163" t="s">
        <v>3</v>
      </c>
      <c r="B575" s="164">
        <v>2000</v>
      </c>
      <c r="C575" s="167">
        <v>0</v>
      </c>
      <c r="D575" s="167">
        <v>0</v>
      </c>
      <c r="E575" s="167">
        <v>0</v>
      </c>
      <c r="F575" s="167">
        <v>0</v>
      </c>
      <c r="G575" s="167">
        <v>0</v>
      </c>
      <c r="H575" s="167">
        <v>0</v>
      </c>
      <c r="I575" s="167">
        <v>0</v>
      </c>
      <c r="J575" s="167">
        <v>0</v>
      </c>
      <c r="K575" s="167">
        <v>0</v>
      </c>
      <c r="L575" s="167">
        <v>0</v>
      </c>
      <c r="M575" s="167">
        <v>0</v>
      </c>
      <c r="N575" s="167">
        <v>0</v>
      </c>
      <c r="O575" s="167">
        <v>0</v>
      </c>
      <c r="P575" s="167">
        <v>0</v>
      </c>
      <c r="Q575" s="167">
        <v>0</v>
      </c>
      <c r="R575" s="167">
        <v>0</v>
      </c>
      <c r="S575" s="168"/>
      <c r="T575" s="168"/>
      <c r="U575" s="168"/>
      <c r="V575" s="168"/>
      <c r="W575" s="168"/>
      <c r="X575" s="167">
        <v>0</v>
      </c>
    </row>
    <row r="576" spans="1:24" ht="14.4" x14ac:dyDescent="0.3">
      <c r="A576" s="163" t="s">
        <v>3</v>
      </c>
      <c r="B576" s="164">
        <v>2001</v>
      </c>
      <c r="C576" s="167">
        <v>0</v>
      </c>
      <c r="D576" s="167">
        <v>0</v>
      </c>
      <c r="E576" s="167">
        <v>0</v>
      </c>
      <c r="F576" s="167">
        <v>0</v>
      </c>
      <c r="G576" s="167">
        <v>0</v>
      </c>
      <c r="H576" s="167">
        <v>0</v>
      </c>
      <c r="I576" s="167">
        <v>0</v>
      </c>
      <c r="J576" s="167">
        <v>0</v>
      </c>
      <c r="K576" s="167">
        <v>0</v>
      </c>
      <c r="L576" s="167">
        <v>0</v>
      </c>
      <c r="M576" s="167">
        <v>0</v>
      </c>
      <c r="N576" s="167">
        <v>0</v>
      </c>
      <c r="O576" s="167">
        <v>0</v>
      </c>
      <c r="P576" s="167">
        <v>0</v>
      </c>
      <c r="Q576" s="167">
        <v>0</v>
      </c>
      <c r="R576" s="168"/>
      <c r="S576" s="168"/>
      <c r="T576" s="168"/>
      <c r="U576" s="168"/>
      <c r="V576" s="168"/>
      <c r="W576" s="168"/>
      <c r="X576" s="167">
        <v>0</v>
      </c>
    </row>
    <row r="577" spans="1:24" ht="14.4" x14ac:dyDescent="0.3">
      <c r="A577" s="163" t="s">
        <v>3</v>
      </c>
      <c r="B577" s="164">
        <v>2002</v>
      </c>
      <c r="C577" s="167">
        <v>0</v>
      </c>
      <c r="D577" s="167">
        <v>0</v>
      </c>
      <c r="E577" s="167">
        <v>0</v>
      </c>
      <c r="F577" s="167">
        <v>0</v>
      </c>
      <c r="G577" s="167">
        <v>0</v>
      </c>
      <c r="H577" s="167">
        <v>0</v>
      </c>
      <c r="I577" s="167">
        <v>0</v>
      </c>
      <c r="J577" s="167">
        <v>0</v>
      </c>
      <c r="K577" s="167">
        <v>0</v>
      </c>
      <c r="L577" s="167">
        <v>0</v>
      </c>
      <c r="M577" s="167">
        <v>0</v>
      </c>
      <c r="N577" s="167">
        <v>0</v>
      </c>
      <c r="O577" s="167">
        <v>0</v>
      </c>
      <c r="P577" s="167">
        <v>0</v>
      </c>
      <c r="Q577" s="168"/>
      <c r="R577" s="168"/>
      <c r="S577" s="168"/>
      <c r="T577" s="168"/>
      <c r="U577" s="168"/>
      <c r="V577" s="168"/>
      <c r="W577" s="168"/>
      <c r="X577" s="167">
        <v>0</v>
      </c>
    </row>
    <row r="578" spans="1:24" ht="14.4" x14ac:dyDescent="0.3">
      <c r="A578" s="163" t="s">
        <v>3</v>
      </c>
      <c r="B578" s="164">
        <v>2003</v>
      </c>
      <c r="C578" s="167">
        <v>0</v>
      </c>
      <c r="D578" s="167">
        <v>0</v>
      </c>
      <c r="E578" s="167">
        <v>0</v>
      </c>
      <c r="F578" s="167">
        <v>0</v>
      </c>
      <c r="G578" s="167">
        <v>0</v>
      </c>
      <c r="H578" s="167">
        <v>0</v>
      </c>
      <c r="I578" s="167">
        <v>0</v>
      </c>
      <c r="J578" s="167">
        <v>0</v>
      </c>
      <c r="K578" s="167">
        <v>0</v>
      </c>
      <c r="L578" s="167">
        <v>0</v>
      </c>
      <c r="M578" s="167">
        <v>0</v>
      </c>
      <c r="N578" s="167">
        <v>0</v>
      </c>
      <c r="O578" s="167">
        <v>0</v>
      </c>
      <c r="P578" s="168"/>
      <c r="Q578" s="168"/>
      <c r="R578" s="168"/>
      <c r="S578" s="168"/>
      <c r="T578" s="168"/>
      <c r="U578" s="168"/>
      <c r="V578" s="168"/>
      <c r="W578" s="168"/>
      <c r="X578" s="167">
        <v>0</v>
      </c>
    </row>
    <row r="579" spans="1:24" ht="14.4" x14ac:dyDescent="0.3">
      <c r="A579" s="163" t="s">
        <v>3</v>
      </c>
      <c r="B579" s="164">
        <v>2004</v>
      </c>
      <c r="C579" s="167">
        <v>0</v>
      </c>
      <c r="D579" s="167">
        <v>0</v>
      </c>
      <c r="E579" s="167">
        <v>0</v>
      </c>
      <c r="F579" s="167">
        <v>0</v>
      </c>
      <c r="G579" s="167">
        <v>0</v>
      </c>
      <c r="H579" s="167">
        <v>0</v>
      </c>
      <c r="I579" s="167">
        <v>0</v>
      </c>
      <c r="J579" s="167">
        <v>0</v>
      </c>
      <c r="K579" s="167">
        <v>0</v>
      </c>
      <c r="L579" s="167">
        <v>0</v>
      </c>
      <c r="M579" s="167">
        <v>0</v>
      </c>
      <c r="N579" s="167">
        <v>0</v>
      </c>
      <c r="O579" s="168"/>
      <c r="P579" s="168"/>
      <c r="Q579" s="168"/>
      <c r="R579" s="168"/>
      <c r="S579" s="168"/>
      <c r="T579" s="168"/>
      <c r="U579" s="168"/>
      <c r="V579" s="168"/>
      <c r="W579" s="168"/>
      <c r="X579" s="167">
        <v>0</v>
      </c>
    </row>
    <row r="580" spans="1:24" ht="14.4" x14ac:dyDescent="0.3">
      <c r="A580" s="163" t="s">
        <v>3</v>
      </c>
      <c r="B580" s="164">
        <v>2005</v>
      </c>
      <c r="C580" s="167">
        <v>0</v>
      </c>
      <c r="D580" s="167">
        <v>0</v>
      </c>
      <c r="E580" s="167">
        <v>0</v>
      </c>
      <c r="F580" s="167">
        <v>0</v>
      </c>
      <c r="G580" s="167">
        <v>0</v>
      </c>
      <c r="H580" s="167">
        <v>0</v>
      </c>
      <c r="I580" s="167">
        <v>0</v>
      </c>
      <c r="J580" s="167">
        <v>0</v>
      </c>
      <c r="K580" s="167">
        <v>0</v>
      </c>
      <c r="L580" s="167">
        <v>0</v>
      </c>
      <c r="M580" s="167">
        <v>0</v>
      </c>
      <c r="N580" s="168"/>
      <c r="O580" s="168"/>
      <c r="P580" s="168"/>
      <c r="Q580" s="168"/>
      <c r="R580" s="168"/>
      <c r="S580" s="168"/>
      <c r="T580" s="168"/>
      <c r="U580" s="168"/>
      <c r="V580" s="168"/>
      <c r="W580" s="168"/>
      <c r="X580" s="167">
        <v>0</v>
      </c>
    </row>
    <row r="581" spans="1:24" ht="14.4" x14ac:dyDescent="0.3">
      <c r="A581" s="163" t="s">
        <v>3</v>
      </c>
      <c r="B581" s="164">
        <v>2006</v>
      </c>
      <c r="C581" s="167">
        <v>0</v>
      </c>
      <c r="D581" s="167">
        <v>0</v>
      </c>
      <c r="E581" s="167">
        <v>0</v>
      </c>
      <c r="F581" s="167">
        <v>0</v>
      </c>
      <c r="G581" s="167">
        <v>0</v>
      </c>
      <c r="H581" s="167">
        <v>0</v>
      </c>
      <c r="I581" s="167">
        <v>0</v>
      </c>
      <c r="J581" s="167">
        <v>0</v>
      </c>
      <c r="K581" s="167">
        <v>0</v>
      </c>
      <c r="L581" s="167">
        <v>0</v>
      </c>
      <c r="M581" s="168"/>
      <c r="N581" s="168"/>
      <c r="O581" s="168"/>
      <c r="P581" s="168"/>
      <c r="Q581" s="168"/>
      <c r="R581" s="168"/>
      <c r="S581" s="168"/>
      <c r="T581" s="168"/>
      <c r="U581" s="168"/>
      <c r="V581" s="168"/>
      <c r="W581" s="168"/>
      <c r="X581" s="167">
        <v>0</v>
      </c>
    </row>
    <row r="582" spans="1:24" ht="14.4" x14ac:dyDescent="0.3">
      <c r="A582" s="163" t="s">
        <v>3</v>
      </c>
      <c r="B582" s="164">
        <v>2007</v>
      </c>
      <c r="C582" s="167">
        <v>0</v>
      </c>
      <c r="D582" s="167">
        <v>0</v>
      </c>
      <c r="E582" s="167">
        <v>0</v>
      </c>
      <c r="F582" s="167">
        <v>0</v>
      </c>
      <c r="G582" s="167">
        <v>0</v>
      </c>
      <c r="H582" s="167">
        <v>0</v>
      </c>
      <c r="I582" s="167">
        <v>0</v>
      </c>
      <c r="J582" s="167">
        <v>0</v>
      </c>
      <c r="K582" s="167">
        <v>0</v>
      </c>
      <c r="L582" s="168"/>
      <c r="M582" s="168"/>
      <c r="N582" s="168"/>
      <c r="O582" s="168"/>
      <c r="P582" s="168"/>
      <c r="Q582" s="168"/>
      <c r="R582" s="168"/>
      <c r="S582" s="168"/>
      <c r="T582" s="168"/>
      <c r="U582" s="168"/>
      <c r="V582" s="168"/>
      <c r="W582" s="168"/>
      <c r="X582" s="167">
        <v>0</v>
      </c>
    </row>
    <row r="583" spans="1:24" ht="14.4" x14ac:dyDescent="0.3">
      <c r="A583" s="163" t="s">
        <v>3</v>
      </c>
      <c r="B583" s="164">
        <v>2008</v>
      </c>
      <c r="C583" s="167">
        <v>0</v>
      </c>
      <c r="D583" s="167">
        <v>0</v>
      </c>
      <c r="E583" s="167">
        <v>0</v>
      </c>
      <c r="F583" s="167">
        <v>0</v>
      </c>
      <c r="G583" s="167">
        <v>0</v>
      </c>
      <c r="H583" s="167">
        <v>0</v>
      </c>
      <c r="I583" s="167">
        <v>0</v>
      </c>
      <c r="J583" s="167">
        <v>0</v>
      </c>
      <c r="K583" s="168"/>
      <c r="L583" s="168"/>
      <c r="M583" s="168"/>
      <c r="N583" s="168"/>
      <c r="O583" s="168"/>
      <c r="P583" s="168"/>
      <c r="Q583" s="168"/>
      <c r="R583" s="168"/>
      <c r="S583" s="168"/>
      <c r="T583" s="168"/>
      <c r="U583" s="168"/>
      <c r="V583" s="168"/>
      <c r="W583" s="168"/>
      <c r="X583" s="167">
        <v>0</v>
      </c>
    </row>
    <row r="584" spans="1:24" ht="14.4" x14ac:dyDescent="0.3">
      <c r="A584" s="163" t="s">
        <v>3</v>
      </c>
      <c r="B584" s="164">
        <v>2009</v>
      </c>
      <c r="C584" s="167">
        <v>0</v>
      </c>
      <c r="D584" s="167">
        <v>0</v>
      </c>
      <c r="E584" s="167">
        <v>0</v>
      </c>
      <c r="F584" s="167">
        <v>0</v>
      </c>
      <c r="G584" s="167">
        <v>0</v>
      </c>
      <c r="H584" s="167">
        <v>0</v>
      </c>
      <c r="I584" s="167">
        <v>0</v>
      </c>
      <c r="J584" s="168"/>
      <c r="K584" s="168"/>
      <c r="L584" s="168"/>
      <c r="M584" s="168"/>
      <c r="N584" s="168"/>
      <c r="O584" s="168"/>
      <c r="P584" s="168"/>
      <c r="Q584" s="168"/>
      <c r="R584" s="168"/>
      <c r="S584" s="168"/>
      <c r="T584" s="168"/>
      <c r="U584" s="168"/>
      <c r="V584" s="168"/>
      <c r="W584" s="168"/>
      <c r="X584" s="167">
        <v>0</v>
      </c>
    </row>
    <row r="585" spans="1:24" ht="14.4" x14ac:dyDescent="0.3">
      <c r="A585" s="163" t="s">
        <v>3</v>
      </c>
      <c r="B585" s="164">
        <v>2010</v>
      </c>
      <c r="C585" s="167">
        <v>0</v>
      </c>
      <c r="D585" s="167">
        <v>0</v>
      </c>
      <c r="E585" s="167">
        <v>0</v>
      </c>
      <c r="F585" s="167">
        <v>0</v>
      </c>
      <c r="G585" s="167">
        <v>0</v>
      </c>
      <c r="H585" s="167">
        <v>0</v>
      </c>
      <c r="I585" s="168"/>
      <c r="J585" s="168"/>
      <c r="K585" s="168"/>
      <c r="L585" s="168"/>
      <c r="M585" s="168"/>
      <c r="N585" s="168"/>
      <c r="O585" s="168"/>
      <c r="P585" s="168"/>
      <c r="Q585" s="168"/>
      <c r="R585" s="168"/>
      <c r="S585" s="168"/>
      <c r="T585" s="168"/>
      <c r="U585" s="168"/>
      <c r="V585" s="168"/>
      <c r="W585" s="168"/>
      <c r="X585" s="167">
        <v>0</v>
      </c>
    </row>
    <row r="586" spans="1:24" ht="14.4" x14ac:dyDescent="0.3">
      <c r="A586" s="163" t="s">
        <v>3</v>
      </c>
      <c r="B586" s="164">
        <v>2011</v>
      </c>
      <c r="C586" s="167">
        <v>1</v>
      </c>
      <c r="D586" s="167">
        <v>0</v>
      </c>
      <c r="E586" s="167">
        <v>0</v>
      </c>
      <c r="F586" s="167">
        <v>0</v>
      </c>
      <c r="G586" s="167">
        <v>0</v>
      </c>
      <c r="H586" s="168"/>
      <c r="I586" s="168"/>
      <c r="J586" s="168"/>
      <c r="K586" s="168"/>
      <c r="L586" s="168"/>
      <c r="M586" s="168"/>
      <c r="N586" s="168"/>
      <c r="O586" s="168"/>
      <c r="P586" s="168"/>
      <c r="Q586" s="168"/>
      <c r="R586" s="168"/>
      <c r="S586" s="168"/>
      <c r="T586" s="168"/>
      <c r="U586" s="168"/>
      <c r="V586" s="168"/>
      <c r="W586" s="168"/>
      <c r="X586" s="167">
        <v>0</v>
      </c>
    </row>
    <row r="587" spans="1:24" ht="14.4" x14ac:dyDescent="0.3">
      <c r="A587" s="163" t="s">
        <v>3</v>
      </c>
      <c r="B587" s="164">
        <v>2012</v>
      </c>
      <c r="C587" s="167">
        <v>0</v>
      </c>
      <c r="D587" s="167">
        <v>0</v>
      </c>
      <c r="E587" s="167">
        <v>0</v>
      </c>
      <c r="F587" s="167">
        <v>0</v>
      </c>
      <c r="G587" s="168"/>
      <c r="H587" s="168"/>
      <c r="I587" s="168"/>
      <c r="J587" s="168"/>
      <c r="K587" s="168"/>
      <c r="L587" s="168"/>
      <c r="M587" s="168"/>
      <c r="N587" s="168"/>
      <c r="O587" s="168"/>
      <c r="P587" s="168"/>
      <c r="Q587" s="168"/>
      <c r="R587" s="168"/>
      <c r="S587" s="168"/>
      <c r="T587" s="168"/>
      <c r="U587" s="168"/>
      <c r="V587" s="168"/>
      <c r="W587" s="168"/>
      <c r="X587" s="167">
        <v>0</v>
      </c>
    </row>
    <row r="588" spans="1:24" ht="14.4" x14ac:dyDescent="0.3">
      <c r="A588" s="163" t="s">
        <v>3</v>
      </c>
      <c r="B588" s="164">
        <v>2013</v>
      </c>
      <c r="C588" s="167">
        <v>0</v>
      </c>
      <c r="D588" s="167">
        <v>0</v>
      </c>
      <c r="E588" s="167">
        <v>0</v>
      </c>
      <c r="F588" s="168"/>
      <c r="G588" s="168"/>
      <c r="H588" s="168"/>
      <c r="I588" s="168"/>
      <c r="J588" s="168"/>
      <c r="K588" s="168"/>
      <c r="L588" s="168"/>
      <c r="M588" s="168"/>
      <c r="N588" s="168"/>
      <c r="O588" s="168"/>
      <c r="P588" s="168"/>
      <c r="Q588" s="168"/>
      <c r="R588" s="168"/>
      <c r="S588" s="168"/>
      <c r="T588" s="168"/>
      <c r="U588" s="168"/>
      <c r="V588" s="168"/>
      <c r="W588" s="168"/>
      <c r="X588" s="167">
        <v>0</v>
      </c>
    </row>
    <row r="589" spans="1:24" ht="14.4" x14ac:dyDescent="0.3">
      <c r="A589" s="163" t="s">
        <v>3</v>
      </c>
      <c r="B589" s="164">
        <v>2014</v>
      </c>
      <c r="C589" s="167">
        <v>3</v>
      </c>
      <c r="D589" s="167">
        <v>0</v>
      </c>
      <c r="E589" s="168"/>
      <c r="F589" s="168"/>
      <c r="G589" s="168"/>
      <c r="H589" s="168"/>
      <c r="I589" s="168"/>
      <c r="J589" s="168"/>
      <c r="K589" s="168"/>
      <c r="L589" s="168"/>
      <c r="M589" s="168"/>
      <c r="N589" s="168"/>
      <c r="O589" s="168"/>
      <c r="P589" s="168"/>
      <c r="Q589" s="168"/>
      <c r="R589" s="168"/>
      <c r="S589" s="168"/>
      <c r="T589" s="168"/>
      <c r="U589" s="168"/>
      <c r="V589" s="168"/>
      <c r="W589" s="168"/>
      <c r="X589" s="167">
        <v>0</v>
      </c>
    </row>
    <row r="590" spans="1:24" ht="14.4" x14ac:dyDescent="0.3">
      <c r="A590" s="163" t="s">
        <v>3</v>
      </c>
      <c r="B590" s="164">
        <v>2015</v>
      </c>
      <c r="C590" s="167">
        <v>0</v>
      </c>
      <c r="D590" s="168"/>
      <c r="E590" s="168"/>
      <c r="F590" s="168"/>
      <c r="G590" s="168"/>
      <c r="H590" s="168"/>
      <c r="I590" s="168"/>
      <c r="J590" s="168"/>
      <c r="K590" s="168"/>
      <c r="L590" s="168"/>
      <c r="M590" s="168"/>
      <c r="N590" s="168"/>
      <c r="O590" s="168"/>
      <c r="P590" s="168"/>
      <c r="Q590" s="168"/>
      <c r="R590" s="168"/>
      <c r="S590" s="168"/>
      <c r="T590" s="168"/>
      <c r="U590" s="168"/>
      <c r="V590" s="168"/>
      <c r="W590" s="168"/>
      <c r="X590" s="167">
        <v>0</v>
      </c>
    </row>
    <row r="591" spans="1:24" ht="14.4" x14ac:dyDescent="0.3">
      <c r="A591" s="163" t="s">
        <v>4</v>
      </c>
      <c r="B591" s="164">
        <v>1995</v>
      </c>
      <c r="C591" s="167">
        <v>163949544.66000003</v>
      </c>
      <c r="D591" s="167">
        <v>184517593.84999999</v>
      </c>
      <c r="E591" s="167">
        <v>212752990.90000001</v>
      </c>
      <c r="F591" s="167">
        <v>218702364.06999993</v>
      </c>
      <c r="G591" s="167">
        <v>239468132.26000002</v>
      </c>
      <c r="H591" s="167">
        <v>243605546.26000002</v>
      </c>
      <c r="I591" s="167">
        <v>244121025.24000001</v>
      </c>
      <c r="J591" s="167">
        <v>251112514.23000002</v>
      </c>
      <c r="K591" s="167">
        <v>332246854.89999998</v>
      </c>
      <c r="L591" s="167">
        <v>332306192.79999995</v>
      </c>
      <c r="M591" s="167">
        <v>332515062.68000001</v>
      </c>
      <c r="N591" s="167">
        <v>333084004.76999998</v>
      </c>
      <c r="O591" s="167">
        <v>332768031.69000006</v>
      </c>
      <c r="P591" s="167">
        <v>332385022.01999998</v>
      </c>
      <c r="Q591" s="167">
        <v>333925289.78999996</v>
      </c>
      <c r="R591" s="167">
        <v>333863438.73000002</v>
      </c>
      <c r="S591" s="167">
        <v>334030781.37000006</v>
      </c>
      <c r="T591" s="167">
        <v>334165679.07999998</v>
      </c>
      <c r="U591" s="167">
        <v>334062869.03999996</v>
      </c>
      <c r="V591" s="167">
        <v>334288293.80000001</v>
      </c>
      <c r="W591" s="167">
        <v>334609196.48000002</v>
      </c>
      <c r="X591" s="167">
        <v>334609196.48000002</v>
      </c>
    </row>
    <row r="592" spans="1:24" ht="14.4" x14ac:dyDescent="0.3">
      <c r="A592" s="163" t="s">
        <v>4</v>
      </c>
      <c r="B592" s="164">
        <v>1996</v>
      </c>
      <c r="C592" s="167">
        <v>167817846.99000001</v>
      </c>
      <c r="D592" s="167">
        <v>195629511.25</v>
      </c>
      <c r="E592" s="167">
        <v>263636995.90000004</v>
      </c>
      <c r="F592" s="167">
        <v>271471131.95999998</v>
      </c>
      <c r="G592" s="167">
        <v>288552568.13</v>
      </c>
      <c r="H592" s="167">
        <v>292325265.04999995</v>
      </c>
      <c r="I592" s="167">
        <v>294772683.78999996</v>
      </c>
      <c r="J592" s="167">
        <v>295210982.38999999</v>
      </c>
      <c r="K592" s="167">
        <v>295387026.10000002</v>
      </c>
      <c r="L592" s="167">
        <v>297269022.60000002</v>
      </c>
      <c r="M592" s="167">
        <v>297375667.41000003</v>
      </c>
      <c r="N592" s="167">
        <v>297528193.69</v>
      </c>
      <c r="O592" s="167">
        <v>298029933.88</v>
      </c>
      <c r="P592" s="167">
        <v>298423748.61000001</v>
      </c>
      <c r="Q592" s="167">
        <v>298508946.44000006</v>
      </c>
      <c r="R592" s="167">
        <v>298603884.74000001</v>
      </c>
      <c r="S592" s="167">
        <v>298661322.26999998</v>
      </c>
      <c r="T592" s="167">
        <v>298980878.35000002</v>
      </c>
      <c r="U592" s="167">
        <v>298947739.08000004</v>
      </c>
      <c r="V592" s="167">
        <v>299002757.11000001</v>
      </c>
      <c r="W592" s="168"/>
      <c r="X592" s="167">
        <v>299002757.11000001</v>
      </c>
    </row>
    <row r="593" spans="1:24" ht="14.4" x14ac:dyDescent="0.3">
      <c r="A593" s="163" t="s">
        <v>4</v>
      </c>
      <c r="B593" s="164">
        <v>1997</v>
      </c>
      <c r="C593" s="167">
        <v>139286884.85999998</v>
      </c>
      <c r="D593" s="167">
        <v>196116715.37</v>
      </c>
      <c r="E593" s="167">
        <v>269032626.90999997</v>
      </c>
      <c r="F593" s="167">
        <v>224091606.69</v>
      </c>
      <c r="G593" s="167">
        <v>232499323.26999998</v>
      </c>
      <c r="H593" s="167">
        <v>238686649.73999998</v>
      </c>
      <c r="I593" s="167">
        <v>250309312.15000001</v>
      </c>
      <c r="J593" s="167">
        <v>242876131.76000002</v>
      </c>
      <c r="K593" s="167">
        <v>242626244.28</v>
      </c>
      <c r="L593" s="167">
        <v>248703582.5</v>
      </c>
      <c r="M593" s="167">
        <v>250267135.57999998</v>
      </c>
      <c r="N593" s="167">
        <v>249835766.34</v>
      </c>
      <c r="O593" s="167">
        <v>249614731.38999999</v>
      </c>
      <c r="P593" s="167">
        <v>249540239.38</v>
      </c>
      <c r="Q593" s="167">
        <v>249016122.25</v>
      </c>
      <c r="R593" s="167">
        <v>249050830.28</v>
      </c>
      <c r="S593" s="167">
        <v>249072729.44999999</v>
      </c>
      <c r="T593" s="167">
        <v>249073121.25999999</v>
      </c>
      <c r="U593" s="167">
        <v>249250364.25999999</v>
      </c>
      <c r="V593" s="168"/>
      <c r="W593" s="168"/>
      <c r="X593" s="167">
        <v>249250364.25999999</v>
      </c>
    </row>
    <row r="594" spans="1:24" ht="14.4" x14ac:dyDescent="0.3">
      <c r="A594" s="163" t="s">
        <v>4</v>
      </c>
      <c r="B594" s="164">
        <v>1998</v>
      </c>
      <c r="C594" s="167">
        <v>83905280.379999995</v>
      </c>
      <c r="D594" s="167">
        <v>103126506.70999999</v>
      </c>
      <c r="E594" s="167">
        <v>110120014.99000001</v>
      </c>
      <c r="F594" s="167">
        <v>118216017.54000001</v>
      </c>
      <c r="G594" s="167">
        <v>126011463.64</v>
      </c>
      <c r="H594" s="167">
        <v>123586353.67000002</v>
      </c>
      <c r="I594" s="167">
        <v>127181986.88000003</v>
      </c>
      <c r="J594" s="167">
        <v>131701109.75</v>
      </c>
      <c r="K594" s="167">
        <v>140216837.20999998</v>
      </c>
      <c r="L594" s="167">
        <v>145280131.84999996</v>
      </c>
      <c r="M594" s="167">
        <v>146391892.51000002</v>
      </c>
      <c r="N594" s="167">
        <v>147258678</v>
      </c>
      <c r="O594" s="167">
        <v>145198237.49000001</v>
      </c>
      <c r="P594" s="167">
        <v>146869671.28</v>
      </c>
      <c r="Q594" s="167">
        <v>146724859.39999998</v>
      </c>
      <c r="R594" s="167">
        <v>146767233.59000003</v>
      </c>
      <c r="S594" s="167">
        <v>144236630.51000002</v>
      </c>
      <c r="T594" s="167">
        <v>144358851.04000002</v>
      </c>
      <c r="U594" s="168"/>
      <c r="V594" s="168"/>
      <c r="W594" s="168"/>
      <c r="X594" s="167">
        <v>144358851.04000002</v>
      </c>
    </row>
    <row r="595" spans="1:24" ht="14.4" x14ac:dyDescent="0.3">
      <c r="A595" s="163" t="s">
        <v>4</v>
      </c>
      <c r="B595" s="164">
        <v>1999</v>
      </c>
      <c r="C595" s="167">
        <v>53593012.880000003</v>
      </c>
      <c r="D595" s="167">
        <v>63068603.450000003</v>
      </c>
      <c r="E595" s="167">
        <v>73130987.180000007</v>
      </c>
      <c r="F595" s="167">
        <v>93243440.75</v>
      </c>
      <c r="G595" s="167">
        <v>93002702.099999994</v>
      </c>
      <c r="H595" s="167">
        <v>96208055.879999995</v>
      </c>
      <c r="I595" s="167">
        <v>98560521.330000028</v>
      </c>
      <c r="J595" s="167">
        <v>103019090.61999997</v>
      </c>
      <c r="K595" s="167">
        <v>104990029.33</v>
      </c>
      <c r="L595" s="167">
        <v>105362879.89</v>
      </c>
      <c r="M595" s="167">
        <v>104269608.66</v>
      </c>
      <c r="N595" s="167">
        <v>105493459.99000001</v>
      </c>
      <c r="O595" s="167">
        <v>104916031.52</v>
      </c>
      <c r="P595" s="167">
        <v>104593548.73999998</v>
      </c>
      <c r="Q595" s="167">
        <v>104822148.92999999</v>
      </c>
      <c r="R595" s="167">
        <v>104877318.19999999</v>
      </c>
      <c r="S595" s="167">
        <v>104899208.19</v>
      </c>
      <c r="T595" s="168"/>
      <c r="U595" s="168"/>
      <c r="V595" s="168"/>
      <c r="W595" s="168"/>
      <c r="X595" s="167">
        <v>104899208.19</v>
      </c>
    </row>
    <row r="596" spans="1:24" ht="14.4" x14ac:dyDescent="0.3">
      <c r="A596" s="163" t="s">
        <v>4</v>
      </c>
      <c r="B596" s="164">
        <v>2000</v>
      </c>
      <c r="C596" s="167">
        <v>29287141.470000006</v>
      </c>
      <c r="D596" s="167">
        <v>59535350.410000011</v>
      </c>
      <c r="E596" s="167">
        <v>110039946.78999999</v>
      </c>
      <c r="F596" s="167">
        <v>104803388.08000001</v>
      </c>
      <c r="G596" s="167">
        <v>100140596.82999997</v>
      </c>
      <c r="H596" s="167">
        <v>102357366.98</v>
      </c>
      <c r="I596" s="167">
        <v>108523763.25000003</v>
      </c>
      <c r="J596" s="167">
        <v>109606393.25999999</v>
      </c>
      <c r="K596" s="167">
        <v>109404513.43000001</v>
      </c>
      <c r="L596" s="167">
        <v>108492891.84999999</v>
      </c>
      <c r="M596" s="167">
        <v>108624309.58</v>
      </c>
      <c r="N596" s="167">
        <v>110047200.19999999</v>
      </c>
      <c r="O596" s="167">
        <v>109904074.06</v>
      </c>
      <c r="P596" s="167">
        <v>110608191.60000002</v>
      </c>
      <c r="Q596" s="167">
        <v>110602757.44000003</v>
      </c>
      <c r="R596" s="167">
        <v>110532477.56000002</v>
      </c>
      <c r="S596" s="168"/>
      <c r="T596" s="168"/>
      <c r="U596" s="168"/>
      <c r="V596" s="168"/>
      <c r="W596" s="168"/>
      <c r="X596" s="167">
        <v>110532477.56000002</v>
      </c>
    </row>
    <row r="597" spans="1:24" ht="14.4" x14ac:dyDescent="0.3">
      <c r="A597" s="163" t="s">
        <v>4</v>
      </c>
      <c r="B597" s="164">
        <v>2001</v>
      </c>
      <c r="C597" s="167">
        <v>26928187.249999993</v>
      </c>
      <c r="D597" s="167">
        <v>66038166.040000021</v>
      </c>
      <c r="E597" s="167">
        <v>82530797.189999998</v>
      </c>
      <c r="F597" s="167">
        <v>86961049.580000013</v>
      </c>
      <c r="G597" s="167">
        <v>88379958.419999987</v>
      </c>
      <c r="H597" s="167">
        <v>99553749.51000005</v>
      </c>
      <c r="I597" s="167">
        <v>99870199.299999952</v>
      </c>
      <c r="J597" s="167">
        <v>100317473.38999999</v>
      </c>
      <c r="K597" s="167">
        <v>98534404.73999995</v>
      </c>
      <c r="L597" s="167">
        <v>98479586.309999943</v>
      </c>
      <c r="M597" s="167">
        <v>98913771.600000024</v>
      </c>
      <c r="N597" s="167">
        <v>98159930.729999959</v>
      </c>
      <c r="O597" s="167">
        <v>98318445.069999933</v>
      </c>
      <c r="P597" s="167">
        <v>98320949.589999974</v>
      </c>
      <c r="Q597" s="167">
        <v>98195420.980000019</v>
      </c>
      <c r="R597" s="168"/>
      <c r="S597" s="168"/>
      <c r="T597" s="168"/>
      <c r="U597" s="168"/>
      <c r="V597" s="168"/>
      <c r="W597" s="168"/>
      <c r="X597" s="167">
        <v>98195420.980000019</v>
      </c>
    </row>
    <row r="598" spans="1:24" ht="14.4" x14ac:dyDescent="0.3">
      <c r="A598" s="163" t="s">
        <v>4</v>
      </c>
      <c r="B598" s="164">
        <v>2002</v>
      </c>
      <c r="C598" s="167">
        <v>25296004.330000013</v>
      </c>
      <c r="D598" s="167">
        <v>37620817.879999995</v>
      </c>
      <c r="E598" s="167">
        <v>42851587.229999989</v>
      </c>
      <c r="F598" s="167">
        <v>44992910.280000001</v>
      </c>
      <c r="G598" s="167">
        <v>46347212.540000007</v>
      </c>
      <c r="H598" s="167">
        <v>45063764.579999983</v>
      </c>
      <c r="I598" s="167">
        <v>46372884.209999993</v>
      </c>
      <c r="J598" s="167">
        <v>45028239.909999996</v>
      </c>
      <c r="K598" s="167">
        <v>46135047</v>
      </c>
      <c r="L598" s="167">
        <v>46589944.769999996</v>
      </c>
      <c r="M598" s="167">
        <v>45090707.340000004</v>
      </c>
      <c r="N598" s="167">
        <v>45098733.99000001</v>
      </c>
      <c r="O598" s="167">
        <v>45170224.049999982</v>
      </c>
      <c r="P598" s="167">
        <v>45152669.079999998</v>
      </c>
      <c r="Q598" s="168"/>
      <c r="R598" s="168"/>
      <c r="S598" s="168"/>
      <c r="T598" s="168"/>
      <c r="U598" s="168"/>
      <c r="V598" s="168"/>
      <c r="W598" s="168"/>
      <c r="X598" s="167">
        <v>45152669.079999998</v>
      </c>
    </row>
    <row r="599" spans="1:24" ht="14.4" x14ac:dyDescent="0.3">
      <c r="A599" s="163" t="s">
        <v>4</v>
      </c>
      <c r="B599" s="164">
        <v>2003</v>
      </c>
      <c r="C599" s="167">
        <v>8205816.349999994</v>
      </c>
      <c r="D599" s="167">
        <v>8926144.2599999905</v>
      </c>
      <c r="E599" s="167">
        <v>10136838.599999994</v>
      </c>
      <c r="F599" s="167">
        <v>10682441.850000001</v>
      </c>
      <c r="G599" s="167">
        <v>10108592.069999993</v>
      </c>
      <c r="H599" s="167">
        <v>11030924.130000003</v>
      </c>
      <c r="I599" s="167">
        <v>10792361.580000006</v>
      </c>
      <c r="J599" s="167">
        <v>10921605.309999995</v>
      </c>
      <c r="K599" s="167">
        <v>11107675.029999994</v>
      </c>
      <c r="L599" s="167">
        <v>10693018.150000006</v>
      </c>
      <c r="M599" s="167">
        <v>10684132.020000003</v>
      </c>
      <c r="N599" s="167">
        <v>10676658.329999998</v>
      </c>
      <c r="O599" s="167">
        <v>10676604.460000001</v>
      </c>
      <c r="P599" s="168"/>
      <c r="Q599" s="168"/>
      <c r="R599" s="168"/>
      <c r="S599" s="168"/>
      <c r="T599" s="168"/>
      <c r="U599" s="168"/>
      <c r="V599" s="168"/>
      <c r="W599" s="168"/>
      <c r="X599" s="167">
        <v>10676604.460000001</v>
      </c>
    </row>
    <row r="600" spans="1:24" ht="14.4" x14ac:dyDescent="0.3">
      <c r="A600" s="163" t="s">
        <v>4</v>
      </c>
      <c r="B600" s="164">
        <v>2004</v>
      </c>
      <c r="C600" s="167">
        <v>340101.42</v>
      </c>
      <c r="D600" s="167">
        <v>1648378.63</v>
      </c>
      <c r="E600" s="167">
        <v>1802750.33</v>
      </c>
      <c r="F600" s="167">
        <v>2002853.9</v>
      </c>
      <c r="G600" s="167">
        <v>3112077.34</v>
      </c>
      <c r="H600" s="167">
        <v>2405862.9800000004</v>
      </c>
      <c r="I600" s="167">
        <v>2955732.88</v>
      </c>
      <c r="J600" s="167">
        <v>3005428.4800000004</v>
      </c>
      <c r="K600" s="167">
        <v>2894488.48</v>
      </c>
      <c r="L600" s="167">
        <v>2894488.48</v>
      </c>
      <c r="M600" s="167">
        <v>2894488.48</v>
      </c>
      <c r="N600" s="167">
        <v>2894488.48</v>
      </c>
      <c r="O600" s="168"/>
      <c r="P600" s="168"/>
      <c r="Q600" s="168"/>
      <c r="R600" s="168"/>
      <c r="S600" s="168"/>
      <c r="T600" s="168"/>
      <c r="U600" s="168"/>
      <c r="V600" s="168"/>
      <c r="W600" s="168"/>
      <c r="X600" s="167">
        <v>2894488.48</v>
      </c>
    </row>
    <row r="601" spans="1:24" ht="14.4" x14ac:dyDescent="0.3">
      <c r="A601" s="163" t="s">
        <v>4</v>
      </c>
      <c r="B601" s="164">
        <v>2005</v>
      </c>
      <c r="C601" s="167">
        <v>366582.97000000003</v>
      </c>
      <c r="D601" s="167">
        <v>454288.73</v>
      </c>
      <c r="E601" s="167">
        <v>923632.1399999999</v>
      </c>
      <c r="F601" s="167">
        <v>1239751.23</v>
      </c>
      <c r="G601" s="167">
        <v>1410030.52</v>
      </c>
      <c r="H601" s="167">
        <v>1444248.63</v>
      </c>
      <c r="I601" s="167">
        <v>1444248.63</v>
      </c>
      <c r="J601" s="167">
        <v>1444248.63</v>
      </c>
      <c r="K601" s="167">
        <v>1444248.63</v>
      </c>
      <c r="L601" s="167">
        <v>1444248.63</v>
      </c>
      <c r="M601" s="167">
        <v>1444248.63</v>
      </c>
      <c r="N601" s="168"/>
      <c r="O601" s="168"/>
      <c r="P601" s="168"/>
      <c r="Q601" s="168"/>
      <c r="R601" s="168"/>
      <c r="S601" s="168"/>
      <c r="T601" s="168"/>
      <c r="U601" s="168"/>
      <c r="V601" s="168"/>
      <c r="W601" s="168"/>
      <c r="X601" s="167">
        <v>1444248.63</v>
      </c>
    </row>
    <row r="602" spans="1:24" ht="14.4" x14ac:dyDescent="0.3">
      <c r="A602" s="163" t="s">
        <v>4</v>
      </c>
      <c r="B602" s="164">
        <v>2006</v>
      </c>
      <c r="C602" s="167">
        <v>26431.73</v>
      </c>
      <c r="D602" s="167">
        <v>188569.35</v>
      </c>
      <c r="E602" s="167">
        <v>289698.08999999997</v>
      </c>
      <c r="F602" s="167">
        <v>408096.55</v>
      </c>
      <c r="G602" s="167">
        <v>436627.42</v>
      </c>
      <c r="H602" s="167">
        <v>436627.42</v>
      </c>
      <c r="I602" s="167">
        <v>436627.42</v>
      </c>
      <c r="J602" s="167">
        <v>436627.42</v>
      </c>
      <c r="K602" s="167">
        <v>436627.42</v>
      </c>
      <c r="L602" s="167">
        <v>436627.42</v>
      </c>
      <c r="M602" s="168"/>
      <c r="N602" s="168"/>
      <c r="O602" s="168"/>
      <c r="P602" s="168"/>
      <c r="Q602" s="168"/>
      <c r="R602" s="168"/>
      <c r="S602" s="168"/>
      <c r="T602" s="168"/>
      <c r="U602" s="168"/>
      <c r="V602" s="168"/>
      <c r="W602" s="168"/>
      <c r="X602" s="167">
        <v>436627.42</v>
      </c>
    </row>
    <row r="603" spans="1:24" ht="14.4" x14ac:dyDescent="0.3">
      <c r="A603" s="163" t="s">
        <v>4</v>
      </c>
      <c r="B603" s="164">
        <v>2007</v>
      </c>
      <c r="C603" s="167">
        <v>10855.779999999999</v>
      </c>
      <c r="D603" s="167">
        <v>48841.11</v>
      </c>
      <c r="E603" s="167">
        <v>48572.740000000005</v>
      </c>
      <c r="F603" s="167">
        <v>62502.239999999998</v>
      </c>
      <c r="G603" s="167">
        <v>62502.239999999998</v>
      </c>
      <c r="H603" s="167">
        <v>62502.239999999998</v>
      </c>
      <c r="I603" s="167">
        <v>62502.239999999998</v>
      </c>
      <c r="J603" s="167">
        <v>62502.239999999998</v>
      </c>
      <c r="K603" s="167">
        <v>62502.239999999998</v>
      </c>
      <c r="L603" s="168"/>
      <c r="M603" s="168"/>
      <c r="N603" s="168"/>
      <c r="O603" s="168"/>
      <c r="P603" s="168"/>
      <c r="Q603" s="168"/>
      <c r="R603" s="168"/>
      <c r="S603" s="168"/>
      <c r="T603" s="168"/>
      <c r="U603" s="168"/>
      <c r="V603" s="168"/>
      <c r="W603" s="168"/>
      <c r="X603" s="167">
        <v>62502.239999999998</v>
      </c>
    </row>
    <row r="604" spans="1:24" ht="14.4" x14ac:dyDescent="0.3">
      <c r="A604" s="163" t="s">
        <v>4</v>
      </c>
      <c r="B604" s="164">
        <v>2008</v>
      </c>
      <c r="C604" s="167">
        <v>35350.370000000003</v>
      </c>
      <c r="D604" s="167">
        <v>133893.82</v>
      </c>
      <c r="E604" s="167">
        <v>134027.18</v>
      </c>
      <c r="F604" s="167">
        <v>134027.18</v>
      </c>
      <c r="G604" s="167">
        <v>134027.18</v>
      </c>
      <c r="H604" s="167">
        <v>134027.18</v>
      </c>
      <c r="I604" s="167">
        <v>134027.18</v>
      </c>
      <c r="J604" s="167">
        <v>134027.18</v>
      </c>
      <c r="K604" s="168"/>
      <c r="L604" s="168"/>
      <c r="M604" s="168"/>
      <c r="N604" s="168"/>
      <c r="O604" s="168"/>
      <c r="P604" s="168"/>
      <c r="Q604" s="168"/>
      <c r="R604" s="168"/>
      <c r="S604" s="168"/>
      <c r="T604" s="168"/>
      <c r="U604" s="168"/>
      <c r="V604" s="168"/>
      <c r="W604" s="168"/>
      <c r="X604" s="167">
        <v>134027.18</v>
      </c>
    </row>
    <row r="605" spans="1:24" ht="14.4" x14ac:dyDescent="0.3">
      <c r="A605" s="163" t="s">
        <v>4</v>
      </c>
      <c r="B605" s="164">
        <v>2009</v>
      </c>
      <c r="C605" s="167">
        <v>274.3</v>
      </c>
      <c r="D605" s="167">
        <v>74.299999999999272</v>
      </c>
      <c r="E605" s="167">
        <v>74.299999999999272</v>
      </c>
      <c r="F605" s="167">
        <v>74.299999999999272</v>
      </c>
      <c r="G605" s="167">
        <v>74.299999999999272</v>
      </c>
      <c r="H605" s="167">
        <v>74.299999999999272</v>
      </c>
      <c r="I605" s="167">
        <v>74.299999999999272</v>
      </c>
      <c r="J605" s="168"/>
      <c r="K605" s="168"/>
      <c r="L605" s="168"/>
      <c r="M605" s="168"/>
      <c r="N605" s="168"/>
      <c r="O605" s="168"/>
      <c r="P605" s="168"/>
      <c r="Q605" s="168"/>
      <c r="R605" s="168"/>
      <c r="S605" s="168"/>
      <c r="T605" s="168"/>
      <c r="U605" s="168"/>
      <c r="V605" s="168"/>
      <c r="W605" s="168"/>
      <c r="X605" s="167">
        <v>74.299999999999272</v>
      </c>
    </row>
    <row r="606" spans="1:24" ht="14.4" x14ac:dyDescent="0.3">
      <c r="A606" s="163" t="s">
        <v>4</v>
      </c>
      <c r="B606" s="164">
        <v>2010</v>
      </c>
      <c r="C606" s="167">
        <v>0</v>
      </c>
      <c r="D606" s="167">
        <v>0</v>
      </c>
      <c r="E606" s="167">
        <v>0</v>
      </c>
      <c r="F606" s="167">
        <v>0</v>
      </c>
      <c r="G606" s="167">
        <v>0</v>
      </c>
      <c r="H606" s="167">
        <v>0</v>
      </c>
      <c r="I606" s="168"/>
      <c r="J606" s="168"/>
      <c r="K606" s="168"/>
      <c r="L606" s="168"/>
      <c r="M606" s="168"/>
      <c r="N606" s="168"/>
      <c r="O606" s="168"/>
      <c r="P606" s="168"/>
      <c r="Q606" s="168"/>
      <c r="R606" s="168"/>
      <c r="S606" s="168"/>
      <c r="T606" s="168"/>
      <c r="U606" s="168"/>
      <c r="V606" s="168"/>
      <c r="W606" s="168"/>
      <c r="X606" s="167">
        <v>0</v>
      </c>
    </row>
    <row r="607" spans="1:24" ht="14.4" x14ac:dyDescent="0.3">
      <c r="A607" s="163" t="s">
        <v>4</v>
      </c>
      <c r="B607" s="164">
        <v>2011</v>
      </c>
      <c r="C607" s="167">
        <v>-5527.54</v>
      </c>
      <c r="D607" s="167">
        <v>-5527.54</v>
      </c>
      <c r="E607" s="167">
        <v>-5527.54</v>
      </c>
      <c r="F607" s="167">
        <v>-5527.54</v>
      </c>
      <c r="G607" s="167">
        <v>-5527.54</v>
      </c>
      <c r="H607" s="168"/>
      <c r="I607" s="168"/>
      <c r="J607" s="168"/>
      <c r="K607" s="168"/>
      <c r="L607" s="168"/>
      <c r="M607" s="168"/>
      <c r="N607" s="168"/>
      <c r="O607" s="168"/>
      <c r="P607" s="168"/>
      <c r="Q607" s="168"/>
      <c r="R607" s="168"/>
      <c r="S607" s="168"/>
      <c r="T607" s="168"/>
      <c r="U607" s="168"/>
      <c r="V607" s="168"/>
      <c r="W607" s="168"/>
      <c r="X607" s="167">
        <v>-5527.54</v>
      </c>
    </row>
    <row r="608" spans="1:24" ht="14.4" x14ac:dyDescent="0.3">
      <c r="A608" s="163" t="s">
        <v>4</v>
      </c>
      <c r="B608" s="164">
        <v>2012</v>
      </c>
      <c r="C608" s="167">
        <v>6234.61</v>
      </c>
      <c r="D608" s="167">
        <v>6896.12</v>
      </c>
      <c r="E608" s="167">
        <v>6896.12</v>
      </c>
      <c r="F608" s="167">
        <v>6896.12</v>
      </c>
      <c r="G608" s="168"/>
      <c r="H608" s="168"/>
      <c r="I608" s="168"/>
      <c r="J608" s="168"/>
      <c r="K608" s="168"/>
      <c r="L608" s="168"/>
      <c r="M608" s="168"/>
      <c r="N608" s="168"/>
      <c r="O608" s="168"/>
      <c r="P608" s="168"/>
      <c r="Q608" s="168"/>
      <c r="R608" s="168"/>
      <c r="S608" s="168"/>
      <c r="T608" s="168"/>
      <c r="U608" s="168"/>
      <c r="V608" s="168"/>
      <c r="W608" s="168"/>
      <c r="X608" s="167">
        <v>6896.12</v>
      </c>
    </row>
    <row r="609" spans="1:24" ht="14.4" x14ac:dyDescent="0.3">
      <c r="A609" s="163" t="s">
        <v>4</v>
      </c>
      <c r="B609" s="164">
        <v>2013</v>
      </c>
      <c r="C609" s="167">
        <v>0</v>
      </c>
      <c r="D609" s="167">
        <v>0</v>
      </c>
      <c r="E609" s="167">
        <v>0</v>
      </c>
      <c r="F609" s="168"/>
      <c r="G609" s="168"/>
      <c r="H609" s="168"/>
      <c r="I609" s="168"/>
      <c r="J609" s="168"/>
      <c r="K609" s="168"/>
      <c r="L609" s="168"/>
      <c r="M609" s="168"/>
      <c r="N609" s="168"/>
      <c r="O609" s="168"/>
      <c r="P609" s="168"/>
      <c r="Q609" s="168"/>
      <c r="R609" s="168"/>
      <c r="S609" s="168"/>
      <c r="T609" s="168"/>
      <c r="U609" s="168"/>
      <c r="V609" s="168"/>
      <c r="W609" s="168"/>
      <c r="X609" s="167">
        <v>0</v>
      </c>
    </row>
    <row r="610" spans="1:24" ht="14.4" x14ac:dyDescent="0.3">
      <c r="A610" s="163" t="s">
        <v>4</v>
      </c>
      <c r="B610" s="164">
        <v>2014</v>
      </c>
      <c r="C610" s="167">
        <v>0</v>
      </c>
      <c r="D610" s="167">
        <v>0</v>
      </c>
      <c r="E610" s="168"/>
      <c r="F610" s="168"/>
      <c r="G610" s="168"/>
      <c r="H610" s="168"/>
      <c r="I610" s="168"/>
      <c r="J610" s="168"/>
      <c r="K610" s="168"/>
      <c r="L610" s="168"/>
      <c r="M610" s="168"/>
      <c r="N610" s="168"/>
      <c r="O610" s="168"/>
      <c r="P610" s="168"/>
      <c r="Q610" s="168"/>
      <c r="R610" s="168"/>
      <c r="S610" s="168"/>
      <c r="T610" s="168"/>
      <c r="U610" s="168"/>
      <c r="V610" s="168"/>
      <c r="W610" s="168"/>
      <c r="X610" s="167">
        <v>0</v>
      </c>
    </row>
    <row r="611" spans="1:24" ht="14.4" x14ac:dyDescent="0.3">
      <c r="A611" s="163" t="s">
        <v>4</v>
      </c>
      <c r="B611" s="164">
        <v>2015</v>
      </c>
      <c r="C611" s="167">
        <v>0</v>
      </c>
      <c r="D611" s="168"/>
      <c r="E611" s="168"/>
      <c r="F611" s="168"/>
      <c r="G611" s="168"/>
      <c r="H611" s="168"/>
      <c r="I611" s="168"/>
      <c r="J611" s="168"/>
      <c r="K611" s="168"/>
      <c r="L611" s="168"/>
      <c r="M611" s="168"/>
      <c r="N611" s="168"/>
      <c r="O611" s="168"/>
      <c r="P611" s="168"/>
      <c r="Q611" s="168"/>
      <c r="R611" s="168"/>
      <c r="S611" s="168"/>
      <c r="T611" s="168"/>
      <c r="U611" s="168"/>
      <c r="V611" s="168"/>
      <c r="W611" s="168"/>
      <c r="X611" s="167">
        <v>0</v>
      </c>
    </row>
    <row r="612" spans="1:24" ht="14.4" x14ac:dyDescent="0.3">
      <c r="A612" s="163" t="s">
        <v>5</v>
      </c>
      <c r="B612" s="164">
        <v>1995</v>
      </c>
      <c r="C612" s="167">
        <v>58219854.080000006</v>
      </c>
      <c r="D612" s="167">
        <v>116824307.89</v>
      </c>
      <c r="E612" s="167">
        <v>140613426.19999999</v>
      </c>
      <c r="F612" s="167">
        <v>124024536.91999999</v>
      </c>
      <c r="G612" s="167">
        <v>163610300.06</v>
      </c>
      <c r="H612" s="167">
        <v>165837219.83000001</v>
      </c>
      <c r="I612" s="167">
        <v>172052227.27000001</v>
      </c>
      <c r="J612" s="167">
        <v>195400701.5</v>
      </c>
      <c r="K612" s="167">
        <v>224159644</v>
      </c>
      <c r="L612" s="167">
        <v>224140375.23999998</v>
      </c>
      <c r="M612" s="167">
        <v>226263772.18000001</v>
      </c>
      <c r="N612" s="167">
        <v>226936549.93000001</v>
      </c>
      <c r="O612" s="167">
        <v>227850906.67999998</v>
      </c>
      <c r="P612" s="167">
        <v>213658837.67000002</v>
      </c>
      <c r="Q612" s="167">
        <v>213915030.75</v>
      </c>
      <c r="R612" s="167">
        <v>215380923.23999998</v>
      </c>
      <c r="S612" s="167">
        <v>215525575.18000001</v>
      </c>
      <c r="T612" s="167">
        <v>205728225.64000002</v>
      </c>
      <c r="U612" s="167">
        <v>205973600.79999998</v>
      </c>
      <c r="V612" s="167">
        <v>205766088.75999999</v>
      </c>
      <c r="W612" s="167">
        <v>205847030.84</v>
      </c>
      <c r="X612" s="167">
        <v>205847030.84</v>
      </c>
    </row>
    <row r="613" spans="1:24" ht="14.4" x14ac:dyDescent="0.3">
      <c r="A613" s="163" t="s">
        <v>5</v>
      </c>
      <c r="B613" s="164">
        <v>1996</v>
      </c>
      <c r="C613" s="167">
        <v>107355937.69</v>
      </c>
      <c r="D613" s="167">
        <v>182050103.49000001</v>
      </c>
      <c r="E613" s="167">
        <v>251087681.26999998</v>
      </c>
      <c r="F613" s="167">
        <v>251106167.96000004</v>
      </c>
      <c r="G613" s="167">
        <v>268226489.94</v>
      </c>
      <c r="H613" s="167">
        <v>288989550.27999997</v>
      </c>
      <c r="I613" s="167">
        <v>290240333.49000001</v>
      </c>
      <c r="J613" s="167">
        <v>321856962.15000004</v>
      </c>
      <c r="K613" s="167">
        <v>330060004.31</v>
      </c>
      <c r="L613" s="167">
        <v>337814239.75999999</v>
      </c>
      <c r="M613" s="167">
        <v>335447533.23000002</v>
      </c>
      <c r="N613" s="167">
        <v>337853443.66000003</v>
      </c>
      <c r="O613" s="167">
        <v>347296230.56</v>
      </c>
      <c r="P613" s="167">
        <v>346667119.48000002</v>
      </c>
      <c r="Q613" s="167">
        <v>348101689.61000001</v>
      </c>
      <c r="R613" s="167">
        <v>351395177.25</v>
      </c>
      <c r="S613" s="167">
        <v>353627837.10000002</v>
      </c>
      <c r="T613" s="167">
        <v>353705402.36000001</v>
      </c>
      <c r="U613" s="167">
        <v>354231740.00999999</v>
      </c>
      <c r="V613" s="167">
        <v>355252722.19</v>
      </c>
      <c r="W613" s="168"/>
      <c r="X613" s="167">
        <v>355252722.19</v>
      </c>
    </row>
    <row r="614" spans="1:24" ht="14.4" x14ac:dyDescent="0.3">
      <c r="A614" s="163" t="s">
        <v>5</v>
      </c>
      <c r="B614" s="164">
        <v>1997</v>
      </c>
      <c r="C614" s="167">
        <v>90311963.109999999</v>
      </c>
      <c r="D614" s="167">
        <v>253983912.03</v>
      </c>
      <c r="E614" s="167">
        <v>235445454.58000001</v>
      </c>
      <c r="F614" s="167">
        <v>306131179.95000005</v>
      </c>
      <c r="G614" s="167">
        <v>357996377.23000002</v>
      </c>
      <c r="H614" s="167">
        <v>409212374.59999996</v>
      </c>
      <c r="I614" s="167">
        <v>420943544.50999999</v>
      </c>
      <c r="J614" s="167">
        <v>442265699.54000002</v>
      </c>
      <c r="K614" s="167">
        <v>455538453.60000002</v>
      </c>
      <c r="L614" s="167">
        <v>460881559.13</v>
      </c>
      <c r="M614" s="167">
        <v>470249292.10000002</v>
      </c>
      <c r="N614" s="167">
        <v>481670321.54000002</v>
      </c>
      <c r="O614" s="167">
        <v>489279054.89000005</v>
      </c>
      <c r="P614" s="167">
        <v>489355787.98000002</v>
      </c>
      <c r="Q614" s="167">
        <v>486239668.81999999</v>
      </c>
      <c r="R614" s="167">
        <v>492497091.29000002</v>
      </c>
      <c r="S614" s="167">
        <v>492556135.39999998</v>
      </c>
      <c r="T614" s="167">
        <v>491814060.30000001</v>
      </c>
      <c r="U614" s="167">
        <v>491304900.06</v>
      </c>
      <c r="V614" s="168"/>
      <c r="W614" s="168"/>
      <c r="X614" s="167">
        <v>491304900.06</v>
      </c>
    </row>
    <row r="615" spans="1:24" ht="14.4" x14ac:dyDescent="0.3">
      <c r="A615" s="163" t="s">
        <v>5</v>
      </c>
      <c r="B615" s="164">
        <v>1998</v>
      </c>
      <c r="C615" s="167">
        <v>169772181.28</v>
      </c>
      <c r="D615" s="167">
        <v>303043366.95000005</v>
      </c>
      <c r="E615" s="167">
        <v>400643655.19999999</v>
      </c>
      <c r="F615" s="167">
        <v>480177681.24000001</v>
      </c>
      <c r="G615" s="167">
        <v>533430818.81999993</v>
      </c>
      <c r="H615" s="167">
        <v>558864922.24000001</v>
      </c>
      <c r="I615" s="167">
        <v>582698905.48000002</v>
      </c>
      <c r="J615" s="167">
        <v>607463209.33999991</v>
      </c>
      <c r="K615" s="167">
        <v>623023560.75</v>
      </c>
      <c r="L615" s="167">
        <v>636729461.07999992</v>
      </c>
      <c r="M615" s="167">
        <v>654420530.40999997</v>
      </c>
      <c r="N615" s="167">
        <v>666737074.12</v>
      </c>
      <c r="O615" s="167">
        <v>670508792.50999999</v>
      </c>
      <c r="P615" s="167">
        <v>688544901.67000008</v>
      </c>
      <c r="Q615" s="167">
        <v>694067735.38999999</v>
      </c>
      <c r="R615" s="167">
        <v>696023838.11000001</v>
      </c>
      <c r="S615" s="167">
        <v>696615565.94999993</v>
      </c>
      <c r="T615" s="167">
        <v>697149609.43999994</v>
      </c>
      <c r="U615" s="168"/>
      <c r="V615" s="168"/>
      <c r="W615" s="168"/>
      <c r="X615" s="167">
        <v>697149609.43999994</v>
      </c>
    </row>
    <row r="616" spans="1:24" ht="14.4" x14ac:dyDescent="0.3">
      <c r="A616" s="163" t="s">
        <v>5</v>
      </c>
      <c r="B616" s="164">
        <v>1999</v>
      </c>
      <c r="C616" s="167">
        <v>147530799.52000001</v>
      </c>
      <c r="D616" s="167">
        <v>476540964.92000002</v>
      </c>
      <c r="E616" s="167">
        <v>584423789.72000003</v>
      </c>
      <c r="F616" s="167">
        <v>738641346.95000005</v>
      </c>
      <c r="G616" s="167">
        <v>817782900.96000004</v>
      </c>
      <c r="H616" s="167">
        <v>867414555.98000002</v>
      </c>
      <c r="I616" s="167">
        <v>929266356.49000001</v>
      </c>
      <c r="J616" s="167">
        <v>950684152.33000004</v>
      </c>
      <c r="K616" s="167">
        <v>980333227.73000002</v>
      </c>
      <c r="L616" s="167">
        <v>992288382.36000001</v>
      </c>
      <c r="M616" s="167">
        <v>999208516.97000003</v>
      </c>
      <c r="N616" s="167">
        <v>1006124331.28</v>
      </c>
      <c r="O616" s="167">
        <v>1022524466.1800001</v>
      </c>
      <c r="P616" s="167">
        <v>1027171700.17</v>
      </c>
      <c r="Q616" s="167">
        <v>1030920824.5899999</v>
      </c>
      <c r="R616" s="167">
        <v>1035153073.0399998</v>
      </c>
      <c r="S616" s="167">
        <v>1035657668.8900001</v>
      </c>
      <c r="T616" s="168"/>
      <c r="U616" s="168"/>
      <c r="V616" s="168"/>
      <c r="W616" s="168"/>
      <c r="X616" s="167">
        <v>1035657668.8900001</v>
      </c>
    </row>
    <row r="617" spans="1:24" ht="14.4" x14ac:dyDescent="0.3">
      <c r="A617" s="163" t="s">
        <v>5</v>
      </c>
      <c r="B617" s="164">
        <v>2000</v>
      </c>
      <c r="C617" s="167">
        <v>81724238.120000005</v>
      </c>
      <c r="D617" s="167">
        <v>215195830.93000001</v>
      </c>
      <c r="E617" s="167">
        <v>345426778.41999996</v>
      </c>
      <c r="F617" s="167">
        <v>409292379.20999998</v>
      </c>
      <c r="G617" s="167">
        <v>491855544.76000005</v>
      </c>
      <c r="H617" s="167">
        <v>546548194.75999999</v>
      </c>
      <c r="I617" s="167">
        <v>557382657.63</v>
      </c>
      <c r="J617" s="167">
        <v>604639627.06000006</v>
      </c>
      <c r="K617" s="167">
        <v>611027055.84000003</v>
      </c>
      <c r="L617" s="167">
        <v>625673660.84000003</v>
      </c>
      <c r="M617" s="167">
        <v>631174860.66999996</v>
      </c>
      <c r="N617" s="167">
        <v>636598594.75999999</v>
      </c>
      <c r="O617" s="167">
        <v>637423146.84000003</v>
      </c>
      <c r="P617" s="167">
        <v>636544021.29000008</v>
      </c>
      <c r="Q617" s="167">
        <v>640353696.82000005</v>
      </c>
      <c r="R617" s="167">
        <v>641299229.86000001</v>
      </c>
      <c r="S617" s="168"/>
      <c r="T617" s="168"/>
      <c r="U617" s="168"/>
      <c r="V617" s="168"/>
      <c r="W617" s="168"/>
      <c r="X617" s="167">
        <v>641299229.86000001</v>
      </c>
    </row>
    <row r="618" spans="1:24" ht="14.4" x14ac:dyDescent="0.3">
      <c r="A618" s="163" t="s">
        <v>5</v>
      </c>
      <c r="B618" s="164">
        <v>2001</v>
      </c>
      <c r="C618" s="167">
        <v>280634490.28999996</v>
      </c>
      <c r="D618" s="167">
        <v>486272144.91000003</v>
      </c>
      <c r="E618" s="167">
        <v>570695426.20000005</v>
      </c>
      <c r="F618" s="167">
        <v>630097780</v>
      </c>
      <c r="G618" s="167">
        <v>673567200.32999992</v>
      </c>
      <c r="H618" s="167">
        <v>687887010.87000012</v>
      </c>
      <c r="I618" s="167">
        <v>725782504.71000004</v>
      </c>
      <c r="J618" s="167">
        <v>738124426.21000004</v>
      </c>
      <c r="K618" s="167">
        <v>742575618.62999988</v>
      </c>
      <c r="L618" s="167">
        <v>749543092.87000012</v>
      </c>
      <c r="M618" s="167">
        <v>753153558.51999998</v>
      </c>
      <c r="N618" s="167">
        <v>747715072.52999997</v>
      </c>
      <c r="O618" s="167">
        <v>753406135.31000006</v>
      </c>
      <c r="P618" s="167">
        <v>753533760.42000008</v>
      </c>
      <c r="Q618" s="167">
        <v>753728372.47000003</v>
      </c>
      <c r="R618" s="168"/>
      <c r="S618" s="168"/>
      <c r="T618" s="168"/>
      <c r="U618" s="168"/>
      <c r="V618" s="168"/>
      <c r="W618" s="168"/>
      <c r="X618" s="167">
        <v>753728372.47000003</v>
      </c>
    </row>
    <row r="619" spans="1:24" ht="14.4" x14ac:dyDescent="0.3">
      <c r="A619" s="163" t="s">
        <v>5</v>
      </c>
      <c r="B619" s="164">
        <v>2002</v>
      </c>
      <c r="C619" s="167">
        <v>68110730.260000005</v>
      </c>
      <c r="D619" s="167">
        <v>140063428.25</v>
      </c>
      <c r="E619" s="167">
        <v>225547146</v>
      </c>
      <c r="F619" s="167">
        <v>254618770.34999999</v>
      </c>
      <c r="G619" s="167">
        <v>271966053.66000003</v>
      </c>
      <c r="H619" s="167">
        <v>296703955.45000005</v>
      </c>
      <c r="I619" s="167">
        <v>313109251.66000003</v>
      </c>
      <c r="J619" s="167">
        <v>320650483.66999996</v>
      </c>
      <c r="K619" s="167">
        <v>322677650.58999997</v>
      </c>
      <c r="L619" s="167">
        <v>309354638</v>
      </c>
      <c r="M619" s="167">
        <v>308666815.38</v>
      </c>
      <c r="N619" s="167">
        <v>309116556.75</v>
      </c>
      <c r="O619" s="167">
        <v>308732080.20000005</v>
      </c>
      <c r="P619" s="167">
        <v>309049342.05000001</v>
      </c>
      <c r="Q619" s="168"/>
      <c r="R619" s="168"/>
      <c r="S619" s="168"/>
      <c r="T619" s="168"/>
      <c r="U619" s="168"/>
      <c r="V619" s="168"/>
      <c r="W619" s="168"/>
      <c r="X619" s="167">
        <v>309049342.05000001</v>
      </c>
    </row>
    <row r="620" spans="1:24" ht="14.4" x14ac:dyDescent="0.3">
      <c r="A620" s="163" t="s">
        <v>5</v>
      </c>
      <c r="B620" s="164">
        <v>2003</v>
      </c>
      <c r="C620" s="167">
        <v>45404975.219999999</v>
      </c>
      <c r="D620" s="167">
        <v>167942987.88999999</v>
      </c>
      <c r="E620" s="167">
        <v>200472311.31999999</v>
      </c>
      <c r="F620" s="167">
        <v>218207665.88</v>
      </c>
      <c r="G620" s="167">
        <v>228820981</v>
      </c>
      <c r="H620" s="167">
        <v>241804941.97</v>
      </c>
      <c r="I620" s="167">
        <v>247965587.84</v>
      </c>
      <c r="J620" s="167">
        <v>253117460.16999999</v>
      </c>
      <c r="K620" s="167">
        <v>256597343.43000001</v>
      </c>
      <c r="L620" s="167">
        <v>260402937.75</v>
      </c>
      <c r="M620" s="167">
        <v>261735066.16000003</v>
      </c>
      <c r="N620" s="167">
        <v>263047391.76999998</v>
      </c>
      <c r="O620" s="167">
        <v>263862196.87</v>
      </c>
      <c r="P620" s="168"/>
      <c r="Q620" s="168"/>
      <c r="R620" s="168"/>
      <c r="S620" s="168"/>
      <c r="T620" s="168"/>
      <c r="U620" s="168"/>
      <c r="V620" s="168"/>
      <c r="W620" s="168"/>
      <c r="X620" s="167">
        <v>263862196.87</v>
      </c>
    </row>
    <row r="621" spans="1:24" ht="14.4" x14ac:dyDescent="0.3">
      <c r="A621" s="163" t="s">
        <v>5</v>
      </c>
      <c r="B621" s="164">
        <v>2004</v>
      </c>
      <c r="C621" s="167">
        <v>8544614.8900000006</v>
      </c>
      <c r="D621" s="167">
        <v>21131489.84</v>
      </c>
      <c r="E621" s="167">
        <v>23231338.649999999</v>
      </c>
      <c r="F621" s="167">
        <v>24914397.59</v>
      </c>
      <c r="G621" s="167">
        <v>25617871.859999999</v>
      </c>
      <c r="H621" s="167">
        <v>26679003.560000002</v>
      </c>
      <c r="I621" s="167">
        <v>29928933.359999999</v>
      </c>
      <c r="J621" s="167">
        <v>30170095.280000001</v>
      </c>
      <c r="K621" s="167">
        <v>30024726.010000002</v>
      </c>
      <c r="L621" s="167">
        <v>30542431.390000001</v>
      </c>
      <c r="M621" s="167">
        <v>30224241.32</v>
      </c>
      <c r="N621" s="167">
        <v>29789871.25</v>
      </c>
      <c r="O621" s="168"/>
      <c r="P621" s="168"/>
      <c r="Q621" s="168"/>
      <c r="R621" s="168"/>
      <c r="S621" s="168"/>
      <c r="T621" s="168"/>
      <c r="U621" s="168"/>
      <c r="V621" s="168"/>
      <c r="W621" s="168"/>
      <c r="X621" s="167">
        <v>29789871.25</v>
      </c>
    </row>
    <row r="622" spans="1:24" ht="14.4" x14ac:dyDescent="0.3">
      <c r="A622" s="163" t="s">
        <v>5</v>
      </c>
      <c r="B622" s="164">
        <v>2005</v>
      </c>
      <c r="C622" s="167">
        <v>99610.25</v>
      </c>
      <c r="D622" s="167">
        <v>374623.66</v>
      </c>
      <c r="E622" s="167">
        <v>708727.84</v>
      </c>
      <c r="F622" s="167">
        <v>607209.36</v>
      </c>
      <c r="G622" s="167">
        <v>1308348.6099999999</v>
      </c>
      <c r="H622" s="167">
        <v>1155599.3400000001</v>
      </c>
      <c r="I622" s="167">
        <v>859305.94</v>
      </c>
      <c r="J622" s="167">
        <v>982411.55999999994</v>
      </c>
      <c r="K622" s="167">
        <v>959743.72</v>
      </c>
      <c r="L622" s="167">
        <v>761243.72</v>
      </c>
      <c r="M622" s="167">
        <v>761243.72</v>
      </c>
      <c r="N622" s="168"/>
      <c r="O622" s="168"/>
      <c r="P622" s="168"/>
      <c r="Q622" s="168"/>
      <c r="R622" s="168"/>
      <c r="S622" s="168"/>
      <c r="T622" s="168"/>
      <c r="U622" s="168"/>
      <c r="V622" s="168"/>
      <c r="W622" s="168"/>
      <c r="X622" s="167">
        <v>761243.72</v>
      </c>
    </row>
    <row r="623" spans="1:24" ht="14.4" x14ac:dyDescent="0.3">
      <c r="A623" s="163" t="s">
        <v>5</v>
      </c>
      <c r="B623" s="164">
        <v>2006</v>
      </c>
      <c r="C623" s="167">
        <v>0</v>
      </c>
      <c r="D623" s="167">
        <v>0</v>
      </c>
      <c r="E623" s="167">
        <v>0</v>
      </c>
      <c r="F623" s="167">
        <v>226726</v>
      </c>
      <c r="G623" s="167">
        <v>135882.54</v>
      </c>
      <c r="H623" s="167">
        <v>133020.67000000001</v>
      </c>
      <c r="I623" s="167">
        <v>150063.67000000001</v>
      </c>
      <c r="J623" s="167">
        <v>299520.67</v>
      </c>
      <c r="K623" s="167">
        <v>353109.67</v>
      </c>
      <c r="L623" s="167">
        <v>262733.7</v>
      </c>
      <c r="M623" s="168"/>
      <c r="N623" s="168"/>
      <c r="O623" s="168"/>
      <c r="P623" s="168"/>
      <c r="Q623" s="168"/>
      <c r="R623" s="168"/>
      <c r="S623" s="168"/>
      <c r="T623" s="168"/>
      <c r="U623" s="168"/>
      <c r="V623" s="168"/>
      <c r="W623" s="168"/>
      <c r="X623" s="167">
        <v>262733.7</v>
      </c>
    </row>
    <row r="624" spans="1:24" ht="14.4" x14ac:dyDescent="0.3">
      <c r="A624" s="163" t="s">
        <v>5</v>
      </c>
      <c r="B624" s="164">
        <v>2007</v>
      </c>
      <c r="C624" s="167">
        <v>0</v>
      </c>
      <c r="D624" s="167">
        <v>0</v>
      </c>
      <c r="E624" s="167">
        <v>0</v>
      </c>
      <c r="F624" s="167">
        <v>0</v>
      </c>
      <c r="G624" s="167">
        <v>0</v>
      </c>
      <c r="H624" s="167">
        <v>0</v>
      </c>
      <c r="I624" s="167">
        <v>0</v>
      </c>
      <c r="J624" s="167">
        <v>0</v>
      </c>
      <c r="K624" s="167">
        <v>0</v>
      </c>
      <c r="L624" s="168"/>
      <c r="M624" s="168"/>
      <c r="N624" s="168"/>
      <c r="O624" s="168"/>
      <c r="P624" s="168"/>
      <c r="Q624" s="168"/>
      <c r="R624" s="168"/>
      <c r="S624" s="168"/>
      <c r="T624" s="168"/>
      <c r="U624" s="168"/>
      <c r="V624" s="168"/>
      <c r="W624" s="168"/>
      <c r="X624" s="167">
        <v>0</v>
      </c>
    </row>
    <row r="625" spans="1:24" ht="14.4" x14ac:dyDescent="0.3">
      <c r="A625" s="163" t="s">
        <v>5</v>
      </c>
      <c r="B625" s="164">
        <v>2008</v>
      </c>
      <c r="C625" s="167">
        <v>0</v>
      </c>
      <c r="D625" s="167">
        <v>0</v>
      </c>
      <c r="E625" s="167">
        <v>0</v>
      </c>
      <c r="F625" s="167">
        <v>0</v>
      </c>
      <c r="G625" s="167">
        <v>0</v>
      </c>
      <c r="H625" s="167">
        <v>0</v>
      </c>
      <c r="I625" s="167">
        <v>0</v>
      </c>
      <c r="J625" s="167">
        <v>0</v>
      </c>
      <c r="K625" s="168"/>
      <c r="L625" s="168"/>
      <c r="M625" s="168"/>
      <c r="N625" s="168"/>
      <c r="O625" s="168"/>
      <c r="P625" s="168"/>
      <c r="Q625" s="168"/>
      <c r="R625" s="168"/>
      <c r="S625" s="168"/>
      <c r="T625" s="168"/>
      <c r="U625" s="168"/>
      <c r="V625" s="168"/>
      <c r="W625" s="168"/>
      <c r="X625" s="167">
        <v>0</v>
      </c>
    </row>
    <row r="626" spans="1:24" ht="14.4" x14ac:dyDescent="0.3">
      <c r="A626" s="163" t="s">
        <v>5</v>
      </c>
      <c r="B626" s="164">
        <v>2009</v>
      </c>
      <c r="C626" s="167">
        <v>0</v>
      </c>
      <c r="D626" s="167">
        <v>0</v>
      </c>
      <c r="E626" s="167">
        <v>0</v>
      </c>
      <c r="F626" s="167">
        <v>0</v>
      </c>
      <c r="G626" s="167">
        <v>0</v>
      </c>
      <c r="H626" s="167">
        <v>0</v>
      </c>
      <c r="I626" s="167">
        <v>0</v>
      </c>
      <c r="J626" s="168"/>
      <c r="K626" s="168"/>
      <c r="L626" s="168"/>
      <c r="M626" s="168"/>
      <c r="N626" s="168"/>
      <c r="O626" s="168"/>
      <c r="P626" s="168"/>
      <c r="Q626" s="168"/>
      <c r="R626" s="168"/>
      <c r="S626" s="168"/>
      <c r="T626" s="168"/>
      <c r="U626" s="168"/>
      <c r="V626" s="168"/>
      <c r="W626" s="168"/>
      <c r="X626" s="167">
        <v>0</v>
      </c>
    </row>
    <row r="627" spans="1:24" ht="14.4" x14ac:dyDescent="0.3">
      <c r="A627" s="163" t="s">
        <v>5</v>
      </c>
      <c r="B627" s="164">
        <v>2010</v>
      </c>
      <c r="C627" s="167">
        <v>0</v>
      </c>
      <c r="D627" s="167">
        <v>0</v>
      </c>
      <c r="E627" s="167">
        <v>0</v>
      </c>
      <c r="F627" s="167">
        <v>0</v>
      </c>
      <c r="G627" s="167">
        <v>0</v>
      </c>
      <c r="H627" s="167">
        <v>0</v>
      </c>
      <c r="I627" s="168"/>
      <c r="J627" s="168"/>
      <c r="K627" s="168"/>
      <c r="L627" s="168"/>
      <c r="M627" s="168"/>
      <c r="N627" s="168"/>
      <c r="O627" s="168"/>
      <c r="P627" s="168"/>
      <c r="Q627" s="168"/>
      <c r="R627" s="168"/>
      <c r="S627" s="168"/>
      <c r="T627" s="168"/>
      <c r="U627" s="168"/>
      <c r="V627" s="168"/>
      <c r="W627" s="168"/>
      <c r="X627" s="167">
        <v>0</v>
      </c>
    </row>
    <row r="628" spans="1:24" ht="14.4" x14ac:dyDescent="0.3">
      <c r="A628" s="163" t="s">
        <v>5</v>
      </c>
      <c r="B628" s="164">
        <v>2011</v>
      </c>
      <c r="C628" s="167">
        <v>0</v>
      </c>
      <c r="D628" s="167">
        <v>0</v>
      </c>
      <c r="E628" s="167">
        <v>0</v>
      </c>
      <c r="F628" s="167">
        <v>0</v>
      </c>
      <c r="G628" s="167">
        <v>0</v>
      </c>
      <c r="H628" s="168"/>
      <c r="I628" s="168"/>
      <c r="J628" s="168"/>
      <c r="K628" s="168"/>
      <c r="L628" s="168"/>
      <c r="M628" s="168"/>
      <c r="N628" s="168"/>
      <c r="O628" s="168"/>
      <c r="P628" s="168"/>
      <c r="Q628" s="168"/>
      <c r="R628" s="168"/>
      <c r="S628" s="168"/>
      <c r="T628" s="168"/>
      <c r="U628" s="168"/>
      <c r="V628" s="168"/>
      <c r="W628" s="168"/>
      <c r="X628" s="167">
        <v>0</v>
      </c>
    </row>
    <row r="629" spans="1:24" ht="14.4" x14ac:dyDescent="0.3">
      <c r="A629" s="163" t="s">
        <v>5</v>
      </c>
      <c r="B629" s="164">
        <v>2012</v>
      </c>
      <c r="C629" s="167">
        <v>3</v>
      </c>
      <c r="D629" s="167">
        <v>1</v>
      </c>
      <c r="E629" s="167">
        <v>0</v>
      </c>
      <c r="F629" s="167">
        <v>0</v>
      </c>
      <c r="G629" s="168"/>
      <c r="H629" s="168"/>
      <c r="I629" s="168"/>
      <c r="J629" s="168"/>
      <c r="K629" s="168"/>
      <c r="L629" s="168"/>
      <c r="M629" s="168"/>
      <c r="N629" s="168"/>
      <c r="O629" s="168"/>
      <c r="P629" s="168"/>
      <c r="Q629" s="168"/>
      <c r="R629" s="168"/>
      <c r="S629" s="168"/>
      <c r="T629" s="168"/>
      <c r="U629" s="168"/>
      <c r="V629" s="168"/>
      <c r="W629" s="168"/>
      <c r="X629" s="167">
        <v>0</v>
      </c>
    </row>
    <row r="630" spans="1:24" ht="14.4" x14ac:dyDescent="0.3">
      <c r="A630" s="163" t="s">
        <v>5</v>
      </c>
      <c r="B630" s="164">
        <v>2013</v>
      </c>
      <c r="C630" s="167">
        <v>0</v>
      </c>
      <c r="D630" s="167">
        <v>0</v>
      </c>
      <c r="E630" s="167">
        <v>0</v>
      </c>
      <c r="F630" s="168"/>
      <c r="G630" s="168"/>
      <c r="H630" s="168"/>
      <c r="I630" s="168"/>
      <c r="J630" s="168"/>
      <c r="K630" s="168"/>
      <c r="L630" s="168"/>
      <c r="M630" s="168"/>
      <c r="N630" s="168"/>
      <c r="O630" s="168"/>
      <c r="P630" s="168"/>
      <c r="Q630" s="168"/>
      <c r="R630" s="168"/>
      <c r="S630" s="168"/>
      <c r="T630" s="168"/>
      <c r="U630" s="168"/>
      <c r="V630" s="168"/>
      <c r="W630" s="168"/>
      <c r="X630" s="167">
        <v>0</v>
      </c>
    </row>
    <row r="631" spans="1:24" ht="14.4" x14ac:dyDescent="0.3">
      <c r="A631" s="163" t="s">
        <v>5</v>
      </c>
      <c r="B631" s="164">
        <v>2014</v>
      </c>
      <c r="C631" s="167">
        <v>0</v>
      </c>
      <c r="D631" s="167">
        <v>0</v>
      </c>
      <c r="E631" s="168"/>
      <c r="F631" s="168"/>
      <c r="G631" s="168"/>
      <c r="H631" s="168"/>
      <c r="I631" s="168"/>
      <c r="J631" s="168"/>
      <c r="K631" s="168"/>
      <c r="L631" s="168"/>
      <c r="M631" s="168"/>
      <c r="N631" s="168"/>
      <c r="O631" s="168"/>
      <c r="P631" s="168"/>
      <c r="Q631" s="168"/>
      <c r="R631" s="168"/>
      <c r="S631" s="168"/>
      <c r="T631" s="168"/>
      <c r="U631" s="168"/>
      <c r="V631" s="168"/>
      <c r="W631" s="168"/>
      <c r="X631" s="167">
        <v>0</v>
      </c>
    </row>
    <row r="632" spans="1:24" ht="14.4" x14ac:dyDescent="0.3">
      <c r="A632" s="163" t="s">
        <v>5</v>
      </c>
      <c r="B632" s="164">
        <v>2015</v>
      </c>
      <c r="C632" s="167">
        <v>0</v>
      </c>
      <c r="D632" s="168"/>
      <c r="E632" s="168"/>
      <c r="F632" s="168"/>
      <c r="G632" s="168"/>
      <c r="H632" s="168"/>
      <c r="I632" s="168"/>
      <c r="J632" s="168"/>
      <c r="K632" s="168"/>
      <c r="L632" s="168"/>
      <c r="M632" s="168"/>
      <c r="N632" s="168"/>
      <c r="O632" s="168"/>
      <c r="P632" s="168"/>
      <c r="Q632" s="168"/>
      <c r="R632" s="168"/>
      <c r="S632" s="168"/>
      <c r="T632" s="168"/>
      <c r="U632" s="168"/>
      <c r="V632" s="168"/>
      <c r="W632" s="168"/>
      <c r="X632" s="167">
        <v>0</v>
      </c>
    </row>
    <row r="633" spans="1:24" ht="14.4" x14ac:dyDescent="0.3">
      <c r="A633" s="163" t="s">
        <v>230</v>
      </c>
      <c r="B633" s="164">
        <v>1995</v>
      </c>
      <c r="C633" s="167">
        <v>35288248.079999998</v>
      </c>
      <c r="D633" s="167">
        <v>53599293.289999999</v>
      </c>
      <c r="E633" s="167">
        <v>54360121.799999997</v>
      </c>
      <c r="F633" s="167">
        <v>54319697.75</v>
      </c>
      <c r="G633" s="167">
        <v>54320919.939999998</v>
      </c>
      <c r="H633" s="167">
        <v>54325599.990000002</v>
      </c>
      <c r="I633" s="167">
        <v>54325669.770000003</v>
      </c>
      <c r="J633" s="167">
        <v>54325669.770000003</v>
      </c>
      <c r="K633" s="167">
        <v>54325774.030000001</v>
      </c>
      <c r="L633" s="167">
        <v>54325774.030000001</v>
      </c>
      <c r="M633" s="167">
        <v>54325774.030000001</v>
      </c>
      <c r="N633" s="167">
        <v>54325774.030000001</v>
      </c>
      <c r="O633" s="167">
        <v>54325774.030000001</v>
      </c>
      <c r="P633" s="167">
        <v>54325774.030000001</v>
      </c>
      <c r="Q633" s="167">
        <v>54325774.030000001</v>
      </c>
      <c r="R633" s="167">
        <v>54325774.030000001</v>
      </c>
      <c r="S633" s="167">
        <v>54325774.030000001</v>
      </c>
      <c r="T633" s="167">
        <v>54325774.030000001</v>
      </c>
      <c r="U633" s="167">
        <v>54325774.030000001</v>
      </c>
      <c r="V633" s="167">
        <v>54325774.030000001</v>
      </c>
      <c r="W633" s="167">
        <v>54325774.030000001</v>
      </c>
      <c r="X633" s="167">
        <v>54325774.030000001</v>
      </c>
    </row>
    <row r="634" spans="1:24" ht="14.4" x14ac:dyDescent="0.3">
      <c r="A634" s="163" t="s">
        <v>230</v>
      </c>
      <c r="B634" s="164">
        <v>1996</v>
      </c>
      <c r="C634" s="167">
        <v>37538412.519999996</v>
      </c>
      <c r="D634" s="167">
        <v>42817845.489999995</v>
      </c>
      <c r="E634" s="167">
        <v>42760516.039999999</v>
      </c>
      <c r="F634" s="167">
        <v>42806083.960000001</v>
      </c>
      <c r="G634" s="167">
        <v>42845452.450000003</v>
      </c>
      <c r="H634" s="167">
        <v>42859382.25</v>
      </c>
      <c r="I634" s="167">
        <v>42865003.740000002</v>
      </c>
      <c r="J634" s="167">
        <v>42863696.549999997</v>
      </c>
      <c r="K634" s="167">
        <v>42864594.210000001</v>
      </c>
      <c r="L634" s="167">
        <v>42866188.25</v>
      </c>
      <c r="M634" s="167">
        <v>42866740.07</v>
      </c>
      <c r="N634" s="167">
        <v>42866740.07</v>
      </c>
      <c r="O634" s="167">
        <v>42866740.07</v>
      </c>
      <c r="P634" s="167">
        <v>42866740.07</v>
      </c>
      <c r="Q634" s="167">
        <v>42866740.07</v>
      </c>
      <c r="R634" s="167">
        <v>42866740.07</v>
      </c>
      <c r="S634" s="167">
        <v>42866740.07</v>
      </c>
      <c r="T634" s="167">
        <v>42866740.07</v>
      </c>
      <c r="U634" s="167">
        <v>42866740.07</v>
      </c>
      <c r="V634" s="167">
        <v>42866740.07</v>
      </c>
      <c r="W634" s="168"/>
      <c r="X634" s="167">
        <v>42866740.07</v>
      </c>
    </row>
    <row r="635" spans="1:24" ht="14.4" x14ac:dyDescent="0.3">
      <c r="A635" s="163" t="s">
        <v>230</v>
      </c>
      <c r="B635" s="164">
        <v>1997</v>
      </c>
      <c r="C635" s="167">
        <v>60930223.93</v>
      </c>
      <c r="D635" s="167">
        <v>67118714.650000006</v>
      </c>
      <c r="E635" s="167">
        <v>67254501.5</v>
      </c>
      <c r="F635" s="167">
        <v>67279907.030000001</v>
      </c>
      <c r="G635" s="167">
        <v>67280449.170000002</v>
      </c>
      <c r="H635" s="167">
        <v>67288917.489999995</v>
      </c>
      <c r="I635" s="167">
        <v>67290478.530000001</v>
      </c>
      <c r="J635" s="167">
        <v>67291702.100000009</v>
      </c>
      <c r="K635" s="167">
        <v>67291702.100000009</v>
      </c>
      <c r="L635" s="167">
        <v>67292461.579999998</v>
      </c>
      <c r="M635" s="167">
        <v>67292461.579999998</v>
      </c>
      <c r="N635" s="167">
        <v>67292461.579999998</v>
      </c>
      <c r="O635" s="167">
        <v>67292461.579999998</v>
      </c>
      <c r="P635" s="167">
        <v>67292461.579999998</v>
      </c>
      <c r="Q635" s="167">
        <v>67292461.579999998</v>
      </c>
      <c r="R635" s="167">
        <v>67292461.579999998</v>
      </c>
      <c r="S635" s="167">
        <v>67292461.579999998</v>
      </c>
      <c r="T635" s="167">
        <v>67292461.579999998</v>
      </c>
      <c r="U635" s="167">
        <v>67292461.579999998</v>
      </c>
      <c r="V635" s="168"/>
      <c r="W635" s="168"/>
      <c r="X635" s="167">
        <v>67292461.579999998</v>
      </c>
    </row>
    <row r="636" spans="1:24" ht="14.4" x14ac:dyDescent="0.3">
      <c r="A636" s="163" t="s">
        <v>230</v>
      </c>
      <c r="B636" s="164">
        <v>1998</v>
      </c>
      <c r="C636" s="167">
        <v>77085289.010000005</v>
      </c>
      <c r="D636" s="167">
        <v>91334773.549999997</v>
      </c>
      <c r="E636" s="167">
        <v>91561786.370000005</v>
      </c>
      <c r="F636" s="167">
        <v>91550750.030000001</v>
      </c>
      <c r="G636" s="167">
        <v>91578170.189999998</v>
      </c>
      <c r="H636" s="167">
        <v>91582301.219999999</v>
      </c>
      <c r="I636" s="167">
        <v>91587886.280000001</v>
      </c>
      <c r="J636" s="167">
        <v>91588645.120000005</v>
      </c>
      <c r="K636" s="167">
        <v>91588645.120000005</v>
      </c>
      <c r="L636" s="167">
        <v>91588645.120000005</v>
      </c>
      <c r="M636" s="167">
        <v>91588645.120000005</v>
      </c>
      <c r="N636" s="167">
        <v>91588645.120000005</v>
      </c>
      <c r="O636" s="167">
        <v>91588645.120000005</v>
      </c>
      <c r="P636" s="167">
        <v>91588645.120000005</v>
      </c>
      <c r="Q636" s="167">
        <v>91588645.120000005</v>
      </c>
      <c r="R636" s="167">
        <v>91588645.120000005</v>
      </c>
      <c r="S636" s="167">
        <v>91588645.120000005</v>
      </c>
      <c r="T636" s="167">
        <v>91588645.120000005</v>
      </c>
      <c r="U636" s="168"/>
      <c r="V636" s="168"/>
      <c r="W636" s="168"/>
      <c r="X636" s="167">
        <v>91588645.120000005</v>
      </c>
    </row>
    <row r="637" spans="1:24" ht="14.4" x14ac:dyDescent="0.3">
      <c r="A637" s="163" t="s">
        <v>230</v>
      </c>
      <c r="B637" s="164">
        <v>1999</v>
      </c>
      <c r="C637" s="167">
        <v>108676996.19</v>
      </c>
      <c r="D637" s="167">
        <v>134732346.06</v>
      </c>
      <c r="E637" s="167">
        <v>134495881.49000001</v>
      </c>
      <c r="F637" s="167">
        <v>134590850.11000001</v>
      </c>
      <c r="G637" s="167">
        <v>134603867.44</v>
      </c>
      <c r="H637" s="167">
        <v>134603164.53</v>
      </c>
      <c r="I637" s="167">
        <v>134603539.52000001</v>
      </c>
      <c r="J637" s="167">
        <v>134604573.47999999</v>
      </c>
      <c r="K637" s="167">
        <v>134604573.47999999</v>
      </c>
      <c r="L637" s="167">
        <v>134604573.47999999</v>
      </c>
      <c r="M637" s="167">
        <v>134604573.47999999</v>
      </c>
      <c r="N637" s="167">
        <v>134604573.47999999</v>
      </c>
      <c r="O637" s="167">
        <v>134604573.47999999</v>
      </c>
      <c r="P637" s="167">
        <v>134604573.47999999</v>
      </c>
      <c r="Q637" s="167">
        <v>134604573.47999999</v>
      </c>
      <c r="R637" s="167">
        <v>134604573.47999999</v>
      </c>
      <c r="S637" s="167">
        <v>134604573.47999999</v>
      </c>
      <c r="T637" s="168"/>
      <c r="U637" s="168"/>
      <c r="V637" s="168"/>
      <c r="W637" s="168"/>
      <c r="X637" s="167">
        <v>134604573.47999999</v>
      </c>
    </row>
    <row r="638" spans="1:24" ht="14.4" x14ac:dyDescent="0.3">
      <c r="A638" s="163" t="s">
        <v>230</v>
      </c>
      <c r="B638" s="164">
        <v>2000</v>
      </c>
      <c r="C638" s="167">
        <v>109960919.14</v>
      </c>
      <c r="D638" s="167">
        <v>138530961.75999999</v>
      </c>
      <c r="E638" s="167">
        <v>138685956.18000001</v>
      </c>
      <c r="F638" s="167">
        <v>138747352.07999998</v>
      </c>
      <c r="G638" s="167">
        <v>138770762.12</v>
      </c>
      <c r="H638" s="167">
        <v>138771609</v>
      </c>
      <c r="I638" s="167">
        <v>138773994</v>
      </c>
      <c r="J638" s="167">
        <v>138773994</v>
      </c>
      <c r="K638" s="167">
        <v>138773994</v>
      </c>
      <c r="L638" s="167">
        <v>138773994</v>
      </c>
      <c r="M638" s="167">
        <v>138773994</v>
      </c>
      <c r="N638" s="167">
        <v>138773994</v>
      </c>
      <c r="O638" s="167">
        <v>138773994</v>
      </c>
      <c r="P638" s="167">
        <v>138773994</v>
      </c>
      <c r="Q638" s="167">
        <v>138773994</v>
      </c>
      <c r="R638" s="167">
        <v>138773994</v>
      </c>
      <c r="S638" s="168"/>
      <c r="T638" s="168"/>
      <c r="U638" s="168"/>
      <c r="V638" s="168"/>
      <c r="W638" s="168"/>
      <c r="X638" s="167">
        <v>138773994</v>
      </c>
    </row>
    <row r="639" spans="1:24" ht="14.4" x14ac:dyDescent="0.3">
      <c r="A639" s="163" t="s">
        <v>230</v>
      </c>
      <c r="B639" s="164">
        <v>2001</v>
      </c>
      <c r="C639" s="167">
        <v>120804830.06</v>
      </c>
      <c r="D639" s="167">
        <v>148112623.98000002</v>
      </c>
      <c r="E639" s="167">
        <v>148355646.59</v>
      </c>
      <c r="F639" s="167">
        <v>148408141.55000001</v>
      </c>
      <c r="G639" s="167">
        <v>148409956</v>
      </c>
      <c r="H639" s="167">
        <v>148411786.97</v>
      </c>
      <c r="I639" s="167">
        <v>148412528.50999999</v>
      </c>
      <c r="J639" s="167">
        <v>148412528.50999999</v>
      </c>
      <c r="K639" s="167">
        <v>148412528.50999999</v>
      </c>
      <c r="L639" s="167">
        <v>148412528.50999999</v>
      </c>
      <c r="M639" s="167">
        <v>148412528.50999999</v>
      </c>
      <c r="N639" s="167">
        <v>148412528.50999999</v>
      </c>
      <c r="O639" s="167">
        <v>148412528.50999999</v>
      </c>
      <c r="P639" s="167">
        <v>148412528.50999999</v>
      </c>
      <c r="Q639" s="167">
        <v>148412528.50999999</v>
      </c>
      <c r="R639" s="168"/>
      <c r="S639" s="168"/>
      <c r="T639" s="168"/>
      <c r="U639" s="168"/>
      <c r="V639" s="168"/>
      <c r="W639" s="168"/>
      <c r="X639" s="167">
        <v>148412528.50999999</v>
      </c>
    </row>
    <row r="640" spans="1:24" ht="14.4" x14ac:dyDescent="0.3">
      <c r="A640" s="163" t="s">
        <v>230</v>
      </c>
      <c r="B640" s="164">
        <v>2002</v>
      </c>
      <c r="C640" s="167">
        <v>118032023.36</v>
      </c>
      <c r="D640" s="167">
        <v>144597683.84</v>
      </c>
      <c r="E640" s="167">
        <v>144777979.22</v>
      </c>
      <c r="F640" s="167">
        <v>144793195.39999998</v>
      </c>
      <c r="G640" s="167">
        <v>144805617.81999999</v>
      </c>
      <c r="H640" s="167">
        <v>144806793.66</v>
      </c>
      <c r="I640" s="167">
        <v>144816793.66</v>
      </c>
      <c r="J640" s="167">
        <v>144816793.66</v>
      </c>
      <c r="K640" s="167">
        <v>144816793.66</v>
      </c>
      <c r="L640" s="167">
        <v>144816793.66</v>
      </c>
      <c r="M640" s="167">
        <v>144816793.66</v>
      </c>
      <c r="N640" s="167">
        <v>144816793.66</v>
      </c>
      <c r="O640" s="167">
        <v>144816793.66</v>
      </c>
      <c r="P640" s="167">
        <v>144816793.66</v>
      </c>
      <c r="Q640" s="168"/>
      <c r="R640" s="168"/>
      <c r="S640" s="168"/>
      <c r="T640" s="168"/>
      <c r="U640" s="168"/>
      <c r="V640" s="168"/>
      <c r="W640" s="168"/>
      <c r="X640" s="167">
        <v>144816793.66</v>
      </c>
    </row>
    <row r="641" spans="1:24" ht="14.4" x14ac:dyDescent="0.3">
      <c r="A641" s="163" t="s">
        <v>230</v>
      </c>
      <c r="B641" s="164">
        <v>2003</v>
      </c>
      <c r="C641" s="167">
        <v>109719329.27000001</v>
      </c>
      <c r="D641" s="167">
        <v>133079004.88000001</v>
      </c>
      <c r="E641" s="167">
        <v>133226454.07000001</v>
      </c>
      <c r="F641" s="167">
        <v>133274361.47000001</v>
      </c>
      <c r="G641" s="167">
        <v>133284567.04999998</v>
      </c>
      <c r="H641" s="167">
        <v>133286683</v>
      </c>
      <c r="I641" s="167">
        <v>133286859.68000001</v>
      </c>
      <c r="J641" s="167">
        <v>133286859.68000001</v>
      </c>
      <c r="K641" s="167">
        <v>133286859.68000001</v>
      </c>
      <c r="L641" s="167">
        <v>133286859.68000001</v>
      </c>
      <c r="M641" s="167">
        <v>133286859.68000001</v>
      </c>
      <c r="N641" s="167">
        <v>133286859.68000001</v>
      </c>
      <c r="O641" s="167">
        <v>133286859.68000001</v>
      </c>
      <c r="P641" s="168"/>
      <c r="Q641" s="168"/>
      <c r="R641" s="168"/>
      <c r="S641" s="168"/>
      <c r="T641" s="168"/>
      <c r="U641" s="168"/>
      <c r="V641" s="168"/>
      <c r="W641" s="168"/>
      <c r="X641" s="167">
        <v>133286859.68000001</v>
      </c>
    </row>
    <row r="642" spans="1:24" ht="14.4" x14ac:dyDescent="0.3">
      <c r="A642" s="163" t="s">
        <v>230</v>
      </c>
      <c r="B642" s="164">
        <v>2004</v>
      </c>
      <c r="C642" s="167">
        <v>97567845.060000002</v>
      </c>
      <c r="D642" s="167">
        <v>116859678.59</v>
      </c>
      <c r="E642" s="167">
        <v>119069318.45</v>
      </c>
      <c r="F642" s="167">
        <v>119240061.16999999</v>
      </c>
      <c r="G642" s="167">
        <v>119255510.82000001</v>
      </c>
      <c r="H642" s="167">
        <v>119284826.00999999</v>
      </c>
      <c r="I642" s="167">
        <v>119284826.00999999</v>
      </c>
      <c r="J642" s="167">
        <v>119284826.00999999</v>
      </c>
      <c r="K642" s="167">
        <v>119284826.00999999</v>
      </c>
      <c r="L642" s="167">
        <v>119284826.00999999</v>
      </c>
      <c r="M642" s="167">
        <v>119284826.00999999</v>
      </c>
      <c r="N642" s="167">
        <v>119284826.00999999</v>
      </c>
      <c r="O642" s="168"/>
      <c r="P642" s="168"/>
      <c r="Q642" s="168"/>
      <c r="R642" s="168"/>
      <c r="S642" s="168"/>
      <c r="T642" s="168"/>
      <c r="U642" s="168"/>
      <c r="V642" s="168"/>
      <c r="W642" s="168"/>
      <c r="X642" s="167">
        <v>119284826.00999999</v>
      </c>
    </row>
    <row r="643" spans="1:24" ht="14.4" x14ac:dyDescent="0.3">
      <c r="A643" s="163" t="s">
        <v>230</v>
      </c>
      <c r="B643" s="164">
        <v>2005</v>
      </c>
      <c r="C643" s="167">
        <v>78746831</v>
      </c>
      <c r="D643" s="167">
        <v>91675297.469999999</v>
      </c>
      <c r="E643" s="167">
        <v>93146618.590000004</v>
      </c>
      <c r="F643" s="167">
        <v>93168652.059999987</v>
      </c>
      <c r="G643" s="167">
        <v>93174318.659999996</v>
      </c>
      <c r="H643" s="167">
        <v>93174318.659999996</v>
      </c>
      <c r="I643" s="167">
        <v>93174318.659999996</v>
      </c>
      <c r="J643" s="167">
        <v>93174318.659999996</v>
      </c>
      <c r="K643" s="167">
        <v>93174318.659999996</v>
      </c>
      <c r="L643" s="167">
        <v>93174318.659999996</v>
      </c>
      <c r="M643" s="167">
        <v>93174318.659999996</v>
      </c>
      <c r="N643" s="168"/>
      <c r="O643" s="168"/>
      <c r="P643" s="168"/>
      <c r="Q643" s="168"/>
      <c r="R643" s="168"/>
      <c r="S643" s="168"/>
      <c r="T643" s="168"/>
      <c r="U643" s="168"/>
      <c r="V643" s="168"/>
      <c r="W643" s="168"/>
      <c r="X643" s="167">
        <v>93174318.659999996</v>
      </c>
    </row>
    <row r="644" spans="1:24" ht="14.4" x14ac:dyDescent="0.3">
      <c r="A644" s="163" t="s">
        <v>230</v>
      </c>
      <c r="B644" s="164">
        <v>2006</v>
      </c>
      <c r="C644" s="167">
        <v>51970198.260000005</v>
      </c>
      <c r="D644" s="167">
        <v>62891662.380000003</v>
      </c>
      <c r="E644" s="167">
        <v>62980267.010000005</v>
      </c>
      <c r="F644" s="167">
        <v>62990616.189999998</v>
      </c>
      <c r="G644" s="167">
        <v>62996602.920000002</v>
      </c>
      <c r="H644" s="167">
        <v>62998979.269999996</v>
      </c>
      <c r="I644" s="167">
        <v>62998979.269999996</v>
      </c>
      <c r="J644" s="167">
        <v>62998979.269999996</v>
      </c>
      <c r="K644" s="167">
        <v>62998979.269999996</v>
      </c>
      <c r="L644" s="167">
        <v>62998979.269999996</v>
      </c>
      <c r="M644" s="168"/>
      <c r="N644" s="168"/>
      <c r="O644" s="168"/>
      <c r="P644" s="168"/>
      <c r="Q644" s="168"/>
      <c r="R644" s="168"/>
      <c r="S644" s="168"/>
      <c r="T644" s="168"/>
      <c r="U644" s="168"/>
      <c r="V644" s="168"/>
      <c r="W644" s="168"/>
      <c r="X644" s="167">
        <v>62998979.269999996</v>
      </c>
    </row>
    <row r="645" spans="1:24" ht="14.4" x14ac:dyDescent="0.3">
      <c r="A645" s="163" t="s">
        <v>230</v>
      </c>
      <c r="B645" s="164">
        <v>2007</v>
      </c>
      <c r="C645" s="167">
        <v>41620099.190000005</v>
      </c>
      <c r="D645" s="167">
        <v>48657148.710000001</v>
      </c>
      <c r="E645" s="167">
        <v>48773168.350000001</v>
      </c>
      <c r="F645" s="167">
        <v>48824089.509999998</v>
      </c>
      <c r="G645" s="167">
        <v>48836398.32</v>
      </c>
      <c r="H645" s="167">
        <v>48834465.630000003</v>
      </c>
      <c r="I645" s="167">
        <v>48837541.530000001</v>
      </c>
      <c r="J645" s="167">
        <v>48839181.219999999</v>
      </c>
      <c r="K645" s="167">
        <v>48842124.240000002</v>
      </c>
      <c r="L645" s="168"/>
      <c r="M645" s="168"/>
      <c r="N645" s="168"/>
      <c r="O645" s="168"/>
      <c r="P645" s="168"/>
      <c r="Q645" s="168"/>
      <c r="R645" s="168"/>
      <c r="S645" s="168"/>
      <c r="T645" s="168"/>
      <c r="U645" s="168"/>
      <c r="V645" s="168"/>
      <c r="W645" s="168"/>
      <c r="X645" s="167">
        <v>48842124.240000002</v>
      </c>
    </row>
    <row r="646" spans="1:24" ht="14.4" x14ac:dyDescent="0.3">
      <c r="A646" s="163" t="s">
        <v>230</v>
      </c>
      <c r="B646" s="164">
        <v>2008</v>
      </c>
      <c r="C646" s="167">
        <v>29021856.870000001</v>
      </c>
      <c r="D646" s="167">
        <v>35232936.859999999</v>
      </c>
      <c r="E646" s="167">
        <v>35335956.170000002</v>
      </c>
      <c r="F646" s="167">
        <v>35403610.859999999</v>
      </c>
      <c r="G646" s="167">
        <v>35408746.890000001</v>
      </c>
      <c r="H646" s="167">
        <v>35408746.890000001</v>
      </c>
      <c r="I646" s="167">
        <v>35415807.75</v>
      </c>
      <c r="J646" s="167">
        <v>35418627.969999999</v>
      </c>
      <c r="K646" s="168"/>
      <c r="L646" s="168"/>
      <c r="M646" s="168"/>
      <c r="N646" s="168"/>
      <c r="O646" s="168"/>
      <c r="P646" s="168"/>
      <c r="Q646" s="168"/>
      <c r="R646" s="168"/>
      <c r="S646" s="168"/>
      <c r="T646" s="168"/>
      <c r="U646" s="168"/>
      <c r="V646" s="168"/>
      <c r="W646" s="168"/>
      <c r="X646" s="167">
        <v>35418627.969999999</v>
      </c>
    </row>
    <row r="647" spans="1:24" ht="14.4" x14ac:dyDescent="0.3">
      <c r="A647" s="163" t="s">
        <v>230</v>
      </c>
      <c r="B647" s="164">
        <v>2009</v>
      </c>
      <c r="C647" s="167">
        <v>23337870.620000001</v>
      </c>
      <c r="D647" s="167">
        <v>27424359.43</v>
      </c>
      <c r="E647" s="167">
        <v>27525296.710000001</v>
      </c>
      <c r="F647" s="167">
        <v>27530350.23</v>
      </c>
      <c r="G647" s="167">
        <v>27533207.129999999</v>
      </c>
      <c r="H647" s="167">
        <v>27533207.129999999</v>
      </c>
      <c r="I647" s="167">
        <v>27533712.050000001</v>
      </c>
      <c r="J647" s="168"/>
      <c r="K647" s="168"/>
      <c r="L647" s="168"/>
      <c r="M647" s="168"/>
      <c r="N647" s="168"/>
      <c r="O647" s="168"/>
      <c r="P647" s="168"/>
      <c r="Q647" s="168"/>
      <c r="R647" s="168"/>
      <c r="S647" s="168"/>
      <c r="T647" s="168"/>
      <c r="U647" s="168"/>
      <c r="V647" s="168"/>
      <c r="W647" s="168"/>
      <c r="X647" s="167">
        <v>27533712.050000001</v>
      </c>
    </row>
    <row r="648" spans="1:24" ht="14.4" x14ac:dyDescent="0.3">
      <c r="A648" s="163" t="s">
        <v>230</v>
      </c>
      <c r="B648" s="164">
        <v>2010</v>
      </c>
      <c r="C648" s="167">
        <v>15957197.83</v>
      </c>
      <c r="D648" s="167">
        <v>18964767.759999998</v>
      </c>
      <c r="E648" s="167">
        <v>19007075.599999998</v>
      </c>
      <c r="F648" s="167">
        <v>19007075.599999998</v>
      </c>
      <c r="G648" s="167">
        <v>19008344.879999999</v>
      </c>
      <c r="H648" s="167">
        <v>19008344.879999999</v>
      </c>
      <c r="I648" s="168"/>
      <c r="J648" s="168"/>
      <c r="K648" s="168"/>
      <c r="L648" s="168"/>
      <c r="M648" s="168"/>
      <c r="N648" s="168"/>
      <c r="O648" s="168"/>
      <c r="P648" s="168"/>
      <c r="Q648" s="168"/>
      <c r="R648" s="168"/>
      <c r="S648" s="168"/>
      <c r="T648" s="168"/>
      <c r="U648" s="168"/>
      <c r="V648" s="168"/>
      <c r="W648" s="168"/>
      <c r="X648" s="167">
        <v>19008344.879999999</v>
      </c>
    </row>
    <row r="649" spans="1:24" ht="14.4" x14ac:dyDescent="0.3">
      <c r="A649" s="163" t="s">
        <v>230</v>
      </c>
      <c r="B649" s="164">
        <v>2011</v>
      </c>
      <c r="C649" s="167">
        <v>13290929.710000001</v>
      </c>
      <c r="D649" s="167">
        <v>15846227.68</v>
      </c>
      <c r="E649" s="167">
        <v>15864761.809999999</v>
      </c>
      <c r="F649" s="167">
        <v>15869129.960000001</v>
      </c>
      <c r="G649" s="167">
        <v>15873446.870000001</v>
      </c>
      <c r="H649" s="168"/>
      <c r="I649" s="168"/>
      <c r="J649" s="168"/>
      <c r="K649" s="168"/>
      <c r="L649" s="168"/>
      <c r="M649" s="168"/>
      <c r="N649" s="168"/>
      <c r="O649" s="168"/>
      <c r="P649" s="168"/>
      <c r="Q649" s="168"/>
      <c r="R649" s="168"/>
      <c r="S649" s="168"/>
      <c r="T649" s="168"/>
      <c r="U649" s="168"/>
      <c r="V649" s="168"/>
      <c r="W649" s="168"/>
      <c r="X649" s="167">
        <v>15873446.870000001</v>
      </c>
    </row>
    <row r="650" spans="1:24" ht="14.4" x14ac:dyDescent="0.3">
      <c r="A650" s="163" t="s">
        <v>230</v>
      </c>
      <c r="B650" s="164">
        <v>2012</v>
      </c>
      <c r="C650" s="167">
        <v>14298906.170000002</v>
      </c>
      <c r="D650" s="167">
        <v>19292348.020000003</v>
      </c>
      <c r="E650" s="167">
        <v>19316360.630000003</v>
      </c>
      <c r="F650" s="167">
        <v>19320902.020000003</v>
      </c>
      <c r="G650" s="168"/>
      <c r="H650" s="168"/>
      <c r="I650" s="168"/>
      <c r="J650" s="168"/>
      <c r="K650" s="168"/>
      <c r="L650" s="168"/>
      <c r="M650" s="168"/>
      <c r="N650" s="168"/>
      <c r="O650" s="168"/>
      <c r="P650" s="168"/>
      <c r="Q650" s="168"/>
      <c r="R650" s="168"/>
      <c r="S650" s="168"/>
      <c r="T650" s="168"/>
      <c r="U650" s="168"/>
      <c r="V650" s="168"/>
      <c r="W650" s="168"/>
      <c r="X650" s="167">
        <v>19320902.020000003</v>
      </c>
    </row>
    <row r="651" spans="1:24" ht="14.4" x14ac:dyDescent="0.3">
      <c r="A651" s="163" t="s">
        <v>230</v>
      </c>
      <c r="B651" s="164">
        <v>2013</v>
      </c>
      <c r="C651" s="167">
        <v>16337317.669999998</v>
      </c>
      <c r="D651" s="167">
        <v>21660475.73</v>
      </c>
      <c r="E651" s="167">
        <v>21723993.5</v>
      </c>
      <c r="F651" s="168"/>
      <c r="G651" s="168"/>
      <c r="H651" s="168"/>
      <c r="I651" s="168"/>
      <c r="J651" s="168"/>
      <c r="K651" s="168"/>
      <c r="L651" s="168"/>
      <c r="M651" s="168"/>
      <c r="N651" s="168"/>
      <c r="O651" s="168"/>
      <c r="P651" s="168"/>
      <c r="Q651" s="168"/>
      <c r="R651" s="168"/>
      <c r="S651" s="168"/>
      <c r="T651" s="168"/>
      <c r="U651" s="168"/>
      <c r="V651" s="168"/>
      <c r="W651" s="168"/>
      <c r="X651" s="167">
        <v>21723993.5</v>
      </c>
    </row>
    <row r="652" spans="1:24" ht="14.4" x14ac:dyDescent="0.3">
      <c r="A652" s="163" t="s">
        <v>230</v>
      </c>
      <c r="B652" s="164">
        <v>2014</v>
      </c>
      <c r="C652" s="167">
        <v>18679731.999999996</v>
      </c>
      <c r="D652" s="167">
        <v>23595632.710000005</v>
      </c>
      <c r="E652" s="168"/>
      <c r="F652" s="168"/>
      <c r="G652" s="168"/>
      <c r="H652" s="168"/>
      <c r="I652" s="168"/>
      <c r="J652" s="168"/>
      <c r="K652" s="168"/>
      <c r="L652" s="168"/>
      <c r="M652" s="168"/>
      <c r="N652" s="168"/>
      <c r="O652" s="168"/>
      <c r="P652" s="168"/>
      <c r="Q652" s="168"/>
      <c r="R652" s="168"/>
      <c r="S652" s="168"/>
      <c r="T652" s="168"/>
      <c r="U652" s="168"/>
      <c r="V652" s="168"/>
      <c r="W652" s="168"/>
      <c r="X652" s="167">
        <v>23595632.710000005</v>
      </c>
    </row>
    <row r="653" spans="1:24" ht="14.4" x14ac:dyDescent="0.3">
      <c r="A653" s="163" t="s">
        <v>230</v>
      </c>
      <c r="B653" s="164">
        <v>2015</v>
      </c>
      <c r="C653" s="167">
        <v>17679070.959999993</v>
      </c>
      <c r="D653" s="168"/>
      <c r="E653" s="168"/>
      <c r="F653" s="168"/>
      <c r="G653" s="168"/>
      <c r="H653" s="168"/>
      <c r="I653" s="168"/>
      <c r="J653" s="168"/>
      <c r="K653" s="168"/>
      <c r="L653" s="168"/>
      <c r="M653" s="168"/>
      <c r="N653" s="168"/>
      <c r="O653" s="168"/>
      <c r="P653" s="168"/>
      <c r="Q653" s="168"/>
      <c r="R653" s="168"/>
      <c r="S653" s="168"/>
      <c r="T653" s="168"/>
      <c r="U653" s="168"/>
      <c r="V653" s="168"/>
      <c r="W653" s="168"/>
      <c r="X653" s="167">
        <v>17679070.959999993</v>
      </c>
    </row>
    <row r="654" spans="1:24" ht="14.4" x14ac:dyDescent="0.3">
      <c r="A654" s="163" t="s">
        <v>6</v>
      </c>
      <c r="B654" s="164">
        <v>1995</v>
      </c>
      <c r="C654" s="167">
        <v>3653699.7199999997</v>
      </c>
      <c r="D654" s="167">
        <v>16422221.560000001</v>
      </c>
      <c r="E654" s="167">
        <v>19359532.580000002</v>
      </c>
      <c r="F654" s="167">
        <v>12096161.810000001</v>
      </c>
      <c r="G654" s="167">
        <v>10855143.91</v>
      </c>
      <c r="H654" s="167">
        <v>10736055.200000001</v>
      </c>
      <c r="I654" s="167">
        <v>10635923.01</v>
      </c>
      <c r="J654" s="167">
        <v>10853889.84</v>
      </c>
      <c r="K654" s="167">
        <v>10781763.369999999</v>
      </c>
      <c r="L654" s="167">
        <v>10276085.189999999</v>
      </c>
      <c r="M654" s="167">
        <v>10064790.68</v>
      </c>
      <c r="N654" s="167">
        <v>10083513.34</v>
      </c>
      <c r="O654" s="167">
        <v>10079240.1</v>
      </c>
      <c r="P654" s="167">
        <v>10087290.130000001</v>
      </c>
      <c r="Q654" s="167">
        <v>10084693.65</v>
      </c>
      <c r="R654" s="167">
        <v>10090300.949999999</v>
      </c>
      <c r="S654" s="167">
        <v>10117002.699999999</v>
      </c>
      <c r="T654" s="167">
        <v>10124234.16</v>
      </c>
      <c r="U654" s="167">
        <v>10119916.09</v>
      </c>
      <c r="V654" s="167">
        <v>10119915.09</v>
      </c>
      <c r="W654" s="167">
        <v>10119914.09</v>
      </c>
      <c r="X654" s="167">
        <v>10119914.09</v>
      </c>
    </row>
    <row r="655" spans="1:24" ht="14.4" x14ac:dyDescent="0.3">
      <c r="A655" s="163" t="s">
        <v>6</v>
      </c>
      <c r="B655" s="164">
        <v>1996</v>
      </c>
      <c r="C655" s="167">
        <v>5906306.6399999997</v>
      </c>
      <c r="D655" s="167">
        <v>13684270.32</v>
      </c>
      <c r="E655" s="167">
        <v>14524073.640000001</v>
      </c>
      <c r="F655" s="167">
        <v>14293457.560000001</v>
      </c>
      <c r="G655" s="167">
        <v>14126775.129999999</v>
      </c>
      <c r="H655" s="167">
        <v>14559553.640000001</v>
      </c>
      <c r="I655" s="167">
        <v>14189145.15</v>
      </c>
      <c r="J655" s="167">
        <v>14885432</v>
      </c>
      <c r="K655" s="167">
        <v>15000596.93</v>
      </c>
      <c r="L655" s="167">
        <v>14921230.91</v>
      </c>
      <c r="M655" s="167">
        <v>14956037.300000001</v>
      </c>
      <c r="N655" s="167">
        <v>14279423.23</v>
      </c>
      <c r="O655" s="167">
        <v>15177324.219999999</v>
      </c>
      <c r="P655" s="167">
        <v>14825073.119999999</v>
      </c>
      <c r="Q655" s="167">
        <v>14870412.350000001</v>
      </c>
      <c r="R655" s="167">
        <v>14887243.930000002</v>
      </c>
      <c r="S655" s="167">
        <v>14954976.889999999</v>
      </c>
      <c r="T655" s="167">
        <v>14908494.49</v>
      </c>
      <c r="U655" s="167">
        <v>14909143.49</v>
      </c>
      <c r="V655" s="167">
        <v>14943696.99</v>
      </c>
      <c r="W655" s="168"/>
      <c r="X655" s="167">
        <v>14943696.99</v>
      </c>
    </row>
    <row r="656" spans="1:24" ht="14.4" x14ac:dyDescent="0.3">
      <c r="A656" s="163" t="s">
        <v>6</v>
      </c>
      <c r="B656" s="164">
        <v>1997</v>
      </c>
      <c r="C656" s="167">
        <v>6632447.25</v>
      </c>
      <c r="D656" s="167">
        <v>9320542.4000000004</v>
      </c>
      <c r="E656" s="167">
        <v>14252708.65</v>
      </c>
      <c r="F656" s="167">
        <v>12152662.26</v>
      </c>
      <c r="G656" s="167">
        <v>13101412.930000002</v>
      </c>
      <c r="H656" s="167">
        <v>13553423.599999998</v>
      </c>
      <c r="I656" s="167">
        <v>9730228.0300000012</v>
      </c>
      <c r="J656" s="167">
        <v>9686568.9199999981</v>
      </c>
      <c r="K656" s="167">
        <v>9555798.1999999974</v>
      </c>
      <c r="L656" s="167">
        <v>9058370.629999999</v>
      </c>
      <c r="M656" s="167">
        <v>9046474.3999999966</v>
      </c>
      <c r="N656" s="167">
        <v>9047818.7999999989</v>
      </c>
      <c r="O656" s="167">
        <v>8990150.3900000006</v>
      </c>
      <c r="P656" s="167">
        <v>8919168.9699999988</v>
      </c>
      <c r="Q656" s="167">
        <v>8736697.1399999987</v>
      </c>
      <c r="R656" s="167">
        <v>8740443.8899999987</v>
      </c>
      <c r="S656" s="167">
        <v>8290414.209999999</v>
      </c>
      <c r="T656" s="167">
        <v>8290414.209999999</v>
      </c>
      <c r="U656" s="167">
        <v>8290413.209999999</v>
      </c>
      <c r="V656" s="168"/>
      <c r="W656" s="168"/>
      <c r="X656" s="167">
        <v>8290413.209999999</v>
      </c>
    </row>
    <row r="657" spans="1:24" ht="14.4" x14ac:dyDescent="0.3">
      <c r="A657" s="163" t="s">
        <v>6</v>
      </c>
      <c r="B657" s="164">
        <v>1998</v>
      </c>
      <c r="C657" s="167">
        <v>-246209.5700000003</v>
      </c>
      <c r="D657" s="167">
        <v>-829195.91000000387</v>
      </c>
      <c r="E657" s="167">
        <v>-1149518.0900000036</v>
      </c>
      <c r="F657" s="167">
        <v>-1337301.0200000033</v>
      </c>
      <c r="G657" s="167">
        <v>-1461109.799999997</v>
      </c>
      <c r="H657" s="167">
        <v>-1855448.8399999999</v>
      </c>
      <c r="I657" s="167">
        <v>-1916193.6900000013</v>
      </c>
      <c r="J657" s="167">
        <v>-1965581.7399999946</v>
      </c>
      <c r="K657" s="167">
        <v>-2003593.9099999964</v>
      </c>
      <c r="L657" s="167">
        <v>-2017502.320000004</v>
      </c>
      <c r="M657" s="167">
        <v>-2022817.3500000015</v>
      </c>
      <c r="N657" s="167">
        <v>-2024311.8000000007</v>
      </c>
      <c r="O657" s="167">
        <v>-2066197.6999999955</v>
      </c>
      <c r="P657" s="167">
        <v>-2066197.6999999993</v>
      </c>
      <c r="Q657" s="167">
        <v>-1286082.0299999975</v>
      </c>
      <c r="R657" s="167">
        <v>-1246486.5599999987</v>
      </c>
      <c r="S657" s="167">
        <v>-658807.02999999747</v>
      </c>
      <c r="T657" s="167">
        <v>-501456.8200000003</v>
      </c>
      <c r="U657" s="168"/>
      <c r="V657" s="168"/>
      <c r="W657" s="168"/>
      <c r="X657" s="167">
        <v>-501456.8200000003</v>
      </c>
    </row>
    <row r="658" spans="1:24" ht="14.4" x14ac:dyDescent="0.3">
      <c r="A658" s="163" t="s">
        <v>6</v>
      </c>
      <c r="B658" s="164">
        <v>1999</v>
      </c>
      <c r="C658" s="167">
        <v>-34369.540000000969</v>
      </c>
      <c r="D658" s="167">
        <v>-494435.95000000298</v>
      </c>
      <c r="E658" s="167">
        <v>-1251002.6400000006</v>
      </c>
      <c r="F658" s="167">
        <v>-1288855.5</v>
      </c>
      <c r="G658" s="167">
        <v>-1346090.1199999899</v>
      </c>
      <c r="H658" s="167">
        <v>-1523111.5400000066</v>
      </c>
      <c r="I658" s="167">
        <v>-1523115.7199999988</v>
      </c>
      <c r="J658" s="167">
        <v>-1421999.1800000072</v>
      </c>
      <c r="K658" s="167">
        <v>-1423406.6400000006</v>
      </c>
      <c r="L658" s="167">
        <v>-9806774.9300000072</v>
      </c>
      <c r="M658" s="167">
        <v>-1329676.5400000066</v>
      </c>
      <c r="N658" s="167">
        <v>-1329834.0300000012</v>
      </c>
      <c r="O658" s="167">
        <v>-1329834.0300000012</v>
      </c>
      <c r="P658" s="167">
        <v>-2761352.7599999905</v>
      </c>
      <c r="Q658" s="167">
        <v>-3749226.2599999905</v>
      </c>
      <c r="R658" s="167">
        <v>-3934369.4600000083</v>
      </c>
      <c r="S658" s="167">
        <v>-20450527.460000008</v>
      </c>
      <c r="T658" s="168"/>
      <c r="U658" s="168"/>
      <c r="V658" s="168"/>
      <c r="W658" s="168"/>
      <c r="X658" s="167">
        <v>-20450527.460000008</v>
      </c>
    </row>
    <row r="659" spans="1:24" ht="14.4" x14ac:dyDescent="0.3">
      <c r="A659" s="163" t="s">
        <v>6</v>
      </c>
      <c r="B659" s="164">
        <v>2000</v>
      </c>
      <c r="C659" s="167">
        <v>-885129.8900000006</v>
      </c>
      <c r="D659" s="167">
        <v>-1423519.9600000083</v>
      </c>
      <c r="E659" s="167">
        <v>-4372132.4899999946</v>
      </c>
      <c r="F659" s="167">
        <v>-4678981.3200000077</v>
      </c>
      <c r="G659" s="167">
        <v>-4766134.1099999994</v>
      </c>
      <c r="H659" s="167">
        <v>-4979933.1300000101</v>
      </c>
      <c r="I659" s="167">
        <v>-4678363.0199999958</v>
      </c>
      <c r="J659" s="167">
        <v>-4726181.3900000006</v>
      </c>
      <c r="K659" s="167">
        <v>-4745504.4300000072</v>
      </c>
      <c r="L659" s="167">
        <v>-4766027.3999999911</v>
      </c>
      <c r="M659" s="167">
        <v>-4775729.0399999917</v>
      </c>
      <c r="N659" s="167">
        <v>-4803542.2900000066</v>
      </c>
      <c r="O659" s="167">
        <v>-4861849.7699999958</v>
      </c>
      <c r="P659" s="167">
        <v>-5763997.0699999928</v>
      </c>
      <c r="Q659" s="167">
        <v>-5768186.3800000101</v>
      </c>
      <c r="R659" s="167">
        <v>-5763638.4800000042</v>
      </c>
      <c r="S659" s="168"/>
      <c r="T659" s="168"/>
      <c r="U659" s="168"/>
      <c r="V659" s="168"/>
      <c r="W659" s="168"/>
      <c r="X659" s="167">
        <v>-5763638.4800000042</v>
      </c>
    </row>
    <row r="660" spans="1:24" ht="14.4" x14ac:dyDescent="0.3">
      <c r="A660" s="163" t="s">
        <v>6</v>
      </c>
      <c r="B660" s="164">
        <v>2001</v>
      </c>
      <c r="C660" s="167">
        <v>-2014901.5100000054</v>
      </c>
      <c r="D660" s="167">
        <v>-985685.01999999583</v>
      </c>
      <c r="E660" s="167">
        <v>-986324.31000000238</v>
      </c>
      <c r="F660" s="167">
        <v>-1680072.3900000006</v>
      </c>
      <c r="G660" s="167">
        <v>-2320668.1899999976</v>
      </c>
      <c r="H660" s="167">
        <v>-2355078.4899999946</v>
      </c>
      <c r="I660" s="167">
        <v>-2175414.1599999964</v>
      </c>
      <c r="J660" s="167">
        <v>-2056174.75</v>
      </c>
      <c r="K660" s="167">
        <v>-2135672.1899999976</v>
      </c>
      <c r="L660" s="167">
        <v>-2242286.2099999934</v>
      </c>
      <c r="M660" s="167">
        <v>-2317230.2600000054</v>
      </c>
      <c r="N660" s="167">
        <v>-222077.95999999344</v>
      </c>
      <c r="O660" s="167">
        <v>-1245209.2800000012</v>
      </c>
      <c r="P660" s="167">
        <v>-1216361.0300000012</v>
      </c>
      <c r="Q660" s="167">
        <v>-1193312.5500000119</v>
      </c>
      <c r="R660" s="168"/>
      <c r="S660" s="168"/>
      <c r="T660" s="168"/>
      <c r="U660" s="168"/>
      <c r="V660" s="168"/>
      <c r="W660" s="168"/>
      <c r="X660" s="167">
        <v>-1193312.5500000119</v>
      </c>
    </row>
    <row r="661" spans="1:24" ht="14.4" x14ac:dyDescent="0.3">
      <c r="A661" s="163" t="s">
        <v>6</v>
      </c>
      <c r="B661" s="164">
        <v>2002</v>
      </c>
      <c r="C661" s="167">
        <v>-106759.39999999851</v>
      </c>
      <c r="D661" s="167">
        <v>-622653.02000001073</v>
      </c>
      <c r="E661" s="167">
        <v>-1747996.2300000042</v>
      </c>
      <c r="F661" s="167">
        <v>-1586940.6100000143</v>
      </c>
      <c r="G661" s="167">
        <v>-1680206.6400000006</v>
      </c>
      <c r="H661" s="167">
        <v>-1891886.150000006</v>
      </c>
      <c r="I661" s="167">
        <v>-1907434.9899999946</v>
      </c>
      <c r="J661" s="167">
        <v>-1968885.9800000042</v>
      </c>
      <c r="K661" s="167">
        <v>-2058488.2099999934</v>
      </c>
      <c r="L661" s="167">
        <v>-2061740.4600000083</v>
      </c>
      <c r="M661" s="167">
        <v>-7064768.9600000083</v>
      </c>
      <c r="N661" s="167">
        <v>-7112917.3200000077</v>
      </c>
      <c r="O661" s="167">
        <v>-7511998.3299999982</v>
      </c>
      <c r="P661" s="167">
        <v>-7446208.9899999946</v>
      </c>
      <c r="Q661" s="168"/>
      <c r="R661" s="168"/>
      <c r="S661" s="168"/>
      <c r="T661" s="168"/>
      <c r="U661" s="168"/>
      <c r="V661" s="168"/>
      <c r="W661" s="168"/>
      <c r="X661" s="167">
        <v>-7446208.9899999946</v>
      </c>
    </row>
    <row r="662" spans="1:24" ht="14.4" x14ac:dyDescent="0.3">
      <c r="A662" s="163" t="s">
        <v>6</v>
      </c>
      <c r="B662" s="164">
        <v>2003</v>
      </c>
      <c r="C662" s="167">
        <v>-248240.60000000149</v>
      </c>
      <c r="D662" s="167">
        <v>-5099970.0200000107</v>
      </c>
      <c r="E662" s="167">
        <v>-2317758.5899999887</v>
      </c>
      <c r="F662" s="167">
        <v>-2817749.3100000024</v>
      </c>
      <c r="G662" s="167">
        <v>-2923001.0100000054</v>
      </c>
      <c r="H662" s="167">
        <v>-2418793.7399999946</v>
      </c>
      <c r="I662" s="167">
        <v>-2619921.150000006</v>
      </c>
      <c r="J662" s="167">
        <v>-2696629.8699999899</v>
      </c>
      <c r="K662" s="167">
        <v>-2710167.8700000048</v>
      </c>
      <c r="L662" s="167">
        <v>1398066.1599999964</v>
      </c>
      <c r="M662" s="167">
        <v>-5559267.3799999952</v>
      </c>
      <c r="N662" s="167">
        <v>-6545371.75</v>
      </c>
      <c r="O662" s="167">
        <v>-6580624.1499999911</v>
      </c>
      <c r="P662" s="168"/>
      <c r="Q662" s="168"/>
      <c r="R662" s="168"/>
      <c r="S662" s="168"/>
      <c r="T662" s="168"/>
      <c r="U662" s="168"/>
      <c r="V662" s="168"/>
      <c r="W662" s="168"/>
      <c r="X662" s="167">
        <v>-6580624.1499999911</v>
      </c>
    </row>
    <row r="663" spans="1:24" ht="14.4" x14ac:dyDescent="0.3">
      <c r="A663" s="163" t="s">
        <v>6</v>
      </c>
      <c r="B663" s="164">
        <v>2004</v>
      </c>
      <c r="C663" s="167">
        <v>-16004.649999999907</v>
      </c>
      <c r="D663" s="167">
        <v>-176301.71999999974</v>
      </c>
      <c r="E663" s="167">
        <v>-652535.03000000119</v>
      </c>
      <c r="F663" s="167">
        <v>-711083.01999999955</v>
      </c>
      <c r="G663" s="167">
        <v>-795280.5</v>
      </c>
      <c r="H663" s="167">
        <v>-663007.95999999717</v>
      </c>
      <c r="I663" s="167">
        <v>-663007.96000000089</v>
      </c>
      <c r="J663" s="167">
        <v>-663101.96000000089</v>
      </c>
      <c r="K663" s="167">
        <v>-473253.28000000119</v>
      </c>
      <c r="L663" s="167">
        <v>-4540356.8999999985</v>
      </c>
      <c r="M663" s="167">
        <v>-4907682.929999996</v>
      </c>
      <c r="N663" s="167">
        <v>-4906158.6699999981</v>
      </c>
      <c r="O663" s="168"/>
      <c r="P663" s="168"/>
      <c r="Q663" s="168"/>
      <c r="R663" s="168"/>
      <c r="S663" s="168"/>
      <c r="T663" s="168"/>
      <c r="U663" s="168"/>
      <c r="V663" s="168"/>
      <c r="W663" s="168"/>
      <c r="X663" s="167">
        <v>-4906158.6699999981</v>
      </c>
    </row>
    <row r="664" spans="1:24" ht="14.4" x14ac:dyDescent="0.3">
      <c r="A664" s="163" t="s">
        <v>6</v>
      </c>
      <c r="B664" s="164">
        <v>2005</v>
      </c>
      <c r="C664" s="167">
        <v>1</v>
      </c>
      <c r="D664" s="167">
        <v>-60364.989999994636</v>
      </c>
      <c r="E664" s="167">
        <v>-200940.15999999642</v>
      </c>
      <c r="F664" s="167">
        <v>-251656.67000000179</v>
      </c>
      <c r="G664" s="167">
        <v>-280546.92000000179</v>
      </c>
      <c r="H664" s="167">
        <v>-316073.53999999166</v>
      </c>
      <c r="I664" s="167">
        <v>-331835.92000000179</v>
      </c>
      <c r="J664" s="167">
        <v>2053732.1600000039</v>
      </c>
      <c r="K664" s="167">
        <v>-1772118.8100000024</v>
      </c>
      <c r="L664" s="167">
        <v>1916744.2399999946</v>
      </c>
      <c r="M664" s="167">
        <v>1930266.9999999925</v>
      </c>
      <c r="N664" s="168"/>
      <c r="O664" s="168"/>
      <c r="P664" s="168"/>
      <c r="Q664" s="168"/>
      <c r="R664" s="168"/>
      <c r="S664" s="168"/>
      <c r="T664" s="168"/>
      <c r="U664" s="168"/>
      <c r="V664" s="168"/>
      <c r="W664" s="168"/>
      <c r="X664" s="167">
        <v>1930266.9999999925</v>
      </c>
    </row>
    <row r="665" spans="1:24" ht="14.4" x14ac:dyDescent="0.3">
      <c r="A665" s="163" t="s">
        <v>6</v>
      </c>
      <c r="B665" s="164">
        <v>2006</v>
      </c>
      <c r="C665" s="167">
        <v>-37523.030000000028</v>
      </c>
      <c r="D665" s="167">
        <v>-58244.979999999981</v>
      </c>
      <c r="E665" s="167">
        <v>-325596.83999999985</v>
      </c>
      <c r="F665" s="167">
        <v>-71132.479999999981</v>
      </c>
      <c r="G665" s="167">
        <v>-71173.479999999981</v>
      </c>
      <c r="H665" s="167">
        <v>-71590.780000000261</v>
      </c>
      <c r="I665" s="167">
        <v>2159417.2199999997</v>
      </c>
      <c r="J665" s="167">
        <v>2118957.11</v>
      </c>
      <c r="K665" s="167">
        <v>2116978.11</v>
      </c>
      <c r="L665" s="167">
        <v>2517769.61</v>
      </c>
      <c r="M665" s="168"/>
      <c r="N665" s="168"/>
      <c r="O665" s="168"/>
      <c r="P665" s="168"/>
      <c r="Q665" s="168"/>
      <c r="R665" s="168"/>
      <c r="S665" s="168"/>
      <c r="T665" s="168"/>
      <c r="U665" s="168"/>
      <c r="V665" s="168"/>
      <c r="W665" s="168"/>
      <c r="X665" s="167">
        <v>2517769.61</v>
      </c>
    </row>
    <row r="666" spans="1:24" ht="14.4" x14ac:dyDescent="0.3">
      <c r="A666" s="163" t="s">
        <v>6</v>
      </c>
      <c r="B666" s="164">
        <v>2007</v>
      </c>
      <c r="C666" s="167">
        <v>0</v>
      </c>
      <c r="D666" s="167">
        <v>-767501.78999999969</v>
      </c>
      <c r="E666" s="167">
        <v>-221204.01</v>
      </c>
      <c r="F666" s="167">
        <v>-209866.8600000001</v>
      </c>
      <c r="G666" s="167">
        <v>-98486.860000000102</v>
      </c>
      <c r="H666" s="167">
        <v>75792.850000000093</v>
      </c>
      <c r="I666" s="167">
        <v>-4235301.72</v>
      </c>
      <c r="J666" s="167">
        <v>-99427.709999999963</v>
      </c>
      <c r="K666" s="167">
        <v>555206.29</v>
      </c>
      <c r="L666" s="168"/>
      <c r="M666" s="168"/>
      <c r="N666" s="168"/>
      <c r="O666" s="168"/>
      <c r="P666" s="168"/>
      <c r="Q666" s="168"/>
      <c r="R666" s="168"/>
      <c r="S666" s="168"/>
      <c r="T666" s="168"/>
      <c r="U666" s="168"/>
      <c r="V666" s="168"/>
      <c r="W666" s="168"/>
      <c r="X666" s="167">
        <v>555206.29</v>
      </c>
    </row>
    <row r="667" spans="1:24" ht="14.4" x14ac:dyDescent="0.3">
      <c r="A667" s="163" t="s">
        <v>6</v>
      </c>
      <c r="B667" s="164">
        <v>2008</v>
      </c>
      <c r="C667" s="167">
        <v>-6062.5</v>
      </c>
      <c r="D667" s="167">
        <v>-15410.989999999991</v>
      </c>
      <c r="E667" s="167">
        <v>-26599.960000000196</v>
      </c>
      <c r="F667" s="167">
        <v>-34679.959999999963</v>
      </c>
      <c r="G667" s="167">
        <v>989150.37000000034</v>
      </c>
      <c r="H667" s="167">
        <v>1813259.5700000003</v>
      </c>
      <c r="I667" s="167">
        <v>1109597.4100000001</v>
      </c>
      <c r="J667" s="167">
        <v>1265459.3500000001</v>
      </c>
      <c r="K667" s="168"/>
      <c r="L667" s="168"/>
      <c r="M667" s="168"/>
      <c r="N667" s="168"/>
      <c r="O667" s="168"/>
      <c r="P667" s="168"/>
      <c r="Q667" s="168"/>
      <c r="R667" s="168"/>
      <c r="S667" s="168"/>
      <c r="T667" s="168"/>
      <c r="U667" s="168"/>
      <c r="V667" s="168"/>
      <c r="W667" s="168"/>
      <c r="X667" s="167">
        <v>1265459.3500000001</v>
      </c>
    </row>
    <row r="668" spans="1:24" ht="14.4" x14ac:dyDescent="0.3">
      <c r="A668" s="163" t="s">
        <v>6</v>
      </c>
      <c r="B668" s="164">
        <v>2009</v>
      </c>
      <c r="C668" s="167">
        <v>-12513.330000000075</v>
      </c>
      <c r="D668" s="167">
        <v>-143871.37999999989</v>
      </c>
      <c r="E668" s="167">
        <v>-759969.75999999978</v>
      </c>
      <c r="F668" s="167">
        <v>9259909.9900000002</v>
      </c>
      <c r="G668" s="167">
        <v>8455562.6999999993</v>
      </c>
      <c r="H668" s="167">
        <v>8445441.7400000002</v>
      </c>
      <c r="I668" s="167">
        <v>8423635.7699999996</v>
      </c>
      <c r="J668" s="168"/>
      <c r="K668" s="168"/>
      <c r="L668" s="168"/>
      <c r="M668" s="168"/>
      <c r="N668" s="168"/>
      <c r="O668" s="168"/>
      <c r="P668" s="168"/>
      <c r="Q668" s="168"/>
      <c r="R668" s="168"/>
      <c r="S668" s="168"/>
      <c r="T668" s="168"/>
      <c r="U668" s="168"/>
      <c r="V668" s="168"/>
      <c r="W668" s="168"/>
      <c r="X668" s="167">
        <v>8423635.7699999996</v>
      </c>
    </row>
    <row r="669" spans="1:24" ht="14.4" x14ac:dyDescent="0.3">
      <c r="A669" s="163" t="s">
        <v>6</v>
      </c>
      <c r="B669" s="164">
        <v>2010</v>
      </c>
      <c r="C669" s="167">
        <v>-10990.830000000075</v>
      </c>
      <c r="D669" s="167">
        <v>-12532.030000000028</v>
      </c>
      <c r="E669" s="167">
        <v>560452.42999999982</v>
      </c>
      <c r="F669" s="167">
        <v>374720.38000000012</v>
      </c>
      <c r="G669" s="167">
        <v>306705.54000000004</v>
      </c>
      <c r="H669" s="167">
        <v>551846.33999999985</v>
      </c>
      <c r="I669" s="168"/>
      <c r="J669" s="168"/>
      <c r="K669" s="168"/>
      <c r="L669" s="168"/>
      <c r="M669" s="168"/>
      <c r="N669" s="168"/>
      <c r="O669" s="168"/>
      <c r="P669" s="168"/>
      <c r="Q669" s="168"/>
      <c r="R669" s="168"/>
      <c r="S669" s="168"/>
      <c r="T669" s="168"/>
      <c r="U669" s="168"/>
      <c r="V669" s="168"/>
      <c r="W669" s="168"/>
      <c r="X669" s="167">
        <v>551846.33999999985</v>
      </c>
    </row>
    <row r="670" spans="1:24" ht="14.4" x14ac:dyDescent="0.3">
      <c r="A670" s="163" t="s">
        <v>6</v>
      </c>
      <c r="B670" s="164">
        <v>2011</v>
      </c>
      <c r="C670" s="167">
        <v>-1022.5600000000049</v>
      </c>
      <c r="D670" s="167">
        <v>676564.98</v>
      </c>
      <c r="E670" s="167">
        <v>1718492.48</v>
      </c>
      <c r="F670" s="167">
        <v>1677072.1600000001</v>
      </c>
      <c r="G670" s="167">
        <v>1492564.74</v>
      </c>
      <c r="H670" s="168"/>
      <c r="I670" s="168"/>
      <c r="J670" s="168"/>
      <c r="K670" s="168"/>
      <c r="L670" s="168"/>
      <c r="M670" s="168"/>
      <c r="N670" s="168"/>
      <c r="O670" s="168"/>
      <c r="P670" s="168"/>
      <c r="Q670" s="168"/>
      <c r="R670" s="168"/>
      <c r="S670" s="168"/>
      <c r="T670" s="168"/>
      <c r="U670" s="168"/>
      <c r="V670" s="168"/>
      <c r="W670" s="168"/>
      <c r="X670" s="167">
        <v>1492564.74</v>
      </c>
    </row>
    <row r="671" spans="1:24" ht="14.4" x14ac:dyDescent="0.3">
      <c r="A671" s="163" t="s">
        <v>6</v>
      </c>
      <c r="B671" s="164">
        <v>2012</v>
      </c>
      <c r="C671" s="167">
        <v>6547.5</v>
      </c>
      <c r="D671" s="167">
        <v>4495470.96</v>
      </c>
      <c r="E671" s="167">
        <v>4671374.91</v>
      </c>
      <c r="F671" s="167">
        <v>4490784.4800000004</v>
      </c>
      <c r="G671" s="168"/>
      <c r="H671" s="168"/>
      <c r="I671" s="168"/>
      <c r="J671" s="168"/>
      <c r="K671" s="168"/>
      <c r="L671" s="168"/>
      <c r="M671" s="168"/>
      <c r="N671" s="168"/>
      <c r="O671" s="168"/>
      <c r="P671" s="168"/>
      <c r="Q671" s="168"/>
      <c r="R671" s="168"/>
      <c r="S671" s="168"/>
      <c r="T671" s="168"/>
      <c r="U671" s="168"/>
      <c r="V671" s="168"/>
      <c r="W671" s="168"/>
      <c r="X671" s="167">
        <v>4490784.4800000004</v>
      </c>
    </row>
    <row r="672" spans="1:24" ht="14.4" x14ac:dyDescent="0.3">
      <c r="A672" s="163" t="s">
        <v>6</v>
      </c>
      <c r="B672" s="164">
        <v>2013</v>
      </c>
      <c r="C672" s="167">
        <v>4737198.9000000004</v>
      </c>
      <c r="D672" s="167">
        <v>4670664.5999999996</v>
      </c>
      <c r="E672" s="167">
        <v>15244593.470000001</v>
      </c>
      <c r="F672" s="168"/>
      <c r="G672" s="168"/>
      <c r="H672" s="168"/>
      <c r="I672" s="168"/>
      <c r="J672" s="168"/>
      <c r="K672" s="168"/>
      <c r="L672" s="168"/>
      <c r="M672" s="168"/>
      <c r="N672" s="168"/>
      <c r="O672" s="168"/>
      <c r="P672" s="168"/>
      <c r="Q672" s="168"/>
      <c r="R672" s="168"/>
      <c r="S672" s="168"/>
      <c r="T672" s="168"/>
      <c r="U672" s="168"/>
      <c r="V672" s="168"/>
      <c r="W672" s="168"/>
      <c r="X672" s="167">
        <v>15244593.470000001</v>
      </c>
    </row>
    <row r="673" spans="1:24" ht="14.4" x14ac:dyDescent="0.3">
      <c r="A673" s="163" t="s">
        <v>6</v>
      </c>
      <c r="B673" s="164">
        <v>2014</v>
      </c>
      <c r="C673" s="167">
        <v>2841925.94</v>
      </c>
      <c r="D673" s="167">
        <v>7856102.4699999997</v>
      </c>
      <c r="E673" s="168"/>
      <c r="F673" s="168"/>
      <c r="G673" s="168"/>
      <c r="H673" s="168"/>
      <c r="I673" s="168"/>
      <c r="J673" s="168"/>
      <c r="K673" s="168"/>
      <c r="L673" s="168"/>
      <c r="M673" s="168"/>
      <c r="N673" s="168"/>
      <c r="O673" s="168"/>
      <c r="P673" s="168"/>
      <c r="Q673" s="168"/>
      <c r="R673" s="168"/>
      <c r="S673" s="168"/>
      <c r="T673" s="168"/>
      <c r="U673" s="168"/>
      <c r="V673" s="168"/>
      <c r="W673" s="168"/>
      <c r="X673" s="167">
        <v>7856102.4699999997</v>
      </c>
    </row>
    <row r="674" spans="1:24" ht="14.4" x14ac:dyDescent="0.3">
      <c r="A674" s="163" t="s">
        <v>6</v>
      </c>
      <c r="B674" s="164">
        <v>2015</v>
      </c>
      <c r="C674" s="167">
        <v>4063179.24</v>
      </c>
      <c r="D674" s="168"/>
      <c r="E674" s="168"/>
      <c r="F674" s="168"/>
      <c r="G674" s="168"/>
      <c r="H674" s="168"/>
      <c r="I674" s="168"/>
      <c r="J674" s="168"/>
      <c r="K674" s="168"/>
      <c r="L674" s="168"/>
      <c r="M674" s="168"/>
      <c r="N674" s="168"/>
      <c r="O674" s="168"/>
      <c r="P674" s="168"/>
      <c r="Q674" s="168"/>
      <c r="R674" s="168"/>
      <c r="S674" s="168"/>
      <c r="T674" s="168"/>
      <c r="U674" s="168"/>
      <c r="V674" s="168"/>
      <c r="W674" s="168"/>
      <c r="X674" s="167">
        <v>4063179.24</v>
      </c>
    </row>
    <row r="675" spans="1:24" ht="14.4" x14ac:dyDescent="0.3">
      <c r="A675" s="163" t="s">
        <v>7</v>
      </c>
      <c r="B675" s="164">
        <v>1995</v>
      </c>
      <c r="C675" s="167">
        <v>73252.11</v>
      </c>
      <c r="D675" s="167">
        <v>492071.33999999997</v>
      </c>
      <c r="E675" s="167">
        <v>1367200.44</v>
      </c>
      <c r="F675" s="167">
        <v>2131262.7599999998</v>
      </c>
      <c r="G675" s="167">
        <v>2536972.79</v>
      </c>
      <c r="H675" s="167">
        <v>2761970.4</v>
      </c>
      <c r="I675" s="167">
        <v>3131668.42</v>
      </c>
      <c r="J675" s="167">
        <v>3652203.7699999996</v>
      </c>
      <c r="K675" s="167">
        <v>3796894.34</v>
      </c>
      <c r="L675" s="167">
        <v>4016091.44</v>
      </c>
      <c r="M675" s="167">
        <v>4046267.18</v>
      </c>
      <c r="N675" s="167">
        <v>4007271.0100000002</v>
      </c>
      <c r="O675" s="167">
        <v>4935246.84</v>
      </c>
      <c r="P675" s="167">
        <v>4959057.91</v>
      </c>
      <c r="Q675" s="167">
        <v>5079459.34</v>
      </c>
      <c r="R675" s="167">
        <v>5890683.3200000003</v>
      </c>
      <c r="S675" s="167">
        <v>6004265.9500000002</v>
      </c>
      <c r="T675" s="167">
        <v>6243143.29</v>
      </c>
      <c r="U675" s="167">
        <v>6700038.6500000004</v>
      </c>
      <c r="V675" s="167">
        <v>6722177</v>
      </c>
      <c r="W675" s="167">
        <v>6973559.29</v>
      </c>
      <c r="X675" s="167">
        <v>6973559.29</v>
      </c>
    </row>
    <row r="676" spans="1:24" ht="14.4" x14ac:dyDescent="0.3">
      <c r="A676" s="163" t="s">
        <v>7</v>
      </c>
      <c r="B676" s="164">
        <v>1996</v>
      </c>
      <c r="C676" s="167">
        <v>119882.65</v>
      </c>
      <c r="D676" s="167">
        <v>86875.34</v>
      </c>
      <c r="E676" s="167">
        <v>347692.57</v>
      </c>
      <c r="F676" s="167">
        <v>424802.92000000004</v>
      </c>
      <c r="G676" s="167">
        <v>587712.13</v>
      </c>
      <c r="H676" s="167">
        <v>907687.40999999992</v>
      </c>
      <c r="I676" s="167">
        <v>1088206.26</v>
      </c>
      <c r="J676" s="167">
        <v>1238625.32</v>
      </c>
      <c r="K676" s="167">
        <v>1716866.54</v>
      </c>
      <c r="L676" s="167">
        <v>1965845.5499999998</v>
      </c>
      <c r="M676" s="167">
        <v>2496792.2400000002</v>
      </c>
      <c r="N676" s="167">
        <v>3613065.2800000003</v>
      </c>
      <c r="O676" s="167">
        <v>4935910.6400000006</v>
      </c>
      <c r="P676" s="167">
        <v>4132021.34</v>
      </c>
      <c r="Q676" s="167">
        <v>4206329.07</v>
      </c>
      <c r="R676" s="167">
        <v>4317226.0600000005</v>
      </c>
      <c r="S676" s="167">
        <v>4414822.66</v>
      </c>
      <c r="T676" s="167">
        <v>4652324.2200000007</v>
      </c>
      <c r="U676" s="167">
        <v>4942304.1500000004</v>
      </c>
      <c r="V676" s="167">
        <v>5692376.0299999993</v>
      </c>
      <c r="W676" s="168"/>
      <c r="X676" s="167">
        <v>5692376.0299999993</v>
      </c>
    </row>
    <row r="677" spans="1:24" ht="14.4" x14ac:dyDescent="0.3">
      <c r="A677" s="163" t="s">
        <v>7</v>
      </c>
      <c r="B677" s="164">
        <v>1997</v>
      </c>
      <c r="C677" s="167">
        <v>33094.39</v>
      </c>
      <c r="D677" s="167">
        <v>41376.129999999997</v>
      </c>
      <c r="E677" s="167">
        <v>166949.68000000002</v>
      </c>
      <c r="F677" s="167">
        <v>113890.16</v>
      </c>
      <c r="G677" s="167">
        <v>5316187.33</v>
      </c>
      <c r="H677" s="167">
        <v>5504008.3600000003</v>
      </c>
      <c r="I677" s="167">
        <v>5706046.8499999996</v>
      </c>
      <c r="J677" s="167">
        <v>6449856.6299999999</v>
      </c>
      <c r="K677" s="167">
        <v>7509547.0700000003</v>
      </c>
      <c r="L677" s="167">
        <v>7661947.75</v>
      </c>
      <c r="M677" s="167">
        <v>9208818.4600000009</v>
      </c>
      <c r="N677" s="167">
        <v>8716299.2800000012</v>
      </c>
      <c r="O677" s="167">
        <v>7511302.4700000007</v>
      </c>
      <c r="P677" s="167">
        <v>7547041.9199999999</v>
      </c>
      <c r="Q677" s="167">
        <v>8025832.6899999995</v>
      </c>
      <c r="R677" s="167">
        <v>8069968.2799999993</v>
      </c>
      <c r="S677" s="167">
        <v>8923140.6600000001</v>
      </c>
      <c r="T677" s="167">
        <v>8899121.5299999993</v>
      </c>
      <c r="U677" s="167">
        <v>8913293.3300000001</v>
      </c>
      <c r="V677" s="168"/>
      <c r="W677" s="168"/>
      <c r="X677" s="167">
        <v>8913293.3300000001</v>
      </c>
    </row>
    <row r="678" spans="1:24" ht="14.4" x14ac:dyDescent="0.3">
      <c r="A678" s="163" t="s">
        <v>7</v>
      </c>
      <c r="B678" s="164">
        <v>1998</v>
      </c>
      <c r="C678" s="167">
        <v>100</v>
      </c>
      <c r="D678" s="167">
        <v>75100</v>
      </c>
      <c r="E678" s="167">
        <v>46984.9</v>
      </c>
      <c r="F678" s="167">
        <v>146881.01</v>
      </c>
      <c r="G678" s="167">
        <v>253860.83000000002</v>
      </c>
      <c r="H678" s="167">
        <v>413697.01</v>
      </c>
      <c r="I678" s="167">
        <v>656942.02</v>
      </c>
      <c r="J678" s="167">
        <v>1055600.56</v>
      </c>
      <c r="K678" s="167">
        <v>1075119.42</v>
      </c>
      <c r="L678" s="167">
        <v>1183800.42</v>
      </c>
      <c r="M678" s="167">
        <v>1385997.1</v>
      </c>
      <c r="N678" s="167">
        <v>1678428.0899999999</v>
      </c>
      <c r="O678" s="167">
        <v>1895418.3699999999</v>
      </c>
      <c r="P678" s="167">
        <v>2044933.78</v>
      </c>
      <c r="Q678" s="167">
        <v>2175052.17</v>
      </c>
      <c r="R678" s="167">
        <v>2622417.7400000002</v>
      </c>
      <c r="S678" s="167">
        <v>2816775.63</v>
      </c>
      <c r="T678" s="167">
        <v>2618792.8100000005</v>
      </c>
      <c r="U678" s="168"/>
      <c r="V678" s="168"/>
      <c r="W678" s="168"/>
      <c r="X678" s="167">
        <v>2618792.8100000005</v>
      </c>
    </row>
    <row r="679" spans="1:24" ht="14.4" x14ac:dyDescent="0.3">
      <c r="A679" s="163" t="s">
        <v>7</v>
      </c>
      <c r="B679" s="164">
        <v>1999</v>
      </c>
      <c r="C679" s="167">
        <v>5000</v>
      </c>
      <c r="D679" s="167">
        <v>13617.07</v>
      </c>
      <c r="E679" s="167">
        <v>146357.22</v>
      </c>
      <c r="F679" s="167">
        <v>3013857.21</v>
      </c>
      <c r="G679" s="167">
        <v>3201383.58</v>
      </c>
      <c r="H679" s="167">
        <v>3283845.14</v>
      </c>
      <c r="I679" s="167">
        <v>3463753.11</v>
      </c>
      <c r="J679" s="167">
        <v>4139677.4799999995</v>
      </c>
      <c r="K679" s="167">
        <v>4352798.51</v>
      </c>
      <c r="L679" s="167">
        <v>4827492.7</v>
      </c>
      <c r="M679" s="167">
        <v>4353692.63</v>
      </c>
      <c r="N679" s="167">
        <v>4663589.25</v>
      </c>
      <c r="O679" s="167">
        <v>4596396.29</v>
      </c>
      <c r="P679" s="167">
        <v>4871002.08</v>
      </c>
      <c r="Q679" s="167">
        <v>4935897.95</v>
      </c>
      <c r="R679" s="167">
        <v>5030728.67</v>
      </c>
      <c r="S679" s="167">
        <v>5041788.33</v>
      </c>
      <c r="T679" s="168"/>
      <c r="U679" s="168"/>
      <c r="V679" s="168"/>
      <c r="W679" s="168"/>
      <c r="X679" s="167">
        <v>5041788.33</v>
      </c>
    </row>
    <row r="680" spans="1:24" ht="14.4" x14ac:dyDescent="0.3">
      <c r="A680" s="163" t="s">
        <v>7</v>
      </c>
      <c r="B680" s="164">
        <v>2000</v>
      </c>
      <c r="C680" s="167">
        <v>2000</v>
      </c>
      <c r="D680" s="167">
        <v>28676.06</v>
      </c>
      <c r="E680" s="167">
        <v>233602.18</v>
      </c>
      <c r="F680" s="167">
        <v>717368.45</v>
      </c>
      <c r="G680" s="167">
        <v>1158438.95</v>
      </c>
      <c r="H680" s="167">
        <v>2209193.7999999998</v>
      </c>
      <c r="I680" s="167">
        <v>3159094.1799999997</v>
      </c>
      <c r="J680" s="167">
        <v>3519104.4299999997</v>
      </c>
      <c r="K680" s="167">
        <v>5232116.54</v>
      </c>
      <c r="L680" s="167">
        <v>6097459.8200000003</v>
      </c>
      <c r="M680" s="167">
        <v>6472550.9399999995</v>
      </c>
      <c r="N680" s="167">
        <v>6176212.79</v>
      </c>
      <c r="O680" s="167">
        <v>6284319.8799999999</v>
      </c>
      <c r="P680" s="167">
        <v>6431083.5700000003</v>
      </c>
      <c r="Q680" s="167">
        <v>6843910.1500000004</v>
      </c>
      <c r="R680" s="167">
        <v>6970484.4900000002</v>
      </c>
      <c r="S680" s="168"/>
      <c r="T680" s="168"/>
      <c r="U680" s="168"/>
      <c r="V680" s="168"/>
      <c r="W680" s="168"/>
      <c r="X680" s="167">
        <v>6970484.4900000002</v>
      </c>
    </row>
    <row r="681" spans="1:24" ht="14.4" x14ac:dyDescent="0.3">
      <c r="A681" s="163" t="s">
        <v>7</v>
      </c>
      <c r="B681" s="164">
        <v>2001</v>
      </c>
      <c r="C681" s="167">
        <v>2500</v>
      </c>
      <c r="D681" s="167">
        <v>51000</v>
      </c>
      <c r="E681" s="167">
        <v>195136.48</v>
      </c>
      <c r="F681" s="167">
        <v>467251.31</v>
      </c>
      <c r="G681" s="167">
        <v>1081451.98</v>
      </c>
      <c r="H681" s="167">
        <v>1646180.17</v>
      </c>
      <c r="I681" s="167">
        <v>2333678.3899999997</v>
      </c>
      <c r="J681" s="167">
        <v>5509802.8399999999</v>
      </c>
      <c r="K681" s="167">
        <v>5327816.82</v>
      </c>
      <c r="L681" s="167">
        <v>8555273.8100000005</v>
      </c>
      <c r="M681" s="167">
        <v>11149057.379999999</v>
      </c>
      <c r="N681" s="167">
        <v>11471173.359999999</v>
      </c>
      <c r="O681" s="167">
        <v>11332689.73</v>
      </c>
      <c r="P681" s="167">
        <v>11346874.24</v>
      </c>
      <c r="Q681" s="167">
        <v>11892791.640000001</v>
      </c>
      <c r="R681" s="168"/>
      <c r="S681" s="168"/>
      <c r="T681" s="168"/>
      <c r="U681" s="168"/>
      <c r="V681" s="168"/>
      <c r="W681" s="168"/>
      <c r="X681" s="167">
        <v>11892791.640000001</v>
      </c>
    </row>
    <row r="682" spans="1:24" ht="14.4" x14ac:dyDescent="0.3">
      <c r="A682" s="163" t="s">
        <v>7</v>
      </c>
      <c r="B682" s="164">
        <v>2002</v>
      </c>
      <c r="C682" s="167">
        <v>85012.800000000003</v>
      </c>
      <c r="D682" s="167">
        <v>210165.23</v>
      </c>
      <c r="E682" s="167">
        <v>368644.02</v>
      </c>
      <c r="F682" s="167">
        <v>804184.52</v>
      </c>
      <c r="G682" s="167">
        <v>947703.55</v>
      </c>
      <c r="H682" s="167">
        <v>1359042.37</v>
      </c>
      <c r="I682" s="167">
        <v>1605495.93</v>
      </c>
      <c r="J682" s="167">
        <v>1931217.1800000002</v>
      </c>
      <c r="K682" s="167">
        <v>2878493.49</v>
      </c>
      <c r="L682" s="167">
        <v>3149826.1</v>
      </c>
      <c r="M682" s="167">
        <v>3375305.39</v>
      </c>
      <c r="N682" s="167">
        <v>3955893.81</v>
      </c>
      <c r="O682" s="167">
        <v>3971110.55</v>
      </c>
      <c r="P682" s="167">
        <v>4072693.57</v>
      </c>
      <c r="Q682" s="168"/>
      <c r="R682" s="168"/>
      <c r="S682" s="168"/>
      <c r="T682" s="168"/>
      <c r="U682" s="168"/>
      <c r="V682" s="168"/>
      <c r="W682" s="168"/>
      <c r="X682" s="167">
        <v>4072693.57</v>
      </c>
    </row>
    <row r="683" spans="1:24" ht="14.4" x14ac:dyDescent="0.3">
      <c r="A683" s="163" t="s">
        <v>7</v>
      </c>
      <c r="B683" s="164">
        <v>2003</v>
      </c>
      <c r="C683" s="167">
        <v>127074.5</v>
      </c>
      <c r="D683" s="167">
        <v>320619.73</v>
      </c>
      <c r="E683" s="167">
        <v>600262.29</v>
      </c>
      <c r="F683" s="167">
        <v>935392.61</v>
      </c>
      <c r="G683" s="167">
        <v>1425495.02</v>
      </c>
      <c r="H683" s="167">
        <v>3232163.92</v>
      </c>
      <c r="I683" s="167">
        <v>6153090.6100000003</v>
      </c>
      <c r="J683" s="167">
        <v>4788804.8900000006</v>
      </c>
      <c r="K683" s="167">
        <v>4843385.9800000004</v>
      </c>
      <c r="L683" s="167">
        <v>4765308.08</v>
      </c>
      <c r="M683" s="167">
        <v>4710708.13</v>
      </c>
      <c r="N683" s="167">
        <v>4736741.82</v>
      </c>
      <c r="O683" s="167">
        <v>4772215.2</v>
      </c>
      <c r="P683" s="168"/>
      <c r="Q683" s="168"/>
      <c r="R683" s="168"/>
      <c r="S683" s="168"/>
      <c r="T683" s="168"/>
      <c r="U683" s="168"/>
      <c r="V683" s="168"/>
      <c r="W683" s="168"/>
      <c r="X683" s="167">
        <v>4772215.2</v>
      </c>
    </row>
    <row r="684" spans="1:24" ht="14.4" x14ac:dyDescent="0.3">
      <c r="A684" s="163" t="s">
        <v>7</v>
      </c>
      <c r="B684" s="164">
        <v>2004</v>
      </c>
      <c r="C684" s="167">
        <v>100</v>
      </c>
      <c r="D684" s="167">
        <v>116012.57</v>
      </c>
      <c r="E684" s="167">
        <v>424789.17</v>
      </c>
      <c r="F684" s="167">
        <v>600568.25</v>
      </c>
      <c r="G684" s="167">
        <v>870705.37</v>
      </c>
      <c r="H684" s="167">
        <v>1667664.44</v>
      </c>
      <c r="I684" s="167">
        <v>2765454.69</v>
      </c>
      <c r="J684" s="167">
        <v>2933447.27</v>
      </c>
      <c r="K684" s="167">
        <v>3639745.02</v>
      </c>
      <c r="L684" s="167">
        <v>3673861.8</v>
      </c>
      <c r="M684" s="167">
        <v>3682266.31</v>
      </c>
      <c r="N684" s="167">
        <v>3730690.8600000003</v>
      </c>
      <c r="O684" s="168"/>
      <c r="P684" s="168"/>
      <c r="Q684" s="168"/>
      <c r="R684" s="168"/>
      <c r="S684" s="168"/>
      <c r="T684" s="168"/>
      <c r="U684" s="168"/>
      <c r="V684" s="168"/>
      <c r="W684" s="168"/>
      <c r="X684" s="167">
        <v>3730690.8600000003</v>
      </c>
    </row>
    <row r="685" spans="1:24" ht="14.4" x14ac:dyDescent="0.3">
      <c r="A685" s="163" t="s">
        <v>7</v>
      </c>
      <c r="B685" s="164">
        <v>2005</v>
      </c>
      <c r="C685" s="167">
        <v>252487.54</v>
      </c>
      <c r="D685" s="167">
        <v>1130147.07</v>
      </c>
      <c r="E685" s="167">
        <v>6692407.7300000004</v>
      </c>
      <c r="F685" s="167">
        <v>8361572.4700000007</v>
      </c>
      <c r="G685" s="167">
        <v>11067254.780000001</v>
      </c>
      <c r="H685" s="167">
        <v>14946929.84</v>
      </c>
      <c r="I685" s="167">
        <v>16150227.989999998</v>
      </c>
      <c r="J685" s="167">
        <v>17576182.23</v>
      </c>
      <c r="K685" s="167">
        <v>17828251.759999998</v>
      </c>
      <c r="L685" s="167">
        <v>18110395.350000001</v>
      </c>
      <c r="M685" s="167">
        <v>18207326.509999998</v>
      </c>
      <c r="N685" s="168"/>
      <c r="O685" s="168"/>
      <c r="P685" s="168"/>
      <c r="Q685" s="168"/>
      <c r="R685" s="168"/>
      <c r="S685" s="168"/>
      <c r="T685" s="168"/>
      <c r="U685" s="168"/>
      <c r="V685" s="168"/>
      <c r="W685" s="168"/>
      <c r="X685" s="167">
        <v>18207326.509999998</v>
      </c>
    </row>
    <row r="686" spans="1:24" ht="14.4" x14ac:dyDescent="0.3">
      <c r="A686" s="163" t="s">
        <v>7</v>
      </c>
      <c r="B686" s="164">
        <v>2006</v>
      </c>
      <c r="C686" s="167">
        <v>5101</v>
      </c>
      <c r="D686" s="167">
        <v>68926.37</v>
      </c>
      <c r="E686" s="167">
        <v>121611.48</v>
      </c>
      <c r="F686" s="167">
        <v>438610.24</v>
      </c>
      <c r="G686" s="167">
        <v>940748.3899999999</v>
      </c>
      <c r="H686" s="167">
        <v>2320238.6999999993</v>
      </c>
      <c r="I686" s="167">
        <v>2556423.8899999997</v>
      </c>
      <c r="J686" s="167">
        <v>2610067.4899999993</v>
      </c>
      <c r="K686" s="167">
        <v>2468625.4399999995</v>
      </c>
      <c r="L686" s="167">
        <v>2372944.12</v>
      </c>
      <c r="M686" s="168"/>
      <c r="N686" s="168"/>
      <c r="O686" s="168"/>
      <c r="P686" s="168"/>
      <c r="Q686" s="168"/>
      <c r="R686" s="168"/>
      <c r="S686" s="168"/>
      <c r="T686" s="168"/>
      <c r="U686" s="168"/>
      <c r="V686" s="168"/>
      <c r="W686" s="168"/>
      <c r="X686" s="167">
        <v>2372944.12</v>
      </c>
    </row>
    <row r="687" spans="1:24" ht="14.4" x14ac:dyDescent="0.3">
      <c r="A687" s="163" t="s">
        <v>7</v>
      </c>
      <c r="B687" s="164">
        <v>2007</v>
      </c>
      <c r="C687" s="167">
        <v>3000</v>
      </c>
      <c r="D687" s="167">
        <v>29009.4</v>
      </c>
      <c r="E687" s="167">
        <v>1238921.75</v>
      </c>
      <c r="F687" s="167">
        <v>1399523.87</v>
      </c>
      <c r="G687" s="167">
        <v>2564005.66</v>
      </c>
      <c r="H687" s="167">
        <v>3278557.5</v>
      </c>
      <c r="I687" s="167">
        <v>2827036.44</v>
      </c>
      <c r="J687" s="167">
        <v>2878486.85</v>
      </c>
      <c r="K687" s="167">
        <v>3135985.39</v>
      </c>
      <c r="L687" s="168"/>
      <c r="M687" s="168"/>
      <c r="N687" s="168"/>
      <c r="O687" s="168"/>
      <c r="P687" s="168"/>
      <c r="Q687" s="168"/>
      <c r="R687" s="168"/>
      <c r="S687" s="168"/>
      <c r="T687" s="168"/>
      <c r="U687" s="168"/>
      <c r="V687" s="168"/>
      <c r="W687" s="168"/>
      <c r="X687" s="167">
        <v>3135985.39</v>
      </c>
    </row>
    <row r="688" spans="1:24" ht="14.4" x14ac:dyDescent="0.3">
      <c r="A688" s="163" t="s">
        <v>7</v>
      </c>
      <c r="B688" s="164">
        <v>2008</v>
      </c>
      <c r="C688" s="167">
        <v>0</v>
      </c>
      <c r="D688" s="167">
        <v>0</v>
      </c>
      <c r="E688" s="167">
        <v>595.02</v>
      </c>
      <c r="F688" s="167">
        <v>753.42</v>
      </c>
      <c r="G688" s="167">
        <v>6741.9</v>
      </c>
      <c r="H688" s="167">
        <v>6741.9</v>
      </c>
      <c r="I688" s="167">
        <v>6743.9</v>
      </c>
      <c r="J688" s="167">
        <v>7621.85</v>
      </c>
      <c r="K688" s="168"/>
      <c r="L688" s="168"/>
      <c r="M688" s="168"/>
      <c r="N688" s="168"/>
      <c r="O688" s="168"/>
      <c r="P688" s="168"/>
      <c r="Q688" s="168"/>
      <c r="R688" s="168"/>
      <c r="S688" s="168"/>
      <c r="T688" s="168"/>
      <c r="U688" s="168"/>
      <c r="V688" s="168"/>
      <c r="W688" s="168"/>
      <c r="X688" s="167">
        <v>7621.85</v>
      </c>
    </row>
    <row r="689" spans="1:24" ht="14.4" x14ac:dyDescent="0.3">
      <c r="A689" s="163" t="s">
        <v>7</v>
      </c>
      <c r="B689" s="164">
        <v>2009</v>
      </c>
      <c r="C689" s="167">
        <v>0</v>
      </c>
      <c r="D689" s="167">
        <v>2</v>
      </c>
      <c r="E689" s="167">
        <v>0</v>
      </c>
      <c r="F689" s="167">
        <v>0</v>
      </c>
      <c r="G689" s="167">
        <v>0</v>
      </c>
      <c r="H689" s="167">
        <v>-1942.82</v>
      </c>
      <c r="I689" s="167">
        <v>-14068.8</v>
      </c>
      <c r="J689" s="168"/>
      <c r="K689" s="168"/>
      <c r="L689" s="168"/>
      <c r="M689" s="168"/>
      <c r="N689" s="168"/>
      <c r="O689" s="168"/>
      <c r="P689" s="168"/>
      <c r="Q689" s="168"/>
      <c r="R689" s="168"/>
      <c r="S689" s="168"/>
      <c r="T689" s="168"/>
      <c r="U689" s="168"/>
      <c r="V689" s="168"/>
      <c r="W689" s="168"/>
      <c r="X689" s="167">
        <v>-14068.8</v>
      </c>
    </row>
    <row r="690" spans="1:24" ht="14.4" x14ac:dyDescent="0.3">
      <c r="A690" s="163" t="s">
        <v>7</v>
      </c>
      <c r="B690" s="164">
        <v>2010</v>
      </c>
      <c r="C690" s="167">
        <v>0</v>
      </c>
      <c r="D690" s="167">
        <v>2</v>
      </c>
      <c r="E690" s="167">
        <v>2</v>
      </c>
      <c r="F690" s="167">
        <v>1370.16</v>
      </c>
      <c r="G690" s="167">
        <v>1372.16</v>
      </c>
      <c r="H690" s="167">
        <v>1372.16</v>
      </c>
      <c r="I690" s="168"/>
      <c r="J690" s="168"/>
      <c r="K690" s="168"/>
      <c r="L690" s="168"/>
      <c r="M690" s="168"/>
      <c r="N690" s="168"/>
      <c r="O690" s="168"/>
      <c r="P690" s="168"/>
      <c r="Q690" s="168"/>
      <c r="R690" s="168"/>
      <c r="S690" s="168"/>
      <c r="T690" s="168"/>
      <c r="U690" s="168"/>
      <c r="V690" s="168"/>
      <c r="W690" s="168"/>
      <c r="X690" s="167">
        <v>1372.16</v>
      </c>
    </row>
    <row r="691" spans="1:24" ht="14.4" x14ac:dyDescent="0.3">
      <c r="A691" s="163" t="s">
        <v>7</v>
      </c>
      <c r="B691" s="164">
        <v>2011</v>
      </c>
      <c r="C691" s="167">
        <v>0</v>
      </c>
      <c r="D691" s="167">
        <v>0</v>
      </c>
      <c r="E691" s="167">
        <v>5124.54</v>
      </c>
      <c r="F691" s="167">
        <v>5259.54</v>
      </c>
      <c r="G691" s="167">
        <v>5259.54</v>
      </c>
      <c r="H691" s="168"/>
      <c r="I691" s="168"/>
      <c r="J691" s="168"/>
      <c r="K691" s="168"/>
      <c r="L691" s="168"/>
      <c r="M691" s="168"/>
      <c r="N691" s="168"/>
      <c r="O691" s="168"/>
      <c r="P691" s="168"/>
      <c r="Q691" s="168"/>
      <c r="R691" s="168"/>
      <c r="S691" s="168"/>
      <c r="T691" s="168"/>
      <c r="U691" s="168"/>
      <c r="V691" s="168"/>
      <c r="W691" s="168"/>
      <c r="X691" s="167">
        <v>5259.54</v>
      </c>
    </row>
    <row r="692" spans="1:24" ht="14.4" x14ac:dyDescent="0.3">
      <c r="A692" s="163" t="s">
        <v>7</v>
      </c>
      <c r="B692" s="164">
        <v>2012</v>
      </c>
      <c r="C692" s="167">
        <v>0</v>
      </c>
      <c r="D692" s="167">
        <v>0</v>
      </c>
      <c r="E692" s="167">
        <v>0</v>
      </c>
      <c r="F692" s="167">
        <v>0</v>
      </c>
      <c r="G692" s="168"/>
      <c r="H692" s="168"/>
      <c r="I692" s="168"/>
      <c r="J692" s="168"/>
      <c r="K692" s="168"/>
      <c r="L692" s="168"/>
      <c r="M692" s="168"/>
      <c r="N692" s="168"/>
      <c r="O692" s="168"/>
      <c r="P692" s="168"/>
      <c r="Q692" s="168"/>
      <c r="R692" s="168"/>
      <c r="S692" s="168"/>
      <c r="T692" s="168"/>
      <c r="U692" s="168"/>
      <c r="V692" s="168"/>
      <c r="W692" s="168"/>
      <c r="X692" s="167">
        <v>0</v>
      </c>
    </row>
    <row r="693" spans="1:24" ht="14.4" x14ac:dyDescent="0.3">
      <c r="A693" s="163" t="s">
        <v>7</v>
      </c>
      <c r="B693" s="164">
        <v>2013</v>
      </c>
      <c r="C693" s="167">
        <v>0</v>
      </c>
      <c r="D693" s="167">
        <v>0</v>
      </c>
      <c r="E693" s="167">
        <v>0</v>
      </c>
      <c r="F693" s="168"/>
      <c r="G693" s="168"/>
      <c r="H693" s="168"/>
      <c r="I693" s="168"/>
      <c r="J693" s="168"/>
      <c r="K693" s="168"/>
      <c r="L693" s="168"/>
      <c r="M693" s="168"/>
      <c r="N693" s="168"/>
      <c r="O693" s="168"/>
      <c r="P693" s="168"/>
      <c r="Q693" s="168"/>
      <c r="R693" s="168"/>
      <c r="S693" s="168"/>
      <c r="T693" s="168"/>
      <c r="U693" s="168"/>
      <c r="V693" s="168"/>
      <c r="W693" s="168"/>
      <c r="X693" s="167">
        <v>0</v>
      </c>
    </row>
    <row r="694" spans="1:24" ht="14.4" x14ac:dyDescent="0.3">
      <c r="A694" s="163" t="s">
        <v>7</v>
      </c>
      <c r="B694" s="164">
        <v>2014</v>
      </c>
      <c r="C694" s="167">
        <v>0</v>
      </c>
      <c r="D694" s="167">
        <v>0</v>
      </c>
      <c r="E694" s="168"/>
      <c r="F694" s="168"/>
      <c r="G694" s="168"/>
      <c r="H694" s="168"/>
      <c r="I694" s="168"/>
      <c r="J694" s="168"/>
      <c r="K694" s="168"/>
      <c r="L694" s="168"/>
      <c r="M694" s="168"/>
      <c r="N694" s="168"/>
      <c r="O694" s="168"/>
      <c r="P694" s="168"/>
      <c r="Q694" s="168"/>
      <c r="R694" s="168"/>
      <c r="S694" s="168"/>
      <c r="T694" s="168"/>
      <c r="U694" s="168"/>
      <c r="V694" s="168"/>
      <c r="W694" s="168"/>
      <c r="X694" s="167">
        <v>0</v>
      </c>
    </row>
    <row r="695" spans="1:24" ht="14.4" x14ac:dyDescent="0.3">
      <c r="A695" s="163" t="s">
        <v>7</v>
      </c>
      <c r="B695" s="164">
        <v>2015</v>
      </c>
      <c r="C695" s="167">
        <v>0</v>
      </c>
      <c r="D695" s="168"/>
      <c r="E695" s="168"/>
      <c r="F695" s="168"/>
      <c r="G695" s="168"/>
      <c r="H695" s="168"/>
      <c r="I695" s="168"/>
      <c r="J695" s="168"/>
      <c r="K695" s="168"/>
      <c r="L695" s="168"/>
      <c r="M695" s="168"/>
      <c r="N695" s="168"/>
      <c r="O695" s="168"/>
      <c r="P695" s="168"/>
      <c r="Q695" s="168"/>
      <c r="R695" s="168"/>
      <c r="S695" s="168"/>
      <c r="T695" s="168"/>
      <c r="U695" s="168"/>
      <c r="V695" s="168"/>
      <c r="W695" s="168"/>
      <c r="X695" s="167">
        <v>0</v>
      </c>
    </row>
    <row r="696" spans="1:24" ht="14.4" x14ac:dyDescent="0.3">
      <c r="A696" s="163" t="s">
        <v>258</v>
      </c>
      <c r="B696" s="164">
        <v>1995</v>
      </c>
      <c r="C696" s="167">
        <v>618158461.87</v>
      </c>
      <c r="D696" s="167">
        <v>825297324.61000001</v>
      </c>
      <c r="E696" s="167">
        <v>852881767</v>
      </c>
      <c r="F696" s="167">
        <v>880696863.20000005</v>
      </c>
      <c r="G696" s="167">
        <v>893482783.39999998</v>
      </c>
      <c r="H696" s="167">
        <v>898513308.27999997</v>
      </c>
      <c r="I696" s="167">
        <v>901961838.36000001</v>
      </c>
      <c r="J696" s="167">
        <v>902983750.29999995</v>
      </c>
      <c r="K696" s="167">
        <v>903078030.92000008</v>
      </c>
      <c r="L696" s="167">
        <v>903131415.42000008</v>
      </c>
      <c r="M696" s="167">
        <v>903390465.07999992</v>
      </c>
      <c r="N696" s="167">
        <v>903401571.63999999</v>
      </c>
      <c r="O696" s="167">
        <v>903589068.75999999</v>
      </c>
      <c r="P696" s="167">
        <v>903558540.80999994</v>
      </c>
      <c r="Q696" s="167">
        <v>903560835.81999993</v>
      </c>
      <c r="R696" s="167">
        <v>903649519.22000003</v>
      </c>
      <c r="S696" s="167">
        <v>903305135.43999994</v>
      </c>
      <c r="T696" s="167">
        <v>903342976.35000002</v>
      </c>
      <c r="U696" s="167">
        <v>903394902.61000001</v>
      </c>
      <c r="V696" s="167">
        <v>903660757.37</v>
      </c>
      <c r="W696" s="167">
        <v>903674032.69000006</v>
      </c>
      <c r="X696" s="167">
        <v>903674032.69000006</v>
      </c>
    </row>
    <row r="697" spans="1:24" ht="14.4" x14ac:dyDescent="0.3">
      <c r="A697" s="163" t="s">
        <v>258</v>
      </c>
      <c r="B697" s="164">
        <v>1996</v>
      </c>
      <c r="C697" s="167">
        <v>799689011.33000004</v>
      </c>
      <c r="D697" s="167">
        <v>973564334.11999989</v>
      </c>
      <c r="E697" s="167">
        <v>1029206620.2600001</v>
      </c>
      <c r="F697" s="167">
        <v>1053538341.37</v>
      </c>
      <c r="G697" s="167">
        <v>1059244445.4599999</v>
      </c>
      <c r="H697" s="167">
        <v>1069813553.9299998</v>
      </c>
      <c r="I697" s="167">
        <v>1073784983.5700002</v>
      </c>
      <c r="J697" s="167">
        <v>1075416117.0799999</v>
      </c>
      <c r="K697" s="167">
        <v>1076291410.3699999</v>
      </c>
      <c r="L697" s="167">
        <v>1077180850.6799998</v>
      </c>
      <c r="M697" s="167">
        <v>1077959523.8699999</v>
      </c>
      <c r="N697" s="167">
        <v>1078379374.3999999</v>
      </c>
      <c r="O697" s="167">
        <v>1078850547.9400001</v>
      </c>
      <c r="P697" s="167">
        <v>1080028501.1500001</v>
      </c>
      <c r="Q697" s="167">
        <v>1080369978.3299999</v>
      </c>
      <c r="R697" s="167">
        <v>1080023375.5900002</v>
      </c>
      <c r="S697" s="167">
        <v>1080271367.3900001</v>
      </c>
      <c r="T697" s="167">
        <v>1080821011.95</v>
      </c>
      <c r="U697" s="167">
        <v>1081060655.0899999</v>
      </c>
      <c r="V697" s="167">
        <v>1089249276.9299998</v>
      </c>
      <c r="W697" s="168"/>
      <c r="X697" s="167">
        <v>1089249276.9299998</v>
      </c>
    </row>
    <row r="698" spans="1:24" ht="14.4" x14ac:dyDescent="0.3">
      <c r="A698" s="163" t="s">
        <v>258</v>
      </c>
      <c r="B698" s="164">
        <v>1997</v>
      </c>
      <c r="C698" s="167">
        <v>771206034.76999998</v>
      </c>
      <c r="D698" s="167">
        <v>937522805.67999995</v>
      </c>
      <c r="E698" s="167">
        <v>980025360.63</v>
      </c>
      <c r="F698" s="167">
        <v>994818715.29999995</v>
      </c>
      <c r="G698" s="167">
        <v>1011643602.55</v>
      </c>
      <c r="H698" s="167">
        <v>1017935342.12</v>
      </c>
      <c r="I698" s="167">
        <v>1020091218.8</v>
      </c>
      <c r="J698" s="167">
        <v>1021328007.9200001</v>
      </c>
      <c r="K698" s="167">
        <v>1022065774.64</v>
      </c>
      <c r="L698" s="167">
        <v>1023357958.86</v>
      </c>
      <c r="M698" s="167">
        <v>1024225627.4599999</v>
      </c>
      <c r="N698" s="167">
        <v>1024639715.92</v>
      </c>
      <c r="O698" s="167">
        <v>1025207692.9399999</v>
      </c>
      <c r="P698" s="167">
        <v>1025684635.09</v>
      </c>
      <c r="Q698" s="167">
        <v>1026007051.0400001</v>
      </c>
      <c r="R698" s="167">
        <v>1026568945.3099999</v>
      </c>
      <c r="S698" s="167">
        <v>1026800476.7099999</v>
      </c>
      <c r="T698" s="167">
        <v>1028380067.76</v>
      </c>
      <c r="U698" s="167">
        <v>1035033685.9300001</v>
      </c>
      <c r="V698" s="168"/>
      <c r="W698" s="168"/>
      <c r="X698" s="167">
        <v>1035033685.9300001</v>
      </c>
    </row>
    <row r="699" spans="1:24" ht="14.4" x14ac:dyDescent="0.3">
      <c r="A699" s="163" t="s">
        <v>258</v>
      </c>
      <c r="B699" s="164">
        <v>1998</v>
      </c>
      <c r="C699" s="167">
        <v>870900712.22000003</v>
      </c>
      <c r="D699" s="167">
        <v>1051282698.1</v>
      </c>
      <c r="E699" s="167">
        <v>1083972182.0699999</v>
      </c>
      <c r="F699" s="167">
        <v>1114284543.0700002</v>
      </c>
      <c r="G699" s="167">
        <v>1130568766.04</v>
      </c>
      <c r="H699" s="167">
        <v>1135914735.4100001</v>
      </c>
      <c r="I699" s="167">
        <v>1136798547.24</v>
      </c>
      <c r="J699" s="167">
        <v>1136693045.72</v>
      </c>
      <c r="K699" s="167">
        <v>1137034982.4399998</v>
      </c>
      <c r="L699" s="167">
        <v>1137616080.1299999</v>
      </c>
      <c r="M699" s="167">
        <v>1139421194.0599999</v>
      </c>
      <c r="N699" s="167">
        <v>1140187980.3800001</v>
      </c>
      <c r="O699" s="167">
        <v>1140390244.03</v>
      </c>
      <c r="P699" s="167">
        <v>1140567824.5799999</v>
      </c>
      <c r="Q699" s="167">
        <v>1140744669.5899999</v>
      </c>
      <c r="R699" s="167">
        <v>1141018156.8299999</v>
      </c>
      <c r="S699" s="167">
        <v>1141358714.0200002</v>
      </c>
      <c r="T699" s="167">
        <v>1148590465.55</v>
      </c>
      <c r="U699" s="168"/>
      <c r="V699" s="168"/>
      <c r="W699" s="168"/>
      <c r="X699" s="167">
        <v>1148590465.55</v>
      </c>
    </row>
    <row r="700" spans="1:24" ht="14.4" x14ac:dyDescent="0.3">
      <c r="A700" s="163" t="s">
        <v>258</v>
      </c>
      <c r="B700" s="164">
        <v>1999</v>
      </c>
      <c r="C700" s="167">
        <v>837160851.29999995</v>
      </c>
      <c r="D700" s="167">
        <v>899531037.07000005</v>
      </c>
      <c r="E700" s="167">
        <v>925796796.13</v>
      </c>
      <c r="F700" s="167">
        <v>967275684.56000018</v>
      </c>
      <c r="G700" s="167">
        <v>972321649.88999999</v>
      </c>
      <c r="H700" s="167">
        <v>977949956.81999993</v>
      </c>
      <c r="I700" s="167">
        <v>977704314.61000013</v>
      </c>
      <c r="J700" s="167">
        <v>978220537.33999991</v>
      </c>
      <c r="K700" s="167">
        <v>979424852.51000011</v>
      </c>
      <c r="L700" s="167">
        <v>980102938.82000005</v>
      </c>
      <c r="M700" s="167">
        <v>979903572.51000011</v>
      </c>
      <c r="N700" s="167">
        <v>981035628.1099999</v>
      </c>
      <c r="O700" s="167">
        <v>978934142.14999998</v>
      </c>
      <c r="P700" s="167">
        <v>979136749.39999998</v>
      </c>
      <c r="Q700" s="167">
        <v>979469503.29000008</v>
      </c>
      <c r="R700" s="167">
        <v>980116020.10000002</v>
      </c>
      <c r="S700" s="167">
        <v>979762207.93000007</v>
      </c>
      <c r="T700" s="168"/>
      <c r="U700" s="168"/>
      <c r="V700" s="168"/>
      <c r="W700" s="168"/>
      <c r="X700" s="167">
        <v>979762207.93000007</v>
      </c>
    </row>
    <row r="701" spans="1:24" ht="14.4" x14ac:dyDescent="0.3">
      <c r="A701" s="163" t="s">
        <v>258</v>
      </c>
      <c r="B701" s="164">
        <v>2000</v>
      </c>
      <c r="C701" s="167">
        <v>6673348.7100000381</v>
      </c>
      <c r="D701" s="167">
        <v>-60504103.490000248</v>
      </c>
      <c r="E701" s="167">
        <v>31423021.460000038</v>
      </c>
      <c r="F701" s="167">
        <v>30159085.420000076</v>
      </c>
      <c r="G701" s="167">
        <v>29559264.460000038</v>
      </c>
      <c r="H701" s="167">
        <v>29199427.74000001</v>
      </c>
      <c r="I701" s="167">
        <v>28872151.379999876</v>
      </c>
      <c r="J701" s="167">
        <v>28789365.890000105</v>
      </c>
      <c r="K701" s="167">
        <v>28775003.49000001</v>
      </c>
      <c r="L701" s="167">
        <v>28738659.49000001</v>
      </c>
      <c r="M701" s="167">
        <v>28732017.869999886</v>
      </c>
      <c r="N701" s="167">
        <v>29915304.200000048</v>
      </c>
      <c r="O701" s="167">
        <v>29916073.589999914</v>
      </c>
      <c r="P701" s="167">
        <v>29912170.350000143</v>
      </c>
      <c r="Q701" s="167">
        <v>29906792.900000095</v>
      </c>
      <c r="R701" s="167">
        <v>29906803.909999847</v>
      </c>
      <c r="S701" s="168"/>
      <c r="T701" s="168"/>
      <c r="U701" s="168"/>
      <c r="V701" s="168"/>
      <c r="W701" s="168"/>
      <c r="X701" s="167">
        <v>29906803.909999847</v>
      </c>
    </row>
    <row r="702" spans="1:24" ht="14.4" x14ac:dyDescent="0.3">
      <c r="A702" s="163" t="s">
        <v>258</v>
      </c>
      <c r="B702" s="164">
        <v>2001</v>
      </c>
      <c r="C702" s="167">
        <v>-75622015.539999962</v>
      </c>
      <c r="D702" s="167">
        <v>14268176.439999819</v>
      </c>
      <c r="E702" s="167">
        <v>16956453.690000057</v>
      </c>
      <c r="F702" s="167">
        <v>16772618.779999971</v>
      </c>
      <c r="G702" s="167">
        <v>16736989.430000067</v>
      </c>
      <c r="H702" s="167">
        <v>16720082.769999981</v>
      </c>
      <c r="I702" s="167">
        <v>16690525.370000124</v>
      </c>
      <c r="J702" s="167">
        <v>16696662.079999924</v>
      </c>
      <c r="K702" s="167">
        <v>16685459.420000076</v>
      </c>
      <c r="L702" s="167">
        <v>16650244.880000114</v>
      </c>
      <c r="M702" s="167">
        <v>13697974</v>
      </c>
      <c r="N702" s="167">
        <v>13690592.310000181</v>
      </c>
      <c r="O702" s="167">
        <v>13690917.310000181</v>
      </c>
      <c r="P702" s="167">
        <v>13690557.310000181</v>
      </c>
      <c r="Q702" s="167">
        <v>13689231.25999999</v>
      </c>
      <c r="R702" s="168"/>
      <c r="S702" s="168"/>
      <c r="T702" s="168"/>
      <c r="U702" s="168"/>
      <c r="V702" s="168"/>
      <c r="W702" s="168"/>
      <c r="X702" s="167">
        <v>13689231.25999999</v>
      </c>
    </row>
    <row r="703" spans="1:24" ht="14.4" x14ac:dyDescent="0.3">
      <c r="A703" s="163" t="s">
        <v>258</v>
      </c>
      <c r="B703" s="164">
        <v>2002</v>
      </c>
      <c r="C703" s="167">
        <v>1825676.0900000334</v>
      </c>
      <c r="D703" s="167">
        <v>15545541.469999909</v>
      </c>
      <c r="E703" s="167">
        <v>15892100.090000153</v>
      </c>
      <c r="F703" s="167">
        <v>15778918.329999924</v>
      </c>
      <c r="G703" s="167">
        <v>15608649.2900002</v>
      </c>
      <c r="H703" s="167">
        <v>15549687.210000038</v>
      </c>
      <c r="I703" s="167">
        <v>15511913.319999933</v>
      </c>
      <c r="J703" s="167">
        <v>15491751.25</v>
      </c>
      <c r="K703" s="167">
        <v>15456629.580000162</v>
      </c>
      <c r="L703" s="167">
        <v>15502522.00999999</v>
      </c>
      <c r="M703" s="167">
        <v>15477479.889999866</v>
      </c>
      <c r="N703" s="167">
        <v>15478552.889999866</v>
      </c>
      <c r="O703" s="167">
        <v>15478291.889999866</v>
      </c>
      <c r="P703" s="167">
        <v>15476569.560000181</v>
      </c>
      <c r="Q703" s="168"/>
      <c r="R703" s="168"/>
      <c r="S703" s="168"/>
      <c r="T703" s="168"/>
      <c r="U703" s="168"/>
      <c r="V703" s="168"/>
      <c r="W703" s="168"/>
      <c r="X703" s="167">
        <v>15476569.560000181</v>
      </c>
    </row>
    <row r="704" spans="1:24" ht="14.4" x14ac:dyDescent="0.3">
      <c r="A704" s="163" t="s">
        <v>258</v>
      </c>
      <c r="B704" s="164">
        <v>2003</v>
      </c>
      <c r="C704" s="167">
        <v>2410703.3500000238</v>
      </c>
      <c r="D704" s="167">
        <v>12980285.560000062</v>
      </c>
      <c r="E704" s="167">
        <v>13564697.329999924</v>
      </c>
      <c r="F704" s="167">
        <v>13159457.589999914</v>
      </c>
      <c r="G704" s="167">
        <v>13108365.960000038</v>
      </c>
      <c r="H704" s="167">
        <v>13108186.440000057</v>
      </c>
      <c r="I704" s="167">
        <v>13081547.100000024</v>
      </c>
      <c r="J704" s="167">
        <v>13032231.960000038</v>
      </c>
      <c r="K704" s="167">
        <v>13080257.829999924</v>
      </c>
      <c r="L704" s="167">
        <v>13093510.75999999</v>
      </c>
      <c r="M704" s="167">
        <v>13107658.159999967</v>
      </c>
      <c r="N704" s="167">
        <v>13130416.629999995</v>
      </c>
      <c r="O704" s="167">
        <v>13137737.249999881</v>
      </c>
      <c r="P704" s="168"/>
      <c r="Q704" s="168"/>
      <c r="R704" s="168"/>
      <c r="S704" s="168"/>
      <c r="T704" s="168"/>
      <c r="U704" s="168"/>
      <c r="V704" s="168"/>
      <c r="W704" s="168"/>
      <c r="X704" s="167">
        <v>13137737.249999881</v>
      </c>
    </row>
    <row r="705" spans="1:24" ht="14.4" x14ac:dyDescent="0.3">
      <c r="A705" s="163" t="s">
        <v>258</v>
      </c>
      <c r="B705" s="164">
        <v>2004</v>
      </c>
      <c r="C705" s="167">
        <v>2450497.3500000238</v>
      </c>
      <c r="D705" s="167">
        <v>11245152.029999971</v>
      </c>
      <c r="E705" s="167">
        <v>11168068.049999952</v>
      </c>
      <c r="F705" s="167">
        <v>11002170.649999976</v>
      </c>
      <c r="G705" s="167">
        <v>10942201</v>
      </c>
      <c r="H705" s="167">
        <v>10953493.48999989</v>
      </c>
      <c r="I705" s="167">
        <v>10908034.780000091</v>
      </c>
      <c r="J705" s="167">
        <v>11169407.879999876</v>
      </c>
      <c r="K705" s="167">
        <v>11209149.129999995</v>
      </c>
      <c r="L705" s="167">
        <v>11213515.470000029</v>
      </c>
      <c r="M705" s="167">
        <v>11197709.620000005</v>
      </c>
      <c r="N705" s="167">
        <v>11212311.75</v>
      </c>
      <c r="O705" s="168"/>
      <c r="P705" s="168"/>
      <c r="Q705" s="168"/>
      <c r="R705" s="168"/>
      <c r="S705" s="168"/>
      <c r="T705" s="168"/>
      <c r="U705" s="168"/>
      <c r="V705" s="168"/>
      <c r="W705" s="168"/>
      <c r="X705" s="167">
        <v>11212311.75</v>
      </c>
    </row>
    <row r="706" spans="1:24" ht="14.4" x14ac:dyDescent="0.3">
      <c r="A706" s="163" t="s">
        <v>258</v>
      </c>
      <c r="B706" s="164">
        <v>2005</v>
      </c>
      <c r="C706" s="167">
        <v>1818682.7300000191</v>
      </c>
      <c r="D706" s="167">
        <v>1737099.2700000107</v>
      </c>
      <c r="E706" s="167">
        <v>1529088.7900000215</v>
      </c>
      <c r="F706" s="167">
        <v>1501004.6699999869</v>
      </c>
      <c r="G706" s="167">
        <v>1543525.6700000167</v>
      </c>
      <c r="H706" s="167">
        <v>1532102.1899999976</v>
      </c>
      <c r="I706" s="167">
        <v>1709736.5900000036</v>
      </c>
      <c r="J706" s="167">
        <v>1708619.4300000072</v>
      </c>
      <c r="K706" s="167">
        <v>1706100.6799999774</v>
      </c>
      <c r="L706" s="167">
        <v>1705271.4200000167</v>
      </c>
      <c r="M706" s="167">
        <v>1708506.849999994</v>
      </c>
      <c r="N706" s="168"/>
      <c r="O706" s="168"/>
      <c r="P706" s="168"/>
      <c r="Q706" s="168"/>
      <c r="R706" s="168"/>
      <c r="S706" s="168"/>
      <c r="T706" s="168"/>
      <c r="U706" s="168"/>
      <c r="V706" s="168"/>
      <c r="W706" s="168"/>
      <c r="X706" s="167">
        <v>1708506.849999994</v>
      </c>
    </row>
    <row r="707" spans="1:24" ht="14.4" x14ac:dyDescent="0.3">
      <c r="A707" s="163" t="s">
        <v>258</v>
      </c>
      <c r="B707" s="164">
        <v>2006</v>
      </c>
      <c r="C707" s="167">
        <v>369025.6</v>
      </c>
      <c r="D707" s="167">
        <v>266324.8</v>
      </c>
      <c r="E707" s="167">
        <v>331452.68</v>
      </c>
      <c r="F707" s="167">
        <v>339977.95</v>
      </c>
      <c r="G707" s="167">
        <v>338060.3</v>
      </c>
      <c r="H707" s="167">
        <v>338160.00999999995</v>
      </c>
      <c r="I707" s="167">
        <v>338224.5</v>
      </c>
      <c r="J707" s="167">
        <v>338379.47</v>
      </c>
      <c r="K707" s="167">
        <v>339293.75</v>
      </c>
      <c r="L707" s="167">
        <v>338148.18000000005</v>
      </c>
      <c r="M707" s="168"/>
      <c r="N707" s="168"/>
      <c r="O707" s="168"/>
      <c r="P707" s="168"/>
      <c r="Q707" s="168"/>
      <c r="R707" s="168"/>
      <c r="S707" s="168"/>
      <c r="T707" s="168"/>
      <c r="U707" s="168"/>
      <c r="V707" s="168"/>
      <c r="W707" s="168"/>
      <c r="X707" s="167">
        <v>338148.18000000005</v>
      </c>
    </row>
    <row r="708" spans="1:24" ht="14.4" x14ac:dyDescent="0.3">
      <c r="A708" s="163" t="s">
        <v>258</v>
      </c>
      <c r="B708" s="164">
        <v>2007</v>
      </c>
      <c r="C708" s="167">
        <v>31011.57</v>
      </c>
      <c r="D708" s="167">
        <v>76436.549999999988</v>
      </c>
      <c r="E708" s="167">
        <v>105716.93000000001</v>
      </c>
      <c r="F708" s="167">
        <v>104810.48</v>
      </c>
      <c r="G708" s="167">
        <v>103992.48999999999</v>
      </c>
      <c r="H708" s="167">
        <v>104121.03</v>
      </c>
      <c r="I708" s="167">
        <v>104113.34</v>
      </c>
      <c r="J708" s="167">
        <v>105164.02</v>
      </c>
      <c r="K708" s="167">
        <v>104343.48</v>
      </c>
      <c r="L708" s="168"/>
      <c r="M708" s="168"/>
      <c r="N708" s="168"/>
      <c r="O708" s="168"/>
      <c r="P708" s="168"/>
      <c r="Q708" s="168"/>
      <c r="R708" s="168"/>
      <c r="S708" s="168"/>
      <c r="T708" s="168"/>
      <c r="U708" s="168"/>
      <c r="V708" s="168"/>
      <c r="W708" s="168"/>
      <c r="X708" s="167">
        <v>104343.48</v>
      </c>
    </row>
    <row r="709" spans="1:24" ht="14.4" x14ac:dyDescent="0.3">
      <c r="A709" s="163" t="s">
        <v>258</v>
      </c>
      <c r="B709" s="164">
        <v>2008</v>
      </c>
      <c r="C709" s="167">
        <v>3843.1800000000003</v>
      </c>
      <c r="D709" s="167">
        <v>14559.830000000002</v>
      </c>
      <c r="E709" s="167">
        <v>17513.48</v>
      </c>
      <c r="F709" s="167">
        <v>17567.98</v>
      </c>
      <c r="G709" s="167">
        <v>17533.490000000002</v>
      </c>
      <c r="H709" s="167">
        <v>17501.690000000002</v>
      </c>
      <c r="I709" s="167">
        <v>17386.37</v>
      </c>
      <c r="J709" s="167">
        <v>17348.54</v>
      </c>
      <c r="K709" s="168"/>
      <c r="L709" s="168"/>
      <c r="M709" s="168"/>
      <c r="N709" s="168"/>
      <c r="O709" s="168"/>
      <c r="P709" s="168"/>
      <c r="Q709" s="168"/>
      <c r="R709" s="168"/>
      <c r="S709" s="168"/>
      <c r="T709" s="168"/>
      <c r="U709" s="168"/>
      <c r="V709" s="168"/>
      <c r="W709" s="168"/>
      <c r="X709" s="167">
        <v>17348.54</v>
      </c>
    </row>
    <row r="710" spans="1:24" ht="14.4" x14ac:dyDescent="0.3">
      <c r="A710" s="163" t="s">
        <v>258</v>
      </c>
      <c r="B710" s="164">
        <v>2009</v>
      </c>
      <c r="C710" s="167">
        <v>3383.54</v>
      </c>
      <c r="D710" s="167">
        <v>137.56</v>
      </c>
      <c r="E710" s="167">
        <v>139.16</v>
      </c>
      <c r="F710" s="167">
        <v>156.20999999999998</v>
      </c>
      <c r="G710" s="167">
        <v>156.35999999999999</v>
      </c>
      <c r="H710" s="167">
        <v>156.43</v>
      </c>
      <c r="I710" s="167">
        <v>157.13999999999999</v>
      </c>
      <c r="J710" s="168"/>
      <c r="K710" s="168"/>
      <c r="L710" s="168"/>
      <c r="M710" s="168"/>
      <c r="N710" s="168"/>
      <c r="O710" s="168"/>
      <c r="P710" s="168"/>
      <c r="Q710" s="168"/>
      <c r="R710" s="168"/>
      <c r="S710" s="168"/>
      <c r="T710" s="168"/>
      <c r="U710" s="168"/>
      <c r="V710" s="168"/>
      <c r="W710" s="168"/>
      <c r="X710" s="167">
        <v>157.13999999999999</v>
      </c>
    </row>
    <row r="711" spans="1:24" ht="14.4" x14ac:dyDescent="0.3">
      <c r="A711" s="163" t="s">
        <v>258</v>
      </c>
      <c r="B711" s="164">
        <v>2010</v>
      </c>
      <c r="C711" s="167">
        <v>0</v>
      </c>
      <c r="D711" s="167">
        <v>0</v>
      </c>
      <c r="E711" s="167">
        <v>50.980000000000004</v>
      </c>
      <c r="F711" s="167">
        <v>50.980000000000004</v>
      </c>
      <c r="G711" s="167">
        <v>50.980000000000004</v>
      </c>
      <c r="H711" s="167">
        <v>50.980000000000004</v>
      </c>
      <c r="I711" s="168"/>
      <c r="J711" s="168"/>
      <c r="K711" s="168"/>
      <c r="L711" s="168"/>
      <c r="M711" s="168"/>
      <c r="N711" s="168"/>
      <c r="O711" s="168"/>
      <c r="P711" s="168"/>
      <c r="Q711" s="168"/>
      <c r="R711" s="168"/>
      <c r="S711" s="168"/>
      <c r="T711" s="168"/>
      <c r="U711" s="168"/>
      <c r="V711" s="168"/>
      <c r="W711" s="168"/>
      <c r="X711" s="167">
        <v>50.980000000000004</v>
      </c>
    </row>
    <row r="712" spans="1:24" ht="14.4" x14ac:dyDescent="0.3">
      <c r="A712" s="163" t="s">
        <v>258</v>
      </c>
      <c r="B712" s="164">
        <v>2011</v>
      </c>
      <c r="C712" s="167">
        <v>0</v>
      </c>
      <c r="D712" s="167">
        <v>33.340000000000003</v>
      </c>
      <c r="E712" s="167">
        <v>53.690000000000005</v>
      </c>
      <c r="F712" s="167">
        <v>78.69</v>
      </c>
      <c r="G712" s="167">
        <v>41.86</v>
      </c>
      <c r="H712" s="168"/>
      <c r="I712" s="168"/>
      <c r="J712" s="168"/>
      <c r="K712" s="168"/>
      <c r="L712" s="168"/>
      <c r="M712" s="168"/>
      <c r="N712" s="168"/>
      <c r="O712" s="168"/>
      <c r="P712" s="168"/>
      <c r="Q712" s="168"/>
      <c r="R712" s="168"/>
      <c r="S712" s="168"/>
      <c r="T712" s="168"/>
      <c r="U712" s="168"/>
      <c r="V712" s="168"/>
      <c r="W712" s="168"/>
      <c r="X712" s="167">
        <v>41.86</v>
      </c>
    </row>
    <row r="713" spans="1:24" ht="14.4" x14ac:dyDescent="0.3">
      <c r="A713" s="163" t="s">
        <v>258</v>
      </c>
      <c r="B713" s="164">
        <v>2012</v>
      </c>
      <c r="C713" s="167">
        <v>0</v>
      </c>
      <c r="D713" s="167">
        <v>0</v>
      </c>
      <c r="E713" s="167">
        <v>0</v>
      </c>
      <c r="F713" s="167">
        <v>141.34</v>
      </c>
      <c r="G713" s="168"/>
      <c r="H713" s="168"/>
      <c r="I713" s="168"/>
      <c r="J713" s="168"/>
      <c r="K713" s="168"/>
      <c r="L713" s="168"/>
      <c r="M713" s="168"/>
      <c r="N713" s="168"/>
      <c r="O713" s="168"/>
      <c r="P713" s="168"/>
      <c r="Q713" s="168"/>
      <c r="R713" s="168"/>
      <c r="S713" s="168"/>
      <c r="T713" s="168"/>
      <c r="U713" s="168"/>
      <c r="V713" s="168"/>
      <c r="W713" s="168"/>
      <c r="X713" s="167">
        <v>141.34</v>
      </c>
    </row>
    <row r="714" spans="1:24" ht="14.4" x14ac:dyDescent="0.3">
      <c r="A714" s="163" t="s">
        <v>258</v>
      </c>
      <c r="B714" s="164">
        <v>2013</v>
      </c>
      <c r="C714" s="167">
        <v>0</v>
      </c>
      <c r="D714" s="167">
        <v>0</v>
      </c>
      <c r="E714" s="167">
        <v>145.81</v>
      </c>
      <c r="F714" s="168"/>
      <c r="G714" s="168"/>
      <c r="H714" s="168"/>
      <c r="I714" s="168"/>
      <c r="J714" s="168"/>
      <c r="K714" s="168"/>
      <c r="L714" s="168"/>
      <c r="M714" s="168"/>
      <c r="N714" s="168"/>
      <c r="O714" s="168"/>
      <c r="P714" s="168"/>
      <c r="Q714" s="168"/>
      <c r="R714" s="168"/>
      <c r="S714" s="168"/>
      <c r="T714" s="168"/>
      <c r="U714" s="168"/>
      <c r="V714" s="168"/>
      <c r="W714" s="168"/>
      <c r="X714" s="167">
        <v>145.81</v>
      </c>
    </row>
    <row r="715" spans="1:24" ht="14.4" x14ac:dyDescent="0.3">
      <c r="A715" s="163" t="s">
        <v>258</v>
      </c>
      <c r="B715" s="164">
        <v>2014</v>
      </c>
      <c r="C715" s="167">
        <v>0</v>
      </c>
      <c r="D715" s="167">
        <v>1.22</v>
      </c>
      <c r="E715" s="168"/>
      <c r="F715" s="168"/>
      <c r="G715" s="168"/>
      <c r="H715" s="168"/>
      <c r="I715" s="168"/>
      <c r="J715" s="168"/>
      <c r="K715" s="168"/>
      <c r="L715" s="168"/>
      <c r="M715" s="168"/>
      <c r="N715" s="168"/>
      <c r="O715" s="168"/>
      <c r="P715" s="168"/>
      <c r="Q715" s="168"/>
      <c r="R715" s="168"/>
      <c r="S715" s="168"/>
      <c r="T715" s="168"/>
      <c r="U715" s="168"/>
      <c r="V715" s="168"/>
      <c r="W715" s="168"/>
      <c r="X715" s="167">
        <v>1.22</v>
      </c>
    </row>
    <row r="716" spans="1:24" ht="14.4" x14ac:dyDescent="0.3">
      <c r="A716" s="163" t="s">
        <v>258</v>
      </c>
      <c r="B716" s="164">
        <v>2015</v>
      </c>
      <c r="C716" s="167">
        <v>0</v>
      </c>
      <c r="D716" s="168"/>
      <c r="E716" s="168"/>
      <c r="F716" s="168"/>
      <c r="G716" s="168"/>
      <c r="H716" s="168"/>
      <c r="I716" s="168"/>
      <c r="J716" s="168"/>
      <c r="K716" s="168"/>
      <c r="L716" s="168"/>
      <c r="M716" s="168"/>
      <c r="N716" s="168"/>
      <c r="O716" s="168"/>
      <c r="P716" s="168"/>
      <c r="Q716" s="168"/>
      <c r="R716" s="168"/>
      <c r="S716" s="168"/>
      <c r="T716" s="168"/>
      <c r="U716" s="168"/>
      <c r="V716" s="168"/>
      <c r="W716" s="168"/>
      <c r="X716" s="167">
        <v>0</v>
      </c>
    </row>
  </sheetData>
  <phoneticPr fontId="4" type="noConversion"/>
  <pageMargins left="0.75" right="0.75" top="1" bottom="1" header="0.5" footer="0.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RiskSerializationData</vt:lpstr>
      <vt:lpstr>Notes</vt:lpstr>
      <vt:lpstr>Impact of Tail</vt:lpstr>
      <vt:lpstr>Summary</vt:lpstr>
      <vt:lpstr>Group by AY</vt:lpstr>
      <vt:lpstr>Inputs</vt:lpstr>
      <vt:lpstr>Incurred Bootstrap</vt:lpstr>
      <vt:lpstr>Paid Bootstrap</vt:lpstr>
      <vt:lpstr>BE-WS Summary</vt:lpstr>
      <vt:lpstr>Paid TriData</vt:lpstr>
      <vt:lpstr>Inc TriData</vt:lpstr>
      <vt:lpstr>BEWSSummary</vt:lpstr>
      <vt:lpstr>Group</vt:lpstr>
      <vt:lpstr>'Group by AY'!GroupNo</vt:lpstr>
      <vt:lpstr>IncTriData</vt:lpstr>
      <vt:lpstr>PaidTriData</vt:lpstr>
      <vt:lpstr>'Incurred Bootstrap'!Print_Area</vt:lpstr>
      <vt:lpstr>'Paid Bootstrap'!Print_Area</vt:lpstr>
      <vt:lpstr>'Incurred Bootstrap'!Print_Titles</vt:lpstr>
      <vt:lpstr>Rate</vt:lpstr>
      <vt:lpstr>Row.Breaks</vt:lpstr>
      <vt:lpstr>TailPayout</vt:lpstr>
      <vt:lpstr>'Inc TriData'!TriData</vt:lpstr>
    </vt:vector>
  </TitlesOfParts>
  <Company>CNA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c0370</dc:creator>
  <cp:lastModifiedBy>CNA</cp:lastModifiedBy>
  <cp:lastPrinted>2010-02-26T22:43:11Z</cp:lastPrinted>
  <dcterms:created xsi:type="dcterms:W3CDTF">2001-03-13T17:11:09Z</dcterms:created>
  <dcterms:modified xsi:type="dcterms:W3CDTF">2017-12-13T20:14:16Z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{A44787D4-0540-4523-9961-78E4036D8C6D}">
    <vt:lpwstr>{87301A1E-911F-4819-9ADA-B9B0D138726B}</vt:lpwstr>
  </property>
</Properties>
</file>